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d2ef05684e42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-ME" sheetId="1" r:id="R66c6565ea501497d"/>
    <x:sheet xmlns:r="http://schemas.openxmlformats.org/officeDocument/2006/relationships" name="OBRAS" sheetId="2" r:id="R778a5ca1d2da499d"/>
    <x:sheet xmlns:r="http://schemas.openxmlformats.org/officeDocument/2006/relationships" name="PONTOS" sheetId="3" r:id="R3a840c7d25414b1f"/>
    <x:sheet xmlns:r="http://schemas.openxmlformats.org/officeDocument/2006/relationships" name="TRECHOS" sheetId="4" r:id="Rd2d2b0bc5cd8400b"/>
    <x:sheet xmlns:r="http://schemas.openxmlformats.org/officeDocument/2006/relationships" name="RESUMO" sheetId="5" r:id="Rad3a0eeb6d894107"/>
    <x:sheet xmlns:r="http://schemas.openxmlformats.org/officeDocument/2006/relationships" name="VALIDACAO" sheetId="6" r:id="R3629922f733041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color theme="1"/>
      <x:name val="Calibri"/>
    </x:font>
    <x:font>
      <x:b/>
      <x:sz val="16"/>
      <x:color rgb="FFFFFF"/>
      <x:name val="Calibri"/>
    </x:font>
    <x:font>
      <x:b/>
      <x:sz val="13"/>
      <x:color rgb="0F2F6F"/>
      <x:name val="Calibri"/>
    </x:font>
    <x:font>
      <x:b/>
      <x:sz val="11"/>
      <x:color rgb="FFFFFF"/>
      <x:name val="Calibri"/>
    </x:font>
    <x:font>
      <x:b/>
      <x:sz val="11"/>
      <x:name val="Calibri"/>
    </x:font>
    <x:font>
      <x:sz val="8"/>
      <x:name val="Calibri"/>
    </x:font>
    <x:font>
      <x:b/>
      <x:sz val="11"/>
      <x:color theme="1"/>
      <x:name val="Calibri"/>
    </x:font>
    <x:font>
      <x:b/>
      <x:sz val="14"/>
      <x:color theme="1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0F2F6F"/>
      </x:patternFill>
    </x:fill>
    <x:fill>
      <x:patternFill patternType="solid">
        <x:fgColor rgb="1F4E78"/>
      </x:patternFill>
    </x:fill>
    <x:fill>
      <x:patternFill patternType="solid">
        <x:fgColor rgb="EAF2FF"/>
      </x:patternFill>
    </x:fill>
  </x:fills>
  <x:borders count="6">
    <x:border/>
    <x:border>
      <x:left style="thin">
        <x:color rgb="D7E1F0"/>
      </x:left>
      <x:right style="thin">
        <x:color rgb="D7E1F0"/>
      </x:right>
      <x:top style="thin">
        <x:color rgb="D7E1F0"/>
      </x:top>
      <x:bottom style="thin">
        <x:color rgb="D7E1F0"/>
      </x:bottom>
    </x:border>
    <x:border>
      <x:left style="thin">
        <x:color rgb="D9E2F3"/>
      </x:left>
      <x:right style="thin">
        <x:color rgb="D9E2F3"/>
      </x:right>
      <x:top style="thin">
        <x:color rgb="D9E2F3"/>
      </x:top>
      <x:bottom style="thin">
        <x:color rgb="D9E2F3"/>
      </x:bottom>
    </x:border>
    <x:border/>
    <x:border>
      <x:left style="thin">
        <x:color rgb="D7E1F0"/>
      </x:left>
      <x:right style="thin">
        <x:color rgb="D7E1F0"/>
      </x:right>
      <x:top style="thin">
        <x:color rgb="D7E1F0"/>
      </x:top>
      <x:bottom style="thin">
        <x:color rgb="D7E1F0"/>
      </x:bottom>
    </x:border>
    <x:border>
      <x:left style="thin">
        <x:color rgb="D9E2F3"/>
      </x:left>
      <x:right style="thin">
        <x:color rgb="D9E2F3"/>
      </x:right>
      <x:top style="thin">
        <x:color rgb="D9E2F3"/>
      </x:top>
      <x:bottom style="thin">
        <x:color rgb="D9E2F3"/>
      </x:bottom>
    </x:border>
  </x:borders>
  <x:cellStyleXfs count="1">
    <x:xf numFmtId="0" fontId="0" fillId="0" borderId="3"/>
  </x:cellStyleXfs>
  <x:cellXfs count="32">
    <x:xf numFmtId="0" fontId="0" fillId="0" borderId="0" xfId="0"/>
    <x:xf numFmtId="0" fontId="2" fillId="0" borderId="0" xfId="0"/>
    <x:xf numFmtId="0" fontId="0" fillId="0" borderId="0" xfId="0" applyAlignment="1">
      <x:alignment wrapText="1"/>
    </x:xf>
    <x:xf numFmtId="0" fontId="3" fillId="3" borderId="1" xfId="0"/>
    <x:xf numFmtId="0" fontId="0" fillId="0" borderId="1" xfId="0" applyAlignment="1">
      <x:alignment vertical="top"/>
    </x:xf>
    <x:xf numFmtId="0" fontId="3" fillId="3" borderId="1" xfId="0" applyAlignment="1">
      <x:alignment horizontal="center" vertical="center"/>
    </x:xf>
    <x:xf numFmtId="0" fontId="0" fillId="0" borderId="2" xfId="0" applyAlignment="1">
      <x:alignment vertical="center"/>
    </x:xf>
    <x:xf numFmtId="4" fontId="0" fillId="0" borderId="2" xfId="0" applyAlignment="1">
      <x:alignment vertical="center"/>
    </x:xf>
    <x:xf numFmtId="0" fontId="4" fillId="3" borderId="1" xfId="0"/>
    <x:xf numFmtId="0" fontId="4" fillId="0" borderId="1" xfId="0" applyAlignment="1">
      <x:alignment vertical="top"/>
    </x:xf>
    <x:xf numFmtId="0" fontId="4" fillId="0" borderId="0" xfId="0"/>
    <x:xf numFmtId="0" fontId="1" fillId="2" borderId="0" xfId="0"/>
    <x:xf numFmtId="0" fontId="0" fillId="0" borderId="0" xfId="0"/>
    <x:xf numFmtId="0" fontId="4" fillId="2" borderId="0" xfId="0"/>
    <x:xf numFmtId="0" fontId="0" fillId="0" borderId="3" xfId="0"/>
    <x:xf numFmtId="0" fontId="2" fillId="0" borderId="3" xfId="0"/>
    <x:xf numFmtId="0" fontId="0" fillId="0" borderId="3" xfId="0" applyAlignment="1">
      <x:alignment wrapText="1"/>
    </x:xf>
    <x:xf numFmtId="0" fontId="3" fillId="3" borderId="4" xfId="0"/>
    <x:xf numFmtId="0" fontId="0" fillId="0" borderId="4" xfId="0" applyAlignment="1">
      <x:alignment vertical="top"/>
    </x:xf>
    <x:xf numFmtId="0" fontId="3" fillId="3" borderId="4" xfId="0" applyAlignment="1">
      <x:alignment horizontal="center" vertical="center"/>
    </x:xf>
    <x:xf numFmtId="0" fontId="0" fillId="0" borderId="5" xfId="0" applyAlignment="1">
      <x:alignment vertical="center"/>
    </x:xf>
    <x:xf numFmtId="4" fontId="0" fillId="0" borderId="5" xfId="0" applyAlignment="1">
      <x:alignment vertical="center"/>
    </x:xf>
    <x:xf numFmtId="0" fontId="4" fillId="3" borderId="4" xfId="0"/>
    <x:xf numFmtId="0" fontId="4" fillId="0" borderId="4" xfId="0" applyAlignment="1">
      <x:alignment vertical="top"/>
    </x:xf>
    <x:xf numFmtId="0" fontId="4" fillId="0" borderId="3" xfId="0"/>
    <x:xf numFmtId="0" fontId="1" fillId="2" borderId="3" xfId="0"/>
    <x:xf numFmtId="0" fontId="4" fillId="2" borderId="3" xfId="0"/>
    <x:xf numFmtId="0" fontId="6" fillId="0" borderId="0" xfId="0"/>
    <x:xf numFmtId="0" fontId="6" fillId="0" borderId="3" xfId="0"/>
    <x:xf numFmtId="0" fontId="7" fillId="0" borderId="0" xfId="0"/>
    <x:xf numFmtId="0" fontId="7" fillId="0" borderId="3" xfId="0"/>
    <x:xf numFmtId="0" fontId="6" fillId="4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3f7999c6784e33" /><Relationship Type="http://schemas.openxmlformats.org/officeDocument/2006/relationships/theme" Target="/xl/theme/theme1.xml" Id="R55a73f7d2ef04d10" /><Relationship Type="http://schemas.openxmlformats.org/officeDocument/2006/relationships/sharedStrings" Target="/xl/sharedStrings.xml" Id="R7ba5e3cbed0144a5" /><Relationship Type="http://schemas.openxmlformats.org/officeDocument/2006/relationships/worksheet" Target="/xl/worksheets/sheet1.xml" Id="R66c6565ea501497d" /><Relationship Type="http://schemas.openxmlformats.org/officeDocument/2006/relationships/worksheet" Target="/xl/worksheets/sheet2.xml" Id="R778a5ca1d2da499d" /><Relationship Type="http://schemas.openxmlformats.org/officeDocument/2006/relationships/worksheet" Target="/xl/worksheets/sheet3.xml" Id="R3a840c7d25414b1f" /><Relationship Type="http://schemas.openxmlformats.org/officeDocument/2006/relationships/worksheet" Target="/xl/worksheets/sheet4.xml" Id="Rd2d2b0bc5cd8400b" /><Relationship Type="http://schemas.openxmlformats.org/officeDocument/2006/relationships/worksheet" Target="/xl/worksheets/sheet5.xml" Id="Rad3a0eeb6d894107" /><Relationship Type="http://schemas.openxmlformats.org/officeDocument/2006/relationships/worksheet" Target="/xl/worksheets/sheet6.xml" Id="R3629922f733041d1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4.399999618530273"/>
  <x:cols>
    <x:col min="1" max="1" width="110" style="12" customWidth="1"/>
  </x:cols>
  <x:sheetData>
    <x:row r="1" s="12" customFormat="1" ht="21" customHeight="1">
      <x:c r="A1" s="25" t="inlineStr">
        <x:is>
          <x:t xml:space="preserve">PLANILHA BASE DO MAPA MULTI-OBRA</x:t>
        </x:is>
      </x:c>
      <x:c r="B1" s="14" t="n"/>
      <x:c r="C1" s="14" t="n"/>
      <x:c r="D1" s="14" t="n"/>
      <x:c r="E1" s="14" t="n"/>
      <x:c r="F1" s="14" t="n"/>
      <x:c r="G1" s="14" t="n"/>
      <x:c r="H1" s="14" t="n"/>
    </x:row>
    <x:row r="3" s="12" customFormat="1" ht="17.399999618530273" customHeight="1">
      <x:c r="A3" s="1" t="inlineStr">
        <x:is>
          <x:t xml:space="preserve">Como usar</x:t>
        </x:is>
      </x:c>
    </x:row>
    <x:row r="4">
      <x:c r="A4" s="2" t="inlineStr">
        <x:is>
          <x:t xml:space="preserve">1) Alimente as abas OBRAS, PONTOS e TRECHOS.</x:t>
        </x:is>
      </x:c>
    </x:row>
    <x:row r="5" s="12" customFormat="1" ht="28.799999237060547" customHeight="1">
      <x:c r="A5" s="2" t="inlineStr">
        <x:is>
          <x:t xml:space="preserve">2) Para criar um novo trecho, cadastre os PVs/PIs na aba PONTOS e depois crie a linha na aba TRECHOS informando pv_inicio e pv_fim.</x:t>
        </x:is>
      </x:c>
    </x:row>
    <x:row r="6" s="12" customFormat="1" ht="28.799999237060547" customHeight="1">
      <x:c r="A6" s="2" t="inlineStr">
        <x:is>
          <x:t xml:space="preserve">3) Coordenadas: use UTM SIRGAS 2000 / zona 23S nas colunas coord_n e coord_e. Se latitude/longitude estiverem vazias, o mapa converte automaticamente.</x:t>
        </x:is>
      </x:c>
    </x:row>
    <x:row r="7">
      <x:c r="A7" s="2" t="inlineStr">
        <x:is>
          <x:t xml:space="preserve">4) Rode o arquivo atualizar_e_abrir.bat. Ele gera dados_mapa.json e abre o mapa no navegador.</x:t>
        </x:is>
      </x:c>
    </x:row>
    <x:row r="8">
      <x:c r="A8" s="2" t="inlineStr">
        <x:is>
          <x:t xml:space="preserve">5) Status aceitos: não iniciada, em andamento, concluída, projetado.</x:t>
        </x:is>
      </x:c>
    </x:row>
    <x:row r="9">
      <x:c r="A9" s="2" t="inlineStr">
        <x:is>
          <x:t xml:space="preserve">6) Métodos: Método Não Destrutivo - MND ou Vala a Céu Aberto - VCA.</x:t>
        </x:is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4.399999618530273"/>
  <x:cols>
    <x:col min="1" max="1" width="22" style="12" customWidth="1"/>
    <x:col min="2" max="2" width="38" style="12" customWidth="1"/>
    <x:col min="3" max="3" width="12" style="12" customWidth="1"/>
    <x:col min="4" max="4" width="75" style="12" customWidth="1"/>
    <x:col min="5" max="5" width="12" style="12" customWidth="1"/>
  </x:cols>
  <x:sheetData>
    <x:row r="1">
      <x:c r="A1" s="5" t="inlineStr">
        <x:is>
          <x:t xml:space="preserve">obra_id</x:t>
        </x:is>
      </x:c>
      <x:c r="B1" s="5" t="inlineStr">
        <x:is>
          <x:t xml:space="preserve">nome_obra</x:t>
        </x:is>
      </x:c>
      <x:c r="C1" s="5" t="inlineStr">
        <x:is>
          <x:t xml:space="preserve">tipo</x:t>
        </x:is>
      </x:c>
      <x:c r="D1" s="5" t="inlineStr">
        <x:is>
          <x:t xml:space="preserve">subtitulo</x:t>
        </x:is>
      </x:c>
      <x:c r="E1" s="5" t="inlineStr">
        <x:is>
          <x:t xml:space="preserve">ativa</x:t>
        </x:is>
      </x:c>
    </x:row>
    <x:row r="2">
      <x:c r="A2" s="6" t="inlineStr">
        <x:is>
          <x:t xml:space="preserve">agua</x:t>
        </x:is>
      </x:c>
      <x:c r="B2" s="6" t="inlineStr">
        <x:is>
          <x:t xml:space="preserve">CTS Água Vermelha ME</x:t>
        </x:is>
      </x:c>
      <x:c r="C2" s="6" t="inlineStr">
        <x:is>
          <x:t xml:space="preserve">CTS</x:t>
        </x:is>
      </x:c>
      <x:c r="D2" s="6" t="inlineStr">
        <x:is>
          <x:t xml:space="preserve">Base real do shape: SIRGAS 2000 / UTM zona 23S convertida para latitude/longitude.</x:t>
        </x:is>
      </x:c>
      <x:c r="E2" s="6" t="inlineStr">
        <x:is>
          <x:t xml:space="preserve">SIM</x:t>
        </x:is>
      </x:c>
    </x:row>
    <x:row r="3">
      <x:c r="A3" s="6" t="inlineStr">
        <x:is>
          <x:t xml:space="preserve">rce</x:t>
        </x:is>
      </x:c>
      <x:c r="B3" s="6" t="inlineStr">
        <x:is>
          <x:t xml:space="preserve">RCE Francisco Souto Maior - Trecho II</x:t>
        </x:is>
      </x:c>
      <x:c r="C3" s="6" t="inlineStr">
        <x:is>
          <x:t xml:space="preserve">RCE</x:t>
        </x:is>
      </x:c>
      <x:c r="D3" s="6" t="inlineStr">
        <x:is>
          <x:t xml:space="preserve">Base real do shape: SIRGAS 2000 / UTM zona 23S convertida para latitude/longitude.</x:t>
        </x:is>
      </x:c>
      <x:c r="E3" s="6" t="inlineStr">
        <x:is>
          <x:t xml:space="preserve">SIM</x:t>
        </x:is>
      </x:c>
    </x:row>
    <x:row r="4">
      <x:c r="A4" s="6" t="inlineStr">
        <x:is>
          <x:t xml:space="preserve">conceicao</x:t>
        </x:is>
      </x:c>
      <x:c r="B4" s="6" t="inlineStr">
        <x:is>
          <x:t xml:space="preserve">CTS Conceição</x:t>
        </x:is>
      </x:c>
      <x:c r="C4" s="6" t="inlineStr">
        <x:is>
          <x:t xml:space="preserve">CTS</x:t>
        </x:is>
      </x:c>
      <x:c r="D4" s="6" t="inlineStr">
        <x:is>
          <x:t xml:space="preserve">Base criada a partir dos PDFs de Ordem de Serviço: linhas retas entre PVs com coordenadas UTM convertidas para latitude/longitude.</x:t>
        </x:is>
      </x:c>
      <x:c r="E4" s="6" t="inlineStr">
        <x:is>
          <x:t xml:space="preserve">SIM</x:t>
        </x:is>
      </x:c>
    </x:row>
    <x:row r="5">
      <x:c r="A5" s="6" t="inlineStr">
        <x:is>
          <x:t xml:space="preserve">agua_md</x:t>
        </x:is>
      </x:c>
      <x:c r="B5" s="6" t="inlineStr">
        <x:is>
          <x:t xml:space="preserve">CTSÁgua Vermelha MD</x:t>
        </x:is>
      </x:c>
      <x:c r="C5" s="6" t="inlineStr">
        <x:is>
          <x:t xml:space="preserve">CTS</x:t>
        </x:is>
      </x:c>
      <x:c r="D5" s="6" t="inlineStr">
        <x:is>
          <x:t xml:space="preserve">Base criada a partir dos PDFs: linhas retas entre PVs/PIs com coordenadas UTM convertidas para latitude/longitude.</x:t>
        </x:is>
      </x:c>
      <x:c r="E5" s="6" t="inlineStr">
        <x:is>
          <x:t xml:space="preserve">SIM</x:t>
        </x:is>
      </x:c>
    </x:row>
    <x:row r="6">
      <x:c r="A6" s="6" t="inlineStr">
        <x:is>
          <x:t xml:space="preserve">agua_boa</x:t>
        </x:is>
      </x:c>
      <x:c r="B6" s="6" t="inlineStr">
        <x:is>
          <x:t xml:space="preserve">CTS Água Boa</x:t>
        </x:is>
      </x:c>
      <x:c r="C6" s="6" t="inlineStr">
        <x:is>
          <x:t xml:space="preserve">CTS</x:t>
        </x:is>
      </x:c>
      <x:c r="D6" s="6" t="inlineStr">
        <x:is>
          <x:t xml:space="preserve">Base criada a partir dos PDFs: linhas retas entre PVs com coordenadas UTM convertidas para latitude/longitude.</x:t>
        </x:is>
      </x:c>
      <x:c r="E6" s="6" t="inlineStr">
        <x:is>
          <x:t xml:space="preserve">SIM</x:t>
        </x:is>
      </x:c>
    </x:row>
    <x:row r="7">
      <x:c r="A7" s="6" t="inlineStr">
        <x:is>
          <x:t xml:space="preserve">pacheco</x:t>
        </x:is>
      </x:c>
      <x:c r="B7" s="6" t="inlineStr">
        <x:is>
          <x:t xml:space="preserve">RCE Pacheco Jordão</x:t>
        </x:is>
      </x:c>
      <x:c r="C7" s="6" t="inlineStr">
        <x:is>
          <x:t xml:space="preserve">RCE</x:t>
        </x:is>
      </x:c>
      <x:c r="D7" s="6" t="inlineStr">
        <x:is>
          <x:t xml:space="preserve">Base criada a partir dos PDFs: linhas retas entre PVs com coordenadas UTM convertidas para latitude/longitude.</x:t>
        </x:is>
      </x:c>
      <x:c r="E7" s="6" t="inlineStr">
        <x:is>
          <x:t xml:space="preserve">SIM</x:t>
        </x:is>
      </x:c>
    </x:row>
    <x:row r="8">
      <x:c r="A8" s="6" t="inlineStr">
        <x:is>
          <x:t xml:space="preserve">luis_botelho</x:t>
        </x:is>
      </x:c>
      <x:c r="B8" s="6" t="inlineStr">
        <x:is>
          <x:t xml:space="preserve">CTS Luis Botelho Mourão</x:t>
        </x:is>
      </x:c>
      <x:c r="C8" s="6" t="inlineStr">
        <x:is>
          <x:t xml:space="preserve">CTS</x:t>
        </x:is>
      </x:c>
      <x:c r="D8" s="6" t="inlineStr">
        <x:is>
          <x:t xml:space="preserve">Base criada a partir dos PDFs: linhas retas entre PVs com coordenadas UTM convertidas para latitude/longitude.</x:t>
        </x:is>
      </x:c>
      <x:c r="E8" s="6" t="inlineStr">
        <x:is>
          <x:t xml:space="preserve">SIM</x:t>
        </x:is>
      </x:c>
    </x:row>
    <x:row r="9">
      <x:c r="A9" s="6" t="inlineStr">
        <x:is>
          <x:t xml:space="preserve">lageado_montante_bl54_55_56</x:t>
        </x:is>
      </x:c>
      <x:c r="B9" s="6" t="inlineStr">
        <x:is>
          <x:t xml:space="preserve">CT Lageado Montante BL54 - BL55 - BL56</x:t>
        </x:is>
      </x:c>
      <x:c r="C9" s="6" t="inlineStr">
        <x:is>
          <x:t xml:space="preserve">CTS</x:t>
        </x:is>
      </x:c>
      <x:c r="D9" s="6" t="inlineStr">
        <x:is>
          <x:t xml:space="preserve">Base criada a partir do PDF CONFERÊNCIA.TRECH.pdf: linhas retas entre PVs/PIs com coordenadas UTM convertidas para latitude/longitude.</x:t>
        </x:is>
      </x:c>
      <x:c r="E9" s="6" t="inlineStr">
        <x:is>
          <x:t xml:space="preserve">SIM</x:t>
        </x:is>
      </x:c>
    </x:row>
    <x:row r="10">
      <x:c r="A10" s="6" t="inlineStr">
        <x:is>
          <x:t xml:space="preserve">rce_souto_maior</x:t>
        </x:is>
      </x:c>
      <x:c r="B10" s="6" t="inlineStr">
        <x:is>
          <x:t xml:space="preserve">RCE Souto Maior</x:t>
        </x:is>
      </x:c>
      <x:c r="C10" s="6" t="inlineStr">
        <x:is>
          <x:t xml:space="preserve">RCE</x:t>
        </x:is>
      </x:c>
      <x:c r="D10" s="6" t="inlineStr">
        <x:is>
          <x:t xml:space="preserve">Base real do shape: SIRGAS 2000 / UTM zona 23S convertida para latitude/longitude.</x:t>
        </x:is>
      </x:c>
      <x:c r="E10" s="6" t="inlineStr">
        <x:is>
          <x:t xml:space="preserve">SIM</x:t>
        </x:is>
      </x:c>
    </x:row>
    <x:row r="11">
      <x:c r="A11" s="6" t="inlineStr">
        <x:is>
          <x:t xml:space="preserve">ct_domingos</x:t>
        </x:is>
      </x:c>
      <x:c r="B11" s="6" t="inlineStr">
        <x:is>
          <x:t xml:space="preserve">CTS Domingos João de Carvalho</x:t>
        </x:is>
      </x:c>
      <x:c r="C11" s="6" t="inlineStr">
        <x:is>
          <x:t xml:space="preserve">CTS</x:t>
        </x:is>
      </x:c>
      <x:c r="D11" s="6" t="inlineStr">
        <x:is>
          <x:t xml:space="preserve">Base criada a partir do PDF D.REL. CONFERÊNCIA CT DOMINGOS - BL01 A BL04.R01.</x:t>
        </x:is>
      </x:c>
      <x:c r="E11" s="6" t="inlineStr">
        <x:is>
          <x:t xml:space="preserve">SIM</x:t>
        </x:is>
      </x:c>
    </x:row>
    <x:row r="12">
      <x:c r="A12" s="6" t="inlineStr">
        <x:is>
          <x:t xml:space="preserve">cts_bandeirantes</x:t>
        </x:is>
      </x:c>
      <x:c r="B12" s="6" t="inlineStr">
        <x:is>
          <x:t xml:space="preserve">CTS Bandeirantes</x:t>
        </x:is>
      </x:c>
      <x:c r="C12" s="6" t="inlineStr">
        <x:is>
          <x:t xml:space="preserve">CTS</x:t>
        </x:is>
      </x:c>
      <x:c r="D12" s="6" t="inlineStr">
        <x:is>
          <x:t xml:space="preserve">Base real adicionada a partir dos shapefiles enviados em SHAPES.zip.</x:t>
        </x:is>
      </x:c>
      <x:c r="E12" s="6" t="inlineStr">
        <x:is>
          <x:t xml:space="preserve">SIM</x:t>
        </x:is>
      </x:c>
    </x:row>
    <x:row r="13">
      <x:c r="A13" s="6" t="inlineStr">
        <x:is>
          <x:t xml:space="preserve">ct_jaragua</x:t>
        </x:is>
      </x:c>
      <x:c r="B13" s="6" t="inlineStr">
        <x:is>
          <x:t xml:space="preserve">CTS Jaraguá</x:t>
        </x:is>
      </x:c>
      <x:c r="C13" s="6" t="inlineStr">
        <x:is>
          <x:t xml:space="preserve">CTS</x:t>
        </x:is>
      </x:c>
      <x:c r="D13" s="6" t="inlineStr">
        <x:is>
          <x:t xml:space="preserve">Base real adicionada a partir dos shapefiles enviados em SHAPES.zip.</x:t>
        </x:is>
      </x:c>
      <x:c r="E13" s="6" t="inlineStr">
        <x:is>
          <x:t xml:space="preserve">SIM</x:t>
        </x:is>
      </x:c>
    </x:row>
    <x:row r="14">
      <x:c r="A14" s="6" t="inlineStr">
        <x:is>
          <x:t xml:space="preserve">rce_barao_luis_de_arariba</x:t>
        </x:is>
      </x:c>
      <x:c r="B14" s="6" t="inlineStr">
        <x:is>
          <x:t xml:space="preserve">RCE Barão Luis de Arariba</x:t>
        </x:is>
      </x:c>
      <x:c r="C14" s="6" t="inlineStr">
        <x:is>
          <x:t xml:space="preserve">RCE</x:t>
        </x:is>
      </x:c>
      <x:c r="D14" s="6" t="inlineStr">
        <x:is>
          <x:t xml:space="preserve">Base real adicionada a partir dos shapefiles enviados em SHAPES.zip.</x:t>
        </x:is>
      </x:c>
      <x:c r="E14" s="6" t="inlineStr">
        <x:is>
          <x:t xml:space="preserve">SIM</x:t>
        </x:is>
      </x:c>
    </x:row>
    <x:row r="15">
      <x:c r="A15" s="6" t="inlineStr">
        <x:is>
          <x:t xml:space="preserve">rede_se_liga_na_rede_lourdes</x:t>
        </x:is>
      </x:c>
      <x:c r="B15" s="6" t="inlineStr">
        <x:is>
          <x:t xml:space="preserve">Rede Se Liga na Rede - Lourdes</x:t>
        </x:is>
      </x:c>
      <x:c r="C15" s="6" t="inlineStr">
        <x:is>
          <x:t xml:space="preserve">RCE</x:t>
        </x:is>
      </x:c>
      <x:c r="D15" s="6" t="inlineStr">
        <x:is>
          <x:t xml:space="preserve">Base real adicionada a partir dos shapefiles enviados em SHAPES.zip.</x:t>
        </x:is>
      </x:c>
      <x:c r="E15" s="6" t="inlineStr">
        <x:is>
          <x:t xml:space="preserve">SIM</x:t>
        </x:is>
      </x:c>
    </x:row>
    <x:row r="16">
      <x:c r="A16" s="6" t="inlineStr">
        <x:is>
          <x:t xml:space="preserve">ct_jardim_miriam_blocos_05_a_09</x:t>
        </x:is>
      </x:c>
      <x:c r="B16" s="6" t="inlineStr">
        <x:is>
          <x:t xml:space="preserve">CTS Jardim Miriam Blocos 05 a 09</x:t>
        </x:is>
      </x:c>
      <x:c r="C16" s="6" t="inlineStr">
        <x:is>
          <x:t xml:space="preserve">CTS</x:t>
        </x:is>
      </x:c>
      <x:c r="D16" s="6" t="inlineStr">
        <x:is>
          <x:t xml:space="preserve">Base real adicionada a partir dos shapefiles enviados em SHAPES.zip.</x:t>
        </x:is>
      </x:c>
      <x:c r="E16" s="6" t="inlineStr">
        <x:is>
          <x:t xml:space="preserve">SIM</x:t>
        </x:is>
      </x:c>
    </x:row>
    <x:row r="17">
      <x:c r="A17" s="6" t="inlineStr">
        <x:is>
          <x:t xml:space="preserve">ct_miriam_bloco_09</x:t>
        </x:is>
      </x:c>
      <x:c r="B17" s="6" t="inlineStr">
        <x:is>
          <x:t xml:space="preserve">CTS Miriam Bloco 09</x:t>
        </x:is>
      </x:c>
      <x:c r="C17" s="6" t="inlineStr">
        <x:is>
          <x:t xml:space="preserve">CTS</x:t>
        </x:is>
      </x:c>
      <x:c r="D17" s="6" t="inlineStr">
        <x:is>
          <x:t xml:space="preserve">Registro integrado ao CT Jardim Miriam Blocos 05 a 09 para evitar duplicidade no filtro.</x:t>
        </x:is>
      </x:c>
      <x:c r="E17" s="6" t="inlineStr">
        <x:is>
          <x:t xml:space="preserve">NÃO</x:t>
        </x:is>
      </x:c>
    </x:row>
    <x:row r="18">
      <x:c r="A18" s="6" t="inlineStr">
        <x:is>
          <x:t xml:space="preserve">cts_doroteia</x:t>
        </x:is>
      </x:c>
      <x:c r="B18" s="6" t="inlineStr">
        <x:is>
          <x:t xml:space="preserve">CTS Dorotéia</x:t>
        </x:is>
      </x:c>
      <x:c r="C18" s="6" t="inlineStr">
        <x:is>
          <x:t xml:space="preserve">CTS</x:t>
        </x:is>
      </x:c>
      <x:c r="D18" s="6" t="inlineStr">
        <x:is>
          <x:t xml:space="preserve">Base real adicionada a partir dos shapefiles enviados em SHAPES.zip.</x:t>
        </x:is>
      </x:c>
      <x:c r="E18" s="6" t="inlineStr">
        <x:is>
          <x:t xml:space="preserve">SIM</x:t>
        </x:is>
      </x:c>
    </x:row>
    <x:row r="19">
      <x:c r="A19" s="6" t="inlineStr">
        <x:is>
          <x:t xml:space="preserve">cts_jardim_lourdes</x:t>
        </x:is>
      </x:c>
      <x:c r="B19" s="6" t="inlineStr">
        <x:is>
          <x:t xml:space="preserve">CTS Jardim Lourdes</x:t>
        </x:is>
      </x:c>
      <x:c r="C19" s="6" t="inlineStr">
        <x:is>
          <x:t xml:space="preserve">CTS</x:t>
        </x:is>
      </x:c>
      <x:c r="D19" s="6" t="inlineStr">
        <x:is>
          <x:t xml:space="preserve">Base real adicionada a partir dos shapefiles enviados em SHAPES.zip.</x:t>
        </x:is>
      </x:c>
      <x:c r="E19" s="6" t="inlineStr">
        <x:is>
          <x:t xml:space="preserve">SIM</x:t>
        </x:is>
      </x:c>
    </x:row>
    <x:row r="20">
      <x:c r="A20" s="6" t="inlineStr">
        <x:is>
          <x:t xml:space="preserve">cts_mar_de_coral</x:t>
        </x:is>
      </x:c>
      <x:c r="B20" s="6" t="inlineStr">
        <x:is>
          <x:t xml:space="preserve">CTS Mar de Coral</x:t>
        </x:is>
      </x:c>
      <x:c r="C20" s="6" t="inlineStr">
        <x:is>
          <x:t xml:space="preserve">CTS</x:t>
        </x:is>
      </x:c>
      <x:c r="D20" s="6" t="inlineStr">
        <x:is>
          <x:t xml:space="preserve">Base real adicionada a partir dos shapefiles enviados em SHAPES.zip.</x:t>
        </x:is>
      </x:c>
      <x:c r="E20" s="6" t="inlineStr">
        <x:is>
          <x:t xml:space="preserve">SIM</x:t>
        </x:is>
      </x:c>
    </x:row>
    <x:row r="21">
      <x:c r="A21" s="6" t="inlineStr">
        <x:is>
          <x:t xml:space="preserve">ct_benfica</x:t>
        </x:is>
      </x:c>
      <x:c r="B21" s="6" t="inlineStr">
        <x:is>
          <x:t xml:space="preserve">CTS Benfica</x:t>
        </x:is>
      </x:c>
      <x:c r="C21" s="6" t="inlineStr">
        <x:is>
          <x:t xml:space="preserve">CTS</x:t>
        </x:is>
      </x:c>
      <x:c r="D21" s="6" t="inlineStr">
        <x:is>
          <x:t xml:space="preserve">Base real adicionada a partir dos shapefiles enviados em SHAPES.zip.</x:t>
        </x:is>
      </x:c>
      <x:c r="E21" s="6" t="inlineStr">
        <x:is>
          <x:t xml:space="preserve">SIM</x:t>
        </x:is>
      </x:c>
    </x:row>
  </x:sheetData>
  <x:dataValidations count="1">
    <x:dataValidation type="list" allowBlank="1" showDropDown="0" showInputMessage="0" showErrorMessage="0" sqref="E2:E2000">
      <x:formula1>"SIM,NÃO"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4.399999618530273"/>
  <x:cols>
    <x:col min="1" max="1" width="31.88671875" style="12" customWidth="1"/>
    <x:col min="2" max="2" width="12" style="12" customWidth="1"/>
    <x:col min="3" max="3" width="16" style="12" customWidth="1"/>
    <x:col min="4" max="4" width="20" style="12" customWidth="1"/>
    <x:col min="5" max="6" width="16" style="12" customWidth="1"/>
    <x:col min="7" max="10" width="14" style="12" customWidth="1"/>
    <x:col min="11" max="11" width="16" style="12" customWidth="1"/>
    <x:col min="12" max="12" width="46" style="12" customWidth="1"/>
  </x:cols>
  <x:sheetData>
    <x:row r="1">
      <x:c r="A1" s="5" t="inlineStr">
        <x:is>
          <x:t xml:space="preserve">obra_id</x:t>
        </x:is>
      </x:c>
      <x:c r="B1" s="5" t="inlineStr">
        <x:is>
          <x:t xml:space="preserve">tipo_ponto</x:t>
        </x:is>
      </x:c>
      <x:c r="C1" s="5" t="inlineStr">
        <x:is>
          <x:t xml:space="preserve">ponto_id</x:t>
        </x:is>
      </x:c>
      <x:c r="D1" s="5" t="inlineStr">
        <x:is>
          <x:t xml:space="preserve">nome_ponto</x:t>
        </x:is>
      </x:c>
      <x:c r="E1" s="5" t="inlineStr">
        <x:is>
          <x:t xml:space="preserve">coord_n</x:t>
        </x:is>
      </x:c>
      <x:c r="F1" s="5" t="inlineStr">
        <x:is>
          <x:t xml:space="preserve">coord_e</x:t>
        </x:is>
      </x:c>
      <x:c r="G1" s="5" t="inlineStr">
        <x:is>
          <x:t xml:space="preserve">latitude</x:t>
        </x:is>
      </x:c>
      <x:c r="H1" s="5" t="inlineStr">
        <x:is>
          <x:t xml:space="preserve">longitude</x:t>
        </x:is>
      </x:c>
      <x:c r="I1" s="5" t="inlineStr">
        <x:is>
          <x:t xml:space="preserve">cota_tampa</x:t>
        </x:is>
      </x:c>
      <x:c r="J1" s="5" t="inlineStr">
        <x:is>
          <x:t xml:space="preserve">cota_fundo</x:t>
        </x:is>
      </x:c>
      <x:c r="K1" s="5" t="inlineStr">
        <x:is>
          <x:t xml:space="preserve">profundidade_m</x:t>
        </x:is>
      </x:c>
      <x:c r="L1" s="5" t="inlineStr">
        <x:is>
          <x:t xml:space="preserve">observacao</x:t>
        </x:is>
      </x:c>
    </x:row>
    <x:row r="2">
      <x:c r="A2" s="6" t="inlineStr">
        <x:is>
          <x:t xml:space="preserve">agua</x:t>
        </x:is>
      </x:c>
      <x:c r="B2" s="6" t="inlineStr">
        <x:is>
          <x:t xml:space="preserve">PV</x:t>
        </x:is>
      </x:c>
      <x:c r="C2" s="6" t="inlineStr">
        <x:is>
          <x:t xml:space="preserve">PV-001</x:t>
        </x:is>
      </x:c>
      <x:c r="D2" s="6" t="inlineStr">
        <x:is>
          <x:t xml:space="preserve">PV-E1</x:t>
        </x:is>
      </x:c>
      <x:c r="E2" s="7" t="n">
        <x:v>7398841.987</x:v>
      </x:c>
      <x:c r="F2" s="7" t="n">
        <x:v>355185.739</x:v>
      </x:c>
      <x:c r="G2" s="7" t="n">
        <x:v>-23.514194</x:v>
      </x:c>
      <x:c r="H2" s="7" t="n">
        <x:v>-46.4184072</x:v>
      </x:c>
      <x:c r="I2" s="7" t="n">
        <x:v>758.822</x:v>
      </x:c>
      <x:c r="J2" s="7" t="n">
        <x:v>755.722</x:v>
      </x:c>
      <x:c r="K2" s="7" t="n">
        <x:v>3.1</x:v>
      </x:c>
      <x:c r="L2" s="6" t="inlineStr">
        <x:is>
          <x:t xml:space="preserve">PV-E1</x:t>
        </x:is>
      </x:c>
    </x:row>
    <x:row r="3">
      <x:c r="A3" s="6" t="inlineStr">
        <x:is>
          <x:t xml:space="preserve">agua</x:t>
        </x:is>
      </x:c>
      <x:c r="B3" s="6" t="inlineStr">
        <x:is>
          <x:t xml:space="preserve">PV</x:t>
        </x:is>
      </x:c>
      <x:c r="C3" s="6" t="inlineStr">
        <x:is>
          <x:t xml:space="preserve">PV-002</x:t>
        </x:is>
      </x:c>
      <x:c r="D3" s="6" t="inlineStr">
        <x:is>
          <x:t xml:space="preserve">PV-E03</x:t>
        </x:is>
      </x:c>
      <x:c r="E3" s="7" t="n">
        <x:v>7398788.581</x:v>
      </x:c>
      <x:c r="F3" s="7" t="n">
        <x:v>355183.33</x:v>
      </x:c>
      <x:c r="G3" s="7" t="n">
        <x:v>-23.514676</x:v>
      </x:c>
      <x:c r="H3" s="7" t="n">
        <x:v>-46.4184359</x:v>
      </x:c>
      <x:c r="I3" s="7" t="n">
        <x:v>759.2569999999999</x:v>
      </x:c>
      <x:c r="J3" s="7" t="n">
        <x:v>756.587</x:v>
      </x:c>
      <x:c r="K3" s="7" t="n">
        <x:v>2.67</x:v>
      </x:c>
      <x:c r="L3" s="6" t="inlineStr">
        <x:is>
          <x:t xml:space="preserve">PV-E03</x:t>
        </x:is>
      </x:c>
    </x:row>
    <x:row r="4">
      <x:c r="A4" s="6" t="inlineStr">
        <x:is>
          <x:t xml:space="preserve">agua</x:t>
        </x:is>
      </x:c>
      <x:c r="B4" s="6" t="inlineStr">
        <x:is>
          <x:t xml:space="preserve">PV</x:t>
        </x:is>
      </x:c>
      <x:c r="C4" s="6" t="inlineStr">
        <x:is>
          <x:t xml:space="preserve">PV-003</x:t>
        </x:is>
      </x:c>
      <x:c r="D4" s="6" t="inlineStr">
        <x:is>
          <x:t xml:space="preserve">PV-E5</x:t>
        </x:is>
      </x:c>
      <x:c r="E4" s="7" t="n">
        <x:v>7398694.995</x:v>
      </x:c>
      <x:c r="F4" s="7" t="n">
        <x:v>355201.805</x:v>
      </x:c>
      <x:c r="G4" s="7" t="n">
        <x:v>-23.5155228</x:v>
      </x:c>
      <x:c r="H4" s="7" t="n">
        <x:v>-46.4182641</x:v>
      </x:c>
      <x:c r="I4" s="7" t="n">
        <x:v>759.914</x:v>
      </x:c>
      <x:c r="J4" s="7" t="n">
        <x:v>757.0839999999999</x:v>
      </x:c>
      <x:c r="K4" s="7" t="n">
        <x:v>2.83</x:v>
      </x:c>
      <x:c r="L4" s="6" t="inlineStr">
        <x:is>
          <x:t xml:space="preserve">PV-E5</x:t>
        </x:is>
      </x:c>
    </x:row>
    <x:row r="5">
      <x:c r="A5" s="6" t="inlineStr">
        <x:is>
          <x:t xml:space="preserve">agua</x:t>
        </x:is>
      </x:c>
      <x:c r="B5" s="6" t="inlineStr">
        <x:is>
          <x:t xml:space="preserve">PV</x:t>
        </x:is>
      </x:c>
      <x:c r="C5" s="6" t="inlineStr">
        <x:is>
          <x:t xml:space="preserve">PV-004</x:t>
        </x:is>
      </x:c>
      <x:c r="D5" s="6" t="inlineStr">
        <x:is>
          <x:t xml:space="preserve">PV-E7</x:t>
        </x:is>
      </x:c>
      <x:c r="E5" s="7" t="n">
        <x:v>7398601.336</x:v>
      </x:c>
      <x:c r="F5" s="7" t="n">
        <x:v>355231.608</x:v>
      </x:c>
      <x:c r="G5" s="7" t="n">
        <x:v>-23.5163712</x:v>
      </x:c>
      <x:c r="H5" s="7" t="n">
        <x:v>-46.4179813</x:v>
      </x:c>
      <x:c r="I5" s="7" t="n">
        <x:v>760.6420000000001</x:v>
      </x:c>
      <x:c r="J5" s="7" t="n">
        <x:v>757.532</x:v>
      </x:c>
      <x:c r="K5" s="7" t="n">
        <x:v>3.11</x:v>
      </x:c>
      <x:c r="L5" s="6" t="inlineStr">
        <x:is>
          <x:t xml:space="preserve">PV-E7</x:t>
        </x:is>
      </x:c>
    </x:row>
    <x:row r="6">
      <x:c r="A6" s="6" t="inlineStr">
        <x:is>
          <x:t xml:space="preserve">agua</x:t>
        </x:is>
      </x:c>
      <x:c r="B6" s="6" t="inlineStr">
        <x:is>
          <x:t xml:space="preserve">PV</x:t>
        </x:is>
      </x:c>
      <x:c r="C6" s="6" t="inlineStr">
        <x:is>
          <x:t xml:space="preserve">PV-005</x:t>
        </x:is>
      </x:c>
      <x:c r="D6" s="6" t="inlineStr">
        <x:is>
          <x:t xml:space="preserve">PV-E10</x:t>
        </x:is>
      </x:c>
      <x:c r="E6" s="7" t="n">
        <x:v>7398533.895</x:v>
      </x:c>
      <x:c r="F6" s="7" t="n">
        <x:v>355262.821</x:v>
      </x:c>
      <x:c r="G6" s="7" t="n">
        <x:v>-23.516983</x:v>
      </x:c>
      <x:c r="H6" s="7" t="n">
        <x:v>-46.4176821</x:v>
      </x:c>
      <x:c r="I6" s="7" t="n">
        <x:v>761.2619999999999</x:v>
      </x:c>
      <x:c r="J6" s="7" t="n">
        <x:v>758.2619999999999</x:v>
      </x:c>
      <x:c r="K6" s="6" t="n">
        <x:v>3</x:v>
      </x:c>
      <x:c r="L6" s="6" t="inlineStr">
        <x:is>
          <x:t xml:space="preserve">PV-E10</x:t>
        </x:is>
      </x:c>
    </x:row>
    <x:row r="7">
      <x:c r="A7" s="6" t="inlineStr">
        <x:is>
          <x:t xml:space="preserve">agua</x:t>
        </x:is>
      </x:c>
      <x:c r="B7" s="6" t="inlineStr">
        <x:is>
          <x:t xml:space="preserve">PV</x:t>
        </x:is>
      </x:c>
      <x:c r="C7" s="6" t="inlineStr">
        <x:is>
          <x:t xml:space="preserve">PV-006</x:t>
        </x:is>
      </x:c>
      <x:c r="D7" s="6" t="inlineStr">
        <x:is>
          <x:t xml:space="preserve">PV-E11</x:t>
        </x:is>
      </x:c>
      <x:c r="E7" s="7" t="n">
        <x:v>7398505.071</x:v>
      </x:c>
      <x:c r="F7" s="7" t="n">
        <x:v>355281.528</x:v>
      </x:c>
      <x:c r="G7" s="7" t="n">
        <x:v>-23.5172449</x:v>
      </x:c>
      <x:c r="H7" s="7" t="n">
        <x:v>-46.4175017</x:v>
      </x:c>
      <x:c r="I7" s="7" t="n">
        <x:v>761.505</x:v>
      </x:c>
      <x:c r="J7" s="7" t="n">
        <x:v>758.585</x:v>
      </x:c>
      <x:c r="K7" s="7" t="n">
        <x:v>2.92</x:v>
      </x:c>
      <x:c r="L7" s="6" t="inlineStr">
        <x:is>
          <x:t xml:space="preserve">PV-E11</x:t>
        </x:is>
      </x:c>
    </x:row>
    <x:row r="8">
      <x:c r="A8" s="6" t="inlineStr">
        <x:is>
          <x:t xml:space="preserve">agua</x:t>
        </x:is>
      </x:c>
      <x:c r="B8" s="6" t="inlineStr">
        <x:is>
          <x:t xml:space="preserve">PV</x:t>
        </x:is>
      </x:c>
      <x:c r="C8" s="6" t="inlineStr">
        <x:is>
          <x:t xml:space="preserve">PV-007</x:t>
        </x:is>
      </x:c>
      <x:c r="D8" s="6" t="inlineStr">
        <x:is>
          <x:t xml:space="preserve">PV-E12</x:t>
        </x:is>
      </x:c>
      <x:c r="E8" s="7" t="n">
        <x:v>7398475.759</x:v>
      </x:c>
      <x:c r="F8" s="7" t="n">
        <x:v>355298.235</x:v>
      </x:c>
      <x:c r="G8" s="7" t="n">
        <x:v>-23.5175111</x:v>
      </x:c>
      <x:c r="H8" s="7" t="n">
        <x:v>-46.417341</x:v>
      </x:c>
      <x:c r="I8" s="7" t="n">
        <x:v>761.814</x:v>
      </x:c>
      <x:c r="J8" s="7" t="n">
        <x:v>758.884</x:v>
      </x:c>
      <x:c r="K8" s="7" t="n">
        <x:v>2.93</x:v>
      </x:c>
      <x:c r="L8" s="6" t="inlineStr">
        <x:is>
          <x:t xml:space="preserve">PV-E12</x:t>
        </x:is>
      </x:c>
    </x:row>
    <x:row r="9">
      <x:c r="A9" s="6" t="inlineStr">
        <x:is>
          <x:t xml:space="preserve">agua</x:t>
        </x:is>
      </x:c>
      <x:c r="B9" s="6" t="inlineStr">
        <x:is>
          <x:t xml:space="preserve">PV</x:t>
        </x:is>
      </x:c>
      <x:c r="C9" s="6" t="inlineStr">
        <x:is>
          <x:t xml:space="preserve">PV-008</x:t>
        </x:is>
      </x:c>
      <x:c r="D9" s="6" t="inlineStr">
        <x:is>
          <x:t xml:space="preserve">PV-E13</x:t>
        </x:is>
      </x:c>
      <x:c r="E9" s="7" t="n">
        <x:v>7398448.013</x:v>
      </x:c>
      <x:c r="F9" s="7" t="n">
        <x:v>355313.915</x:v>
      </x:c>
      <x:c r="G9" s="7" t="n">
        <x:v>-23.517763</x:v>
      </x:c>
      <x:c r="H9" s="7" t="n">
        <x:v>-46.4171901</x:v>
      </x:c>
      <x:c r="I9" s="7" t="n">
        <x:v>762.2619999999999</x:v>
      </x:c>
      <x:c r="J9" s="7" t="n">
        <x:v>759.362</x:v>
      </x:c>
      <x:c r="K9" s="7" t="n">
        <x:v>2.9</x:v>
      </x:c>
      <x:c r="L9" s="6" t="inlineStr">
        <x:is>
          <x:t xml:space="preserve">PV-E13</x:t>
        </x:is>
      </x:c>
    </x:row>
    <x:row r="10">
      <x:c r="A10" s="6" t="inlineStr">
        <x:is>
          <x:t xml:space="preserve">agua</x:t>
        </x:is>
      </x:c>
      <x:c r="B10" s="6" t="inlineStr">
        <x:is>
          <x:t xml:space="preserve">PV</x:t>
        </x:is>
      </x:c>
      <x:c r="C10" s="6" t="inlineStr">
        <x:is>
          <x:t xml:space="preserve">PV-009</x:t>
        </x:is>
      </x:c>
      <x:c r="D10" s="6" t="inlineStr">
        <x:is>
          <x:t xml:space="preserve">PV-E15</x:t>
        </x:is>
      </x:c>
      <x:c r="E10" s="7" t="n">
        <x:v>7398382.825</x:v>
      </x:c>
      <x:c r="F10" s="7" t="n">
        <x:v>355342.758</x:v>
      </x:c>
      <x:c r="G10" s="7" t="n">
        <x:v>-23.5183543</x:v>
      </x:c>
      <x:c r="H10" s="7" t="n">
        <x:v>-46.416914</x:v>
      </x:c>
      <x:c r="I10" s="7" t="n">
        <x:v>762.987</x:v>
      </x:c>
      <x:c r="J10" s="7" t="n">
        <x:v>759.7670000000001</x:v>
      </x:c>
      <x:c r="K10" s="7" t="n">
        <x:v>3.22</x:v>
      </x:c>
      <x:c r="L10" s="6" t="inlineStr">
        <x:is>
          <x:t xml:space="preserve">PV-E15</x:t>
        </x:is>
      </x:c>
    </x:row>
    <x:row r="11">
      <x:c r="A11" s="6" t="inlineStr">
        <x:is>
          <x:t xml:space="preserve">agua</x:t>
        </x:is>
      </x:c>
      <x:c r="B11" s="6" t="inlineStr">
        <x:is>
          <x:t xml:space="preserve">PV</x:t>
        </x:is>
      </x:c>
      <x:c r="C11" s="6" t="inlineStr">
        <x:is>
          <x:t xml:space="preserve">PV-010</x:t>
        </x:is>
      </x:c>
      <x:c r="D11" s="6" t="inlineStr">
        <x:is>
          <x:t xml:space="preserve">PV-E17</x:t>
        </x:is>
      </x:c>
      <x:c r="E11" s="7" t="n">
        <x:v>7398319.059</x:v>
      </x:c>
      <x:c r="F11" s="7" t="n">
        <x:v>355364.818</x:v>
      </x:c>
      <x:c r="G11" s="7" t="n">
        <x:v>-23.518932</x:v>
      </x:c>
      <x:c r="H11" s="7" t="n">
        <x:v>-46.4167041</x:v>
      </x:c>
      <x:c r="I11" s="7" t="n">
        <x:v>764.207</x:v>
      </x:c>
      <x:c r="J11" s="7" t="n">
        <x:v>760.487</x:v>
      </x:c>
      <x:c r="K11" s="7" t="n">
        <x:v>3.72</x:v>
      </x:c>
      <x:c r="L11" s="6" t="inlineStr">
        <x:is>
          <x:t xml:space="preserve">PV-E17</x:t>
        </x:is>
      </x:c>
    </x:row>
    <x:row r="12">
      <x:c r="A12" s="6" t="inlineStr">
        <x:is>
          <x:t xml:space="preserve">agua</x:t>
        </x:is>
      </x:c>
      <x:c r="B12" s="6" t="inlineStr">
        <x:is>
          <x:t xml:space="preserve">PV</x:t>
        </x:is>
      </x:c>
      <x:c r="C12" s="6" t="inlineStr">
        <x:is>
          <x:t xml:space="preserve">PV-011</x:t>
        </x:is>
      </x:c>
      <x:c r="D12" s="6" t="inlineStr">
        <x:is>
          <x:t xml:space="preserve">PV-E18</x:t>
        </x:is>
      </x:c>
      <x:c r="E12" s="7" t="n">
        <x:v>7398285.627</x:v>
      </x:c>
      <x:c r="F12" s="7" t="n">
        <x:v>355384.828</x:v>
      </x:c>
      <x:c r="G12" s="7" t="n">
        <x:v>-23.5192357</x:v>
      </x:c>
      <x:c r="H12" s="7" t="n">
        <x:v>-46.4165114</x:v>
      </x:c>
      <x:c r="I12" s="7" t="n">
        <x:v>764.526</x:v>
      </x:c>
      <x:c r="J12" s="7" t="n">
        <x:v>760.966</x:v>
      </x:c>
      <x:c r="K12" s="7" t="n">
        <x:v>3.56</x:v>
      </x:c>
      <x:c r="L12" s="6" t="inlineStr">
        <x:is>
          <x:t xml:space="preserve">PV-E18</x:t>
        </x:is>
      </x:c>
    </x:row>
    <x:row r="13">
      <x:c r="A13" s="6" t="inlineStr">
        <x:is>
          <x:t xml:space="preserve">agua</x:t>
        </x:is>
      </x:c>
      <x:c r="B13" s="6" t="inlineStr">
        <x:is>
          <x:t xml:space="preserve">PV</x:t>
        </x:is>
      </x:c>
      <x:c r="C13" s="6" t="inlineStr">
        <x:is>
          <x:t xml:space="preserve">PV-012</x:t>
        </x:is>
      </x:c>
      <x:c r="D13" s="6" t="inlineStr">
        <x:is>
          <x:t xml:space="preserve">PV-E21</x:t>
        </x:is>
      </x:c>
      <x:c r="E13" s="7" t="n">
        <x:v>7398179.716</x:v>
      </x:c>
      <x:c r="F13" s="7" t="n">
        <x:v>355421.871</x:v>
      </x:c>
      <x:c r="G13" s="7" t="n">
        <x:v>-23.5201954</x:v>
      </x:c>
      <x:c r="H13" s="7" t="n">
        <x:v>-46.4161588</x:v>
      </x:c>
      <x:c r="I13" s="7" t="n">
        <x:v>767.164</x:v>
      </x:c>
      <x:c r="J13" s="7" t="n">
        <x:v>762.504</x:v>
      </x:c>
      <x:c r="K13" s="7" t="n">
        <x:v>4.66</x:v>
      </x:c>
      <x:c r="L13" s="6" t="inlineStr">
        <x:is>
          <x:t xml:space="preserve">PV-E21</x:t>
        </x:is>
      </x:c>
    </x:row>
    <x:row r="14">
      <x:c r="A14" s="6" t="inlineStr">
        <x:is>
          <x:t xml:space="preserve">agua</x:t>
        </x:is>
      </x:c>
      <x:c r="B14" s="6" t="inlineStr">
        <x:is>
          <x:t xml:space="preserve">PV</x:t>
        </x:is>
      </x:c>
      <x:c r="C14" s="6" t="inlineStr">
        <x:is>
          <x:t xml:space="preserve">PV-013</x:t>
        </x:is>
      </x:c>
      <x:c r="D14" s="6" t="inlineStr">
        <x:is>
          <x:t xml:space="preserve">PV-E23</x:t>
        </x:is>
      </x:c>
      <x:c r="E14" s="7" t="n">
        <x:v>7398045.187</x:v>
      </x:c>
      <x:c r="F14" s="7" t="n">
        <x:v>355421.293</x:v>
      </x:c>
      <x:c r="G14" s="7" t="n">
        <x:v>-23.5214102</x:v>
      </x:c>
      <x:c r="H14" s="7" t="n">
        <x:v>-46.4161775</x:v>
      </x:c>
      <x:c r="I14" s="7" t="n">
        <x:v>770.855</x:v>
      </x:c>
      <x:c r="J14" s="7" t="n">
        <x:v>766.785</x:v>
      </x:c>
      <x:c r="K14" s="7" t="n">
        <x:v>4.07</x:v>
      </x:c>
      <x:c r="L14" s="6" t="inlineStr">
        <x:is>
          <x:t xml:space="preserve">PV-E23</x:t>
        </x:is>
      </x:c>
    </x:row>
    <x:row r="15">
      <x:c r="A15" s="6" t="inlineStr">
        <x:is>
          <x:t xml:space="preserve">agua</x:t>
        </x:is>
      </x:c>
      <x:c r="B15" s="6" t="inlineStr">
        <x:is>
          <x:t xml:space="preserve">PV</x:t>
        </x:is>
      </x:c>
      <x:c r="C15" s="6" t="inlineStr">
        <x:is>
          <x:t xml:space="preserve">PV-014</x:t>
        </x:is>
      </x:c>
      <x:c r="D15" s="6" t="inlineStr">
        <x:is>
          <x:t xml:space="preserve">PV-E25</x:t>
        </x:is>
      </x:c>
      <x:c r="E15" s="7" t="n">
        <x:v>7397930.012</x:v>
      </x:c>
      <x:c r="F15" s="7" t="n">
        <x:v>355414.68</x:v>
      </x:c>
      <x:c r="G15" s="7" t="n">
        <x:v>-23.5224496</x:v>
      </x:c>
      <x:c r="H15" s="7" t="n">
        <x:v>-46.4162534</x:v>
      </x:c>
      <x:c r="I15" s="7" t="n">
        <x:v>769.9109999999999</x:v>
      </x:c>
      <x:c r="J15" s="7" t="n">
        <x:v>767.761</x:v>
      </x:c>
      <x:c r="K15" s="7" t="n">
        <x:v>2.15</x:v>
      </x:c>
      <x:c r="L15" s="6" t="inlineStr">
        <x:is>
          <x:t xml:space="preserve">PV-E25</x:t>
        </x:is>
      </x:c>
    </x:row>
    <x:row r="16">
      <x:c r="A16" s="6" t="inlineStr">
        <x:is>
          <x:t xml:space="preserve">agua</x:t>
        </x:is>
      </x:c>
      <x:c r="B16" s="6" t="inlineStr">
        <x:is>
          <x:t xml:space="preserve">PV</x:t>
        </x:is>
      </x:c>
      <x:c r="C16" s="6" t="inlineStr">
        <x:is>
          <x:t xml:space="preserve">PV-015</x:t>
        </x:is>
      </x:c>
      <x:c r="D16" s="6" t="inlineStr">
        <x:is>
          <x:t xml:space="preserve">PV-E25.1</x:t>
        </x:is>
      </x:c>
      <x:c r="E16" s="7" t="n">
        <x:v>7397926.816</x:v>
      </x:c>
      <x:c r="F16" s="7" t="n">
        <x:v>355414.256</x:v>
      </x:c>
      <x:c r="G16" s="7" t="n">
        <x:v>-23.5224784</x:v>
      </x:c>
      <x:c r="H16" s="7" t="n">
        <x:v>-46.4162579</x:v>
      </x:c>
      <x:c r="I16" s="7" t="n">
        <x:v>769.899</x:v>
      </x:c>
      <x:c r="J16" s="7" t="n">
        <x:v>768.299</x:v>
      </x:c>
      <x:c r="K16" s="7" t="n">
        <x:v>1.6</x:v>
      </x:c>
      <x:c r="L16" s="6" t="inlineStr">
        <x:is>
          <x:t xml:space="preserve">PV-E25.1</x:t>
        </x:is>
      </x:c>
    </x:row>
    <x:row r="17">
      <x:c r="A17" s="6" t="inlineStr">
        <x:is>
          <x:t xml:space="preserve">agua</x:t>
        </x:is>
      </x:c>
      <x:c r="B17" s="6" t="inlineStr">
        <x:is>
          <x:t xml:space="preserve">PV</x:t>
        </x:is>
      </x:c>
      <x:c r="C17" s="6" t="inlineStr">
        <x:is>
          <x:t xml:space="preserve">PV-016</x:t>
        </x:is>
      </x:c>
      <x:c r="D17" s="6" t="inlineStr">
        <x:is>
          <x:t xml:space="preserve">PV-E25.2</x:t>
        </x:is>
      </x:c>
      <x:c r="E17" s="7" t="n">
        <x:v>7398000.909</x:v>
      </x:c>
      <x:c r="F17" s="7" t="n">
        <x:v>355416.88</x:v>
      </x:c>
      <x:c r="G17" s="7" t="n">
        <x:v>-23.5218096</x:v>
      </x:c>
      <x:c r="H17" s="7" t="n">
        <x:v>-46.416225</x:v>
      </x:c>
      <x:c r="I17" s="7" t="n">
        <x:v>770.754</x:v>
      </x:c>
      <x:c r="J17" s="7" t="n">
        <x:v>768.7140000000001</x:v>
      </x:c>
      <x:c r="K17" s="7" t="n">
        <x:v>2.04</x:v>
      </x:c>
      <x:c r="L17" s="6" t="inlineStr">
        <x:is>
          <x:t xml:space="preserve">PV-E25.2</x:t>
        </x:is>
      </x:c>
    </x:row>
    <x:row r="18">
      <x:c r="A18" s="6" t="inlineStr">
        <x:is>
          <x:t xml:space="preserve">agua</x:t>
        </x:is>
      </x:c>
      <x:c r="B18" s="6" t="inlineStr">
        <x:is>
          <x:t xml:space="preserve">PV</x:t>
        </x:is>
      </x:c>
      <x:c r="C18" s="6" t="inlineStr">
        <x:is>
          <x:t xml:space="preserve">PV-017</x:t>
        </x:is>
      </x:c>
      <x:c r="D18" s="6" t="inlineStr">
        <x:is>
          <x:t xml:space="preserve">PV-E0</x:t>
        </x:is>
      </x:c>
      <x:c r="E18" s="7" t="n">
        <x:v>7398840.857</x:v>
      </x:c>
      <x:c r="F18" s="7" t="n">
        <x:v>355206.223</x:v>
      </x:c>
      <x:c r="G18" s="7" t="n">
        <x:v>-23.514206</x:v>
      </x:c>
      <x:c r="H18" s="7" t="n">
        <x:v>-46.4182067</x:v>
      </x:c>
      <x:c r="I18" s="7" t="n">
        <x:v>759.032</x:v>
      </x:c>
      <x:c r="J18" s="7" t="n">
        <x:v>755.712</x:v>
      </x:c>
      <x:c r="K18" s="7" t="n">
        <x:v>3.32</x:v>
      </x:c>
      <x:c r="L18" s="6" t="inlineStr">
        <x:is>
          <x:t xml:space="preserve">PV-E0</x:t>
        </x:is>
      </x:c>
    </x:row>
    <x:row r="19">
      <x:c r="A19" s="6" t="inlineStr">
        <x:is>
          <x:t xml:space="preserve">agua</x:t>
        </x:is>
      </x:c>
      <x:c r="B19" s="6" t="inlineStr">
        <x:is>
          <x:t xml:space="preserve">PV</x:t>
        </x:is>
      </x:c>
      <x:c r="C19" s="6" t="inlineStr">
        <x:is>
          <x:t xml:space="preserve">PV-018</x:t>
        </x:is>
      </x:c>
      <x:c r="D19" s="6" t="inlineStr">
        <x:is>
          <x:t xml:space="preserve">PV-E4</x:t>
        </x:is>
      </x:c>
      <x:c r="E19" s="7" t="n">
        <x:v>7398747.999</x:v>
      </x:c>
      <x:c r="F19" s="7" t="n">
        <x:v>355190.986</x:v>
      </x:c>
      <x:c r="G19" s="7" t="n">
        <x:v>-23.5150432</x:v>
      </x:c>
      <x:c r="H19" s="7" t="n">
        <x:v>-46.4183649</x:v>
      </x:c>
      <x:c r="I19" s="7" t="n">
        <x:v>759.578</x:v>
      </x:c>
      <x:c r="J19" s="7" t="n">
        <x:v>756.7380000000001</x:v>
      </x:c>
      <x:c r="K19" s="7" t="n">
        <x:v>2.84</x:v>
      </x:c>
      <x:c r="L19" s="6" t="inlineStr">
        <x:is>
          <x:t xml:space="preserve">PV-E4</x:t>
        </x:is>
      </x:c>
    </x:row>
    <x:row r="20">
      <x:c r="A20" s="6" t="inlineStr">
        <x:is>
          <x:t xml:space="preserve">agua</x:t>
        </x:is>
      </x:c>
      <x:c r="B20" s="6" t="inlineStr">
        <x:is>
          <x:t xml:space="preserve">PV</x:t>
        </x:is>
      </x:c>
      <x:c r="C20" s="6" t="inlineStr">
        <x:is>
          <x:t xml:space="preserve">PV-019</x:t>
        </x:is>
      </x:c>
      <x:c r="D20" s="6" t="inlineStr">
        <x:is>
          <x:t xml:space="preserve">PV-E6</x:t>
        </x:is>
      </x:c>
      <x:c r="E20" s="7" t="n">
        <x:v>7398621.138</x:v>
      </x:c>
      <x:c r="F20" s="7" t="n">
        <x:v>355224.768</x:v>
      </x:c>
      <x:c r="G20" s="7" t="n">
        <x:v>-23.5161918</x:v>
      </x:c>
      <x:c r="H20" s="7" t="n">
        <x:v>-46.4180463</x:v>
      </x:c>
      <x:c r="I20" s="7" t="n">
        <x:v>760.537</x:v>
      </x:c>
      <x:c r="J20" s="7" t="n">
        <x:v>757.527</x:v>
      </x:c>
      <x:c r="K20" s="7" t="n">
        <x:v>3.01</x:v>
      </x:c>
      <x:c r="L20" s="6" t="inlineStr">
        <x:is>
          <x:t xml:space="preserve">PV-E6</x:t>
        </x:is>
      </x:c>
    </x:row>
    <x:row r="21">
      <x:c r="A21" s="6" t="inlineStr">
        <x:is>
          <x:t xml:space="preserve">agua</x:t>
        </x:is>
      </x:c>
      <x:c r="B21" s="6" t="inlineStr">
        <x:is>
          <x:t xml:space="preserve">PV</x:t>
        </x:is>
      </x:c>
      <x:c r="C21" s="6" t="inlineStr">
        <x:is>
          <x:t xml:space="preserve">PV-020</x:t>
        </x:is>
      </x:c>
      <x:c r="D21" s="6" t="inlineStr">
        <x:is>
          <x:t xml:space="preserve">PV-E16</x:t>
        </x:is>
      </x:c>
      <x:c r="E21" s="7" t="n">
        <x:v>7398352.329</x:v>
      </x:c>
      <x:c r="F21" s="7" t="n">
        <x:v>355353.994</x:v>
      </x:c>
      <x:c r="G21" s="7" t="n">
        <x:v>-23.5186306</x:v>
      </x:c>
      <x:c r="H21" s="7" t="n">
        <x:v>-46.4168069</x:v>
      </x:c>
      <x:c r="I21" s="7" t="n">
        <x:v>763.636</x:v>
      </x:c>
      <x:c r="J21" s="7" t="n">
        <x:v>760.346</x:v>
      </x:c>
      <x:c r="K21" s="7" t="n">
        <x:v>3.29</x:v>
      </x:c>
      <x:c r="L21" s="6" t="inlineStr">
        <x:is>
          <x:t xml:space="preserve">PV-E16</x:t>
        </x:is>
      </x:c>
    </x:row>
    <x:row r="22">
      <x:c r="A22" s="6" t="inlineStr">
        <x:is>
          <x:t xml:space="preserve">agua</x:t>
        </x:is>
      </x:c>
      <x:c r="B22" s="6" t="inlineStr">
        <x:is>
          <x:t xml:space="preserve">PV</x:t>
        </x:is>
      </x:c>
      <x:c r="C22" s="6" t="inlineStr">
        <x:is>
          <x:t xml:space="preserve">PV-021</x:t>
        </x:is>
      </x:c>
      <x:c r="D22" s="6" t="inlineStr">
        <x:is>
          <x:t xml:space="preserve">PV-E19</x:t>
        </x:is>
      </x:c>
      <x:c r="E22" s="7" t="n">
        <x:v>7398249.977</x:v>
      </x:c>
      <x:c r="F22" s="7" t="n">
        <x:v>355402.618</x:v>
      </x:c>
      <x:c r="G22" s="7" t="n">
        <x:v>-23.5195592</x:v>
      </x:c>
      <x:c r="H22" s="7" t="n">
        <x:v>-46.4163406</x:v>
      </x:c>
      <x:c r="I22" s="7" t="n">
        <x:v>765.433</x:v>
      </x:c>
      <x:c r="J22" s="7" t="n">
        <x:v>761.653</x:v>
      </x:c>
      <x:c r="K22" s="7" t="n">
        <x:v>3.78</x:v>
      </x:c>
      <x:c r="L22" s="6" t="inlineStr">
        <x:is>
          <x:t xml:space="preserve">PV-E19</x:t>
        </x:is>
      </x:c>
    </x:row>
    <x:row r="23">
      <x:c r="A23" s="6" t="inlineStr">
        <x:is>
          <x:t xml:space="preserve">agua</x:t>
        </x:is>
      </x:c>
      <x:c r="B23" s="6" t="inlineStr">
        <x:is>
          <x:t xml:space="preserve">PV</x:t>
        </x:is>
      </x:c>
      <x:c r="C23" s="6" t="inlineStr">
        <x:is>
          <x:t xml:space="preserve">PV-022</x:t>
        </x:is>
      </x:c>
      <x:c r="D23" s="6" t="inlineStr">
        <x:is>
          <x:t xml:space="preserve">PV-E22</x:t>
        </x:is>
      </x:c>
      <x:c r="E23" s="7" t="n">
        <x:v>7398119.052</x:v>
      </x:c>
      <x:c r="F23" s="7" t="n">
        <x:v>355423.024</x:v>
      </x:c>
      <x:c r="G23" s="7" t="n">
        <x:v>-23.5207433</x:v>
      </x:c>
      <x:c r="H23" s="7" t="n">
        <x:v>-46.4161534</x:v>
      </x:c>
      <x:c r="I23" s="7" t="n">
        <x:v>769.562</x:v>
      </x:c>
      <x:c r="J23" s="7" t="n">
        <x:v>765.432</x:v>
      </x:c>
      <x:c r="K23" s="7" t="n">
        <x:v>4.13</x:v>
      </x:c>
      <x:c r="L23" s="6" t="inlineStr">
        <x:is>
          <x:t xml:space="preserve">PV-E22</x:t>
        </x:is>
      </x:c>
    </x:row>
    <x:row r="24">
      <x:c r="A24" s="6" t="inlineStr">
        <x:is>
          <x:t xml:space="preserve">agua</x:t>
        </x:is>
      </x:c>
      <x:c r="B24" s="6" t="inlineStr">
        <x:is>
          <x:t xml:space="preserve">PV</x:t>
        </x:is>
      </x:c>
      <x:c r="C24" s="6" t="inlineStr">
        <x:is>
          <x:t xml:space="preserve">PV-023</x:t>
        </x:is>
      </x:c>
      <x:c r="D24" s="6" t="inlineStr">
        <x:is>
          <x:t xml:space="preserve">PV-E24</x:t>
        </x:is>
      </x:c>
      <x:c r="E24" s="7" t="n">
        <x:v>7397991.992</x:v>
      </x:c>
      <x:c r="F24" s="7" t="n">
        <x:v>355418.701</x:v>
      </x:c>
      <x:c r="G24" s="7" t="n">
        <x:v>-23.5218903</x:v>
      </x:c>
      <x:c r="H24" s="7" t="n">
        <x:v>-46.416208</x:v>
      </x:c>
      <x:c r="I24" s="7" t="n">
        <x:v>770.668</x:v>
      </x:c>
      <x:c r="J24" s="7" t="n">
        <x:v>767.018</x:v>
      </x:c>
      <x:c r="K24" s="7" t="n">
        <x:v>3.65</x:v>
      </x:c>
      <x:c r="L24" s="6" t="inlineStr">
        <x:is>
          <x:t xml:space="preserve">PV-E24</x:t>
        </x:is>
      </x:c>
    </x:row>
    <x:row r="25">
      <x:c r="A25" s="6" t="inlineStr">
        <x:is>
          <x:t xml:space="preserve">agua</x:t>
        </x:is>
      </x:c>
      <x:c r="B25" s="6" t="inlineStr">
        <x:is>
          <x:t xml:space="preserve">PV</x:t>
        </x:is>
      </x:c>
      <x:c r="C25" s="6" t="inlineStr">
        <x:is>
          <x:t xml:space="preserve">PV-024</x:t>
        </x:is>
      </x:c>
      <x:c r="D25" s="6" t="inlineStr">
        <x:is>
          <x:t xml:space="preserve">PV-E1.1</x:t>
        </x:is>
      </x:c>
      <x:c r="E25" s="7" t="n">
        <x:v>7398912.004</x:v>
      </x:c>
      <x:c r="F25" s="7" t="n">
        <x:v>355182.174</x:v>
      </x:c>
      <x:c r="G25" s="7" t="n">
        <x:v>-23.5135614</x:v>
      </x:c>
      <x:c r="H25" s="7" t="n">
        <x:v>-46.4184353</x:v>
      </x:c>
      <x:c r="I25" s="7" t="n">
        <x:v>758.452</x:v>
      </x:c>
      <x:c r="J25" s="7" t="n">
        <x:v>756.852</x:v>
      </x:c>
      <x:c r="K25" s="7" t="n">
        <x:v>1.6</x:v>
      </x:c>
      <x:c r="L25" s="6" t="inlineStr">
        <x:is>
          <x:t xml:space="preserve">PV-E1.1</x:t>
        </x:is>
      </x:c>
    </x:row>
    <x:row r="26">
      <x:c r="A26" s="6" t="inlineStr">
        <x:is>
          <x:t xml:space="preserve">agua</x:t>
        </x:is>
      </x:c>
      <x:c r="B26" s="6" t="inlineStr">
        <x:is>
          <x:t xml:space="preserve">PV</x:t>
        </x:is>
      </x:c>
      <x:c r="C26" s="6" t="inlineStr">
        <x:is>
          <x:t xml:space="preserve">PV-025</x:t>
        </x:is>
      </x:c>
      <x:c r="D26" s="6" t="inlineStr">
        <x:is>
          <x:t xml:space="preserve">PV-E17.1</x:t>
        </x:is>
      </x:c>
      <x:c r="E26" s="7" t="n">
        <x:v>7398331.036</x:v>
      </x:c>
      <x:c r="F26" s="7" t="n">
        <x:v>355401.686</x:v>
      </x:c>
      <x:c r="G26" s="7" t="n">
        <x:v>-23.5188272</x:v>
      </x:c>
      <x:c r="H26" s="7" t="n">
        <x:v>-46.4163419</x:v>
      </x:c>
      <x:c r="I26" s="7" t="n">
        <x:v>763.144</x:v>
      </x:c>
      <x:c r="J26" s="7" t="n">
        <x:v>761.264</x:v>
      </x:c>
      <x:c r="K26" s="7" t="n">
        <x:v>1.88</x:v>
      </x:c>
      <x:c r="L26" s="6" t="inlineStr">
        <x:is>
          <x:t xml:space="preserve">PV-E17.1</x:t>
        </x:is>
      </x:c>
    </x:row>
    <x:row r="27">
      <x:c r="A27" s="6" t="inlineStr">
        <x:is>
          <x:t xml:space="preserve">agua</x:t>
        </x:is>
      </x:c>
      <x:c r="B27" s="6" t="inlineStr">
        <x:is>
          <x:t xml:space="preserve">PV</x:t>
        </x:is>
      </x:c>
      <x:c r="C27" s="6" t="inlineStr">
        <x:is>
          <x:t xml:space="preserve">PV-026</x:t>
        </x:is>
      </x:c>
      <x:c r="D27" s="6" t="inlineStr">
        <x:is>
          <x:t xml:space="preserve">PV-E21.1</x:t>
        </x:is>
      </x:c>
      <x:c r="E27" s="7" t="n">
        <x:v>7398190.226</x:v>
      </x:c>
      <x:c r="F27" s="7" t="n">
        <x:v>355467.415</x:v>
      </x:c>
      <x:c r="G27" s="7" t="n">
        <x:v>-23.5201046</x:v>
      </x:c>
      <x:c r="H27" s="7" t="n">
        <x:v>-46.4157118</x:v>
      </x:c>
      <x:c r="I27" s="7" t="n">
        <x:v>764.926</x:v>
      </x:c>
      <x:c r="J27" s="7" t="n">
        <x:v>763.0359999999999</x:v>
      </x:c>
      <x:c r="K27" s="7" t="n">
        <x:v>1.89</x:v>
      </x:c>
      <x:c r="L27" s="6" t="inlineStr">
        <x:is>
          <x:t xml:space="preserve">PV-E21.1</x:t>
        </x:is>
      </x:c>
    </x:row>
    <x:row r="28">
      <x:c r="A28" s="6" t="inlineStr">
        <x:is>
          <x:t xml:space="preserve">agua</x:t>
        </x:is>
      </x:c>
      <x:c r="B28" s="6" t="inlineStr">
        <x:is>
          <x:t xml:space="preserve">PV</x:t>
        </x:is>
      </x:c>
      <x:c r="C28" s="6" t="inlineStr">
        <x:is>
          <x:t xml:space="preserve">PV-027</x:t>
        </x:is>
      </x:c>
      <x:c r="D28" s="6" t="inlineStr">
        <x:is>
          <x:t xml:space="preserve">PV-E16.1</x:t>
        </x:is>
      </x:c>
      <x:c r="E28" s="7" t="n">
        <x:v>7398366.697</x:v>
      </x:c>
      <x:c r="F28" s="7" t="n">
        <x:v>355388.443</x:v>
      </x:c>
      <x:c r="G28" s="7" t="n">
        <x:v>-23.518504</x:v>
      </x:c>
      <x:c r="H28" s="7" t="n">
        <x:v>-46.4164681</x:v>
      </x:c>
      <x:c r="I28" s="7" t="n">
        <x:v>763.521</x:v>
      </x:c>
      <x:c r="J28" s="7" t="n">
        <x:v>761.701</x:v>
      </x:c>
      <x:c r="K28" s="7" t="n">
        <x:v>1.82</x:v>
      </x:c>
      <x:c r="L28" s="6" t="inlineStr">
        <x:is>
          <x:t xml:space="preserve">PV-E16.1</x:t>
        </x:is>
      </x:c>
    </x:row>
    <x:row r="29">
      <x:c r="A29" s="6" t="inlineStr">
        <x:is>
          <x:t xml:space="preserve">agua</x:t>
        </x:is>
      </x:c>
      <x:c r="B29" s="6" t="inlineStr">
        <x:is>
          <x:t xml:space="preserve">PV</x:t>
        </x:is>
      </x:c>
      <x:c r="C29" s="6" t="inlineStr">
        <x:is>
          <x:t xml:space="preserve">PV-028</x:t>
        </x:is>
      </x:c>
      <x:c r="D29" s="6" t="inlineStr">
        <x:is>
          <x:t xml:space="preserve">PV-E18.1</x:t>
        </x:is>
      </x:c>
      <x:c r="E29" s="7" t="n">
        <x:v>7398305.794</x:v>
      </x:c>
      <x:c r="F29" s="7" t="n">
        <x:v>355428.029</x:v>
      </x:c>
      <x:c r="G29" s="7" t="n">
        <x:v>-23.5190575</x:v>
      </x:c>
      <x:c r="H29" s="7" t="n">
        <x:v>-46.4160864</x:v>
      </x:c>
      <x:c r="I29" s="7" t="n">
        <x:v>764.528</x:v>
      </x:c>
      <x:c r="J29" s="7" t="n">
        <x:v>763.038</x:v>
      </x:c>
      <x:c r="K29" s="7" t="n">
        <x:v>1.49</x:v>
      </x:c>
      <x:c r="L29" s="6" t="inlineStr">
        <x:is>
          <x:t xml:space="preserve">PV-E18.1</x:t>
        </x:is>
      </x:c>
    </x:row>
    <x:row r="30">
      <x:c r="A30" s="6" t="inlineStr">
        <x:is>
          <x:t xml:space="preserve">agua</x:t>
        </x:is>
      </x:c>
      <x:c r="B30" s="6" t="inlineStr">
        <x:is>
          <x:t xml:space="preserve">PI</x:t>
        </x:is>
      </x:c>
      <x:c r="C30" s="6" t="inlineStr">
        <x:is>
          <x:t xml:space="preserve">PI-001</x:t>
        </x:is>
      </x:c>
      <x:c r="D30" s="6" t="inlineStr">
        <x:is>
          <x:t xml:space="preserve">PIE-E1.2</x:t>
        </x:is>
      </x:c>
      <x:c r="E30" s="7" t="n">
        <x:v>7398912.477</x:v>
      </x:c>
      <x:c r="F30" s="7" t="n">
        <x:v>355183.218</x:v>
      </x:c>
      <x:c r="G30" s="7" t="n">
        <x:v>-23.5135572</x:v>
      </x:c>
      <x:c r="H30" s="7" t="n">
        <x:v>-46.418425</x:v>
      </x:c>
      <x:c r="I30" s="7" t="n">
        <x:v>758.438</x:v>
      </x:c>
      <x:c r="J30" s="7" t="n">
        <x:v>757.1180000000001</x:v>
      </x:c>
      <x:c r="K30" s="7" t="n">
        <x:v>1.32</x:v>
      </x:c>
      <x:c r="L30" s="6" t="inlineStr">
        <x:is>
          <x:t xml:space="preserve">PIE-E1.2</x:t>
        </x:is>
      </x:c>
    </x:row>
    <x:row r="31">
      <x:c r="A31" s="6" t="inlineStr">
        <x:is>
          <x:t xml:space="preserve">agua</x:t>
        </x:is>
      </x:c>
      <x:c r="B31" s="6" t="inlineStr">
        <x:is>
          <x:t xml:space="preserve">PI</x:t>
        </x:is>
      </x:c>
      <x:c r="C31" s="6" t="inlineStr">
        <x:is>
          <x:t xml:space="preserve">PI-002</x:t>
        </x:is>
      </x:c>
      <x:c r="D31" s="6" t="inlineStr">
        <x:is>
          <x:t xml:space="preserve">PV-E17.2</x:t>
        </x:is>
      </x:c>
      <x:c r="E31" s="7" t="n">
        <x:v>7398333.259</x:v>
      </x:c>
      <x:c r="F31" s="7" t="n">
        <x:v>355400.443</x:v>
      </x:c>
      <x:c r="G31" s="7" t="n">
        <x:v>-23.518807</x:v>
      </x:c>
      <x:c r="H31" s="7" t="n">
        <x:v>-46.4163539</x:v>
      </x:c>
      <x:c r="I31" s="7" t="n">
        <x:v>763.1369999999999</x:v>
      </x:c>
      <x:c r="J31" s="7" t="n">
        <x:v>762.207</x:v>
      </x:c>
      <x:c r="K31" s="7" t="n">
        <x:v>0.93</x:v>
      </x:c>
      <x:c r="L31" s="6" t="inlineStr">
        <x:is>
          <x:t xml:space="preserve">PV-E17.2</x:t>
        </x:is>
      </x:c>
    </x:row>
    <x:row r="32">
      <x:c r="A32" s="6" t="inlineStr">
        <x:is>
          <x:t xml:space="preserve">agua</x:t>
        </x:is>
      </x:c>
      <x:c r="B32" s="6" t="inlineStr">
        <x:is>
          <x:t xml:space="preserve">PI</x:t>
        </x:is>
      </x:c>
      <x:c r="C32" s="6" t="inlineStr">
        <x:is>
          <x:t xml:space="preserve">PI-003</x:t>
        </x:is>
      </x:c>
      <x:c r="D32" s="6" t="inlineStr">
        <x:is>
          <x:t xml:space="preserve">PI-E21.2</x:t>
        </x:is>
      </x:c>
      <x:c r="E32" s="7" t="n">
        <x:v>7398194.496</x:v>
      </x:c>
      <x:c r="F32" s="7" t="n">
        <x:v>355467.697</x:v>
      </x:c>
      <x:c r="G32" s="7" t="n">
        <x:v>-23.520066</x:v>
      </x:c>
      <x:c r="H32" s="7" t="n">
        <x:v>-46.4157087</x:v>
      </x:c>
      <x:c r="I32" s="7" t="n">
        <x:v>764.886</x:v>
      </x:c>
      <x:c r="J32" s="7" t="n">
        <x:v>764.276</x:v>
      </x:c>
      <x:c r="K32" s="7" t="n">
        <x:v>0.61</x:v>
      </x:c>
      <x:c r="L32" s="6" t="inlineStr">
        <x:is>
          <x:t xml:space="preserve">PI-E21.2</x:t>
        </x:is>
      </x:c>
    </x:row>
    <x:row r="33">
      <x:c r="A33" s="6" t="inlineStr">
        <x:is>
          <x:t xml:space="preserve">agua</x:t>
        </x:is>
      </x:c>
      <x:c r="B33" s="6" t="inlineStr">
        <x:is>
          <x:t xml:space="preserve">PI</x:t>
        </x:is>
      </x:c>
      <x:c r="C33" s="6" t="inlineStr">
        <x:is>
          <x:t xml:space="preserve">PI-004</x:t>
        </x:is>
      </x:c>
      <x:c r="D33" s="6" t="inlineStr">
        <x:is>
          <x:t xml:space="preserve">PI-E21.3</x:t>
        </x:is>
      </x:c>
      <x:c r="E33" s="7" t="n">
        <x:v>7398191.194</x:v>
      </x:c>
      <x:c r="F33" s="7" t="n">
        <x:v>355467.615</x:v>
      </x:c>
      <x:c r="G33" s="7" t="n">
        <x:v>-23.5200958</x:v>
      </x:c>
      <x:c r="H33" s="7" t="n">
        <x:v>-46.4157098</x:v>
      </x:c>
      <x:c r="I33" s="7" t="n">
        <x:v>764.904</x:v>
      </x:c>
      <x:c r="J33" s="7" t="n">
        <x:v>763.534</x:v>
      </x:c>
      <x:c r="K33" s="7" t="n">
        <x:v>1.37</x:v>
      </x:c>
      <x:c r="L33" s="6" t="inlineStr">
        <x:is>
          <x:t xml:space="preserve">PI-E21.3</x:t>
        </x:is>
      </x:c>
    </x:row>
    <x:row r="34">
      <x:c r="A34" s="6" t="inlineStr">
        <x:is>
          <x:t xml:space="preserve">rce</x:t>
        </x:is>
      </x:c>
      <x:c r="B34" s="6" t="inlineStr">
        <x:is>
          <x:t xml:space="preserve">PV</x:t>
        </x:is>
      </x:c>
      <x:c r="C34" s="6" t="inlineStr">
        <x:is>
          <x:t xml:space="preserve">FSM-PV-001</x:t>
        </x:is>
      </x:c>
      <x:c r="D34" s="6" t="inlineStr">
        <x:is>
          <x:t xml:space="preserve">PVE-4.1</x:t>
        </x:is>
      </x:c>
      <x:c r="E34" s="7" t="n">
        <x:v>7397834.891</x:v>
      </x:c>
      <x:c r="F34" s="7" t="n">
        <x:v>358450.1705</x:v>
      </x:c>
      <x:c r="G34" s="7" t="n">
        <x:v>-23.52357620464922</x:v>
      </x:c>
      <x:c r="H34" s="7" t="n">
        <x:v>-46.38653574868297</x:v>
      </x:c>
      <x:c r="I34" s="7" t="n">
        <x:v>814.616</x:v>
      </x:c>
      <x:c r="J34" s="7" t="n">
        <x:v>811.17</x:v>
      </x:c>
      <x:c r="K34" s="7" t="n">
        <x:v>3.45</x:v>
      </x:c>
      <x:c r="L34" s="6" t="inlineStr">
        <x:is>
          <x:t xml:space="preserve">PVE-4.1</x:t>
        </x:is>
      </x:c>
    </x:row>
    <x:row r="35">
      <x:c r="A35" s="6" t="inlineStr">
        <x:is>
          <x:t xml:space="preserve">rce</x:t>
        </x:is>
      </x:c>
      <x:c r="B35" s="6" t="inlineStr">
        <x:is>
          <x:t xml:space="preserve">PV</x:t>
        </x:is>
      </x:c>
      <x:c r="C35" s="6" t="inlineStr">
        <x:is>
          <x:t xml:space="preserve">FSM-PV-002</x:t>
        </x:is>
      </x:c>
      <x:c r="D35" s="6" t="inlineStr">
        <x:is>
          <x:t xml:space="preserve">PV-4.4</x:t>
        </x:is>
      </x:c>
      <x:c r="E35" s="7" t="n">
        <x:v>7397821.2168</x:v>
      </x:c>
      <x:c r="F35" s="7" t="n">
        <x:v>358550.9658</x:v>
      </x:c>
      <x:c r="G35" s="7" t="n">
        <x:v>-23.52370847526354</x:v>
      </x:c>
      <x:c r="H35" s="7" t="n">
        <x:v>-46.38554993632482</x:v>
      </x:c>
      <x:c r="I35" s="7" t="n">
        <x:v>813.842</x:v>
      </x:c>
      <x:c r="J35" s="7" t="n">
        <x:v>812.692</x:v>
      </x:c>
      <x:c r="K35" s="7" t="n">
        <x:v>1.15</x:v>
      </x:c>
      <x:c r="L35" s="6" t="inlineStr">
        <x:is>
          <x:t xml:space="preserve">PV-4.4</x:t>
        </x:is>
      </x:c>
    </x:row>
    <x:row r="36">
      <x:c r="A36" s="6" t="inlineStr">
        <x:is>
          <x:t xml:space="preserve">rce</x:t>
        </x:is>
      </x:c>
      <x:c r="B36" s="6" t="inlineStr">
        <x:is>
          <x:t xml:space="preserve">PV</x:t>
        </x:is>
      </x:c>
      <x:c r="C36" s="6" t="inlineStr">
        <x:is>
          <x:t xml:space="preserve">FSM-PV-003</x:t>
        </x:is>
      </x:c>
      <x:c r="D36" s="6" t="inlineStr">
        <x:is>
          <x:t xml:space="preserve">PV-4.5</x:t>
        </x:is>
      </x:c>
      <x:c r="E36" s="7" t="n">
        <x:v>7397844.7589</x:v>
      </x:c>
      <x:c r="F36" s="7" t="n">
        <x:v>358573.069</x:v>
      </x:c>
      <x:c r="G36" s="7" t="n">
        <x:v>-23.52349781228359</x:v>
      </x:c>
      <x:c r="H36" s="7" t="n">
        <x:v>-46.38533125040501</x:v>
      </x:c>
      <x:c r="I36" s="7" t="n">
        <x:v>813.728</x:v>
      </x:c>
      <x:c r="J36" s="7" t="n">
        <x:v>812.498</x:v>
      </x:c>
      <x:c r="K36" s="7" t="n">
        <x:v>1.23</x:v>
      </x:c>
      <x:c r="L36" s="6" t="inlineStr">
        <x:is>
          <x:t xml:space="preserve">PV-4.5</x:t>
        </x:is>
      </x:c>
    </x:row>
    <x:row r="37">
      <x:c r="A37" s="6" t="inlineStr">
        <x:is>
          <x:t xml:space="preserve">rce</x:t>
        </x:is>
      </x:c>
      <x:c r="B37" s="6" t="inlineStr">
        <x:is>
          <x:t xml:space="preserve">PV</x:t>
        </x:is>
      </x:c>
      <x:c r="C37" s="6" t="inlineStr">
        <x:is>
          <x:t xml:space="preserve">FSM-PV-004</x:t>
        </x:is>
      </x:c>
      <x:c r="D37" s="6" t="inlineStr">
        <x:is>
          <x:t xml:space="preserve">PV-4.6</x:t>
        </x:is>
      </x:c>
      <x:c r="E37" s="7" t="n">
        <x:v>7397867.253</x:v>
      </x:c>
      <x:c r="F37" s="7" t="n">
        <x:v>358585.244</x:v>
      </x:c>
      <x:c r="G37" s="7" t="n">
        <x:v>-23.52329574736052</x:v>
      </x:c>
      <x:c r="H37" s="7" t="n">
        <x:v>-46.38520989256995</x:v>
      </x:c>
      <x:c r="I37" s="7" t="n">
        <x:v>813.907</x:v>
      </x:c>
      <x:c r="J37" s="7" t="n">
        <x:v>812.307</x:v>
      </x:c>
      <x:c r="K37" s="7" t="n">
        <x:v>1.6</x:v>
      </x:c>
      <x:c r="L37" s="6" t="inlineStr">
        <x:is>
          <x:t xml:space="preserve">PV-4.6</x:t>
        </x:is>
      </x:c>
    </x:row>
    <x:row r="38">
      <x:c r="A38" s="6" t="inlineStr">
        <x:is>
          <x:t xml:space="preserve">rce</x:t>
        </x:is>
      </x:c>
      <x:c r="B38" s="6" t="inlineStr">
        <x:is>
          <x:t xml:space="preserve">PI</x:t>
        </x:is>
      </x:c>
      <x:c r="C38" s="6" t="inlineStr">
        <x:is>
          <x:t xml:space="preserve">FSM-PI-001</x:t>
        </x:is>
      </x:c>
      <x:c r="D38" s="6" t="inlineStr">
        <x:is>
          <x:t xml:space="preserve">PI-4.2</x:t>
        </x:is>
      </x:c>
      <x:c r="E38" s="7" t="n">
        <x:v>7397815.6314</x:v>
      </x:c>
      <x:c r="F38" s="7" t="n">
        <x:v>358511.1081</x:v>
      </x:c>
      <x:c r="G38" s="7" t="n">
        <x:v>-23.52375543737626</x:v>
      </x:c>
      <x:c r="H38" s="7" t="n">
        <x:v>-46.38594079802948</x:v>
      </x:c>
      <x:c r="I38" s="7" t="n">
        <x:v>813.646</x:v>
      </x:c>
      <x:c r="J38" s="7" t="n">
        <x:v>812.34</x:v>
      </x:c>
      <x:c r="K38" s="7" t="n">
        <x:v>1.31</x:v>
      </x:c>
      <x:c r="L38" s="6" t="inlineStr">
        <x:is>
          <x:t xml:space="preserve">PI-4.2</x:t>
        </x:is>
      </x:c>
    </x:row>
    <x:row r="39">
      <x:c r="A39" s="6" t="inlineStr">
        <x:is>
          <x:t xml:space="preserve">rce</x:t>
        </x:is>
      </x:c>
      <x:c r="B39" s="6" t="inlineStr">
        <x:is>
          <x:t xml:space="preserve">PI</x:t>
        </x:is>
      </x:c>
      <x:c r="C39" s="6" t="inlineStr">
        <x:is>
          <x:t xml:space="preserve">FSM-PI-002</x:t>
        </x:is>
      </x:c>
      <x:c r="D39" s="6" t="inlineStr">
        <x:is>
          <x:t xml:space="preserve">PI-4.3</x:t>
        </x:is>
      </x:c>
      <x:c r="E39" s="7" t="n">
        <x:v>7397820.3341</x:v>
      </x:c>
      <x:c r="F39" s="7" t="n">
        <x:v>358545.4414</x:v>
      </x:c>
      <x:c r="G39" s="7" t="n">
        <x:v>-23.52371596461077</x:v>
      </x:c>
      <x:c r="H39" s="7" t="n">
        <x:v>-46.38560412121029</x:v>
      </x:c>
      <x:c r="I39" s="7" t="n">
        <x:v>813.994</x:v>
      </x:c>
      <x:c r="J39" s="7" t="n">
        <x:v>813.224</x:v>
      </x:c>
      <x:c r="K39" s="7" t="n">
        <x:v>0.77</x:v>
      </x:c>
      <x:c r="L39" s="6" t="inlineStr">
        <x:is>
          <x:t xml:space="preserve">PI-4.3</x:t>
        </x:is>
      </x:c>
    </x:row>
    <x:row r="40">
      <x:c r="A40" s="6" t="inlineStr">
        <x:is>
          <x:t xml:space="preserve">rce</x:t>
        </x:is>
      </x:c>
      <x:c r="B40" s="6" t="inlineStr">
        <x:is>
          <x:t xml:space="preserve">PI</x:t>
        </x:is>
      </x:c>
      <x:c r="C40" s="6" t="inlineStr">
        <x:is>
          <x:t xml:space="preserve">FSM-PI-003</x:t>
        </x:is>
      </x:c>
      <x:c r="D40" s="6" t="inlineStr">
        <x:is>
          <x:t xml:space="preserve">PIE-12</x:t>
        </x:is>
      </x:c>
      <x:c r="E40" s="7" t="n">
        <x:v>7397868.39</x:v>
      </x:c>
      <x:c r="F40" s="7" t="n">
        <x:v>358596.523</x:v>
      </x:c>
      <x:c r="G40" s="7" t="n">
        <x:v>-23.52328646298782</x:v>
      </x:c>
      <x:c r="H40" s="7" t="n">
        <x:v>-46.38509932818698</x:v>
      </x:c>
      <x:c r="I40" s="7" t="n">
        <x:v>813.25</x:v>
      </x:c>
      <x:c r="J40" s="7" t="n">
        <x:v>812.21</x:v>
      </x:c>
      <x:c r="K40" s="7" t="n">
        <x:v>1.04</x:v>
      </x:c>
      <x:c r="L40" s="6" t="inlineStr">
        <x:is>
          <x:t xml:space="preserve">PIE-12</x:t>
        </x:is>
      </x:c>
    </x:row>
    <x:row r="41">
      <x:c r="A41" s="6" t="inlineStr">
        <x:is>
          <x:t xml:space="preserve">conceicao</x:t>
        </x:is>
      </x:c>
      <x:c r="B41" s="6" t="inlineStr">
        <x:is>
          <x:t xml:space="preserve">PV</x:t>
        </x:is>
      </x:c>
      <x:c r="C41" s="6" t="inlineStr">
        <x:is>
          <x:t xml:space="preserve">CONC-PV-001</x:t>
        </x:is>
      </x:c>
      <x:c r="D41" s="6" t="inlineStr">
        <x:is>
          <x:t xml:space="preserve">PVE-01</x:t>
        </x:is>
      </x:c>
      <x:c r="E41" s="7" t="n">
        <x:v>7397593.025</x:v>
      </x:c>
      <x:c r="F41" s="7" t="n">
        <x:v>357370.635</x:v>
      </x:c>
      <x:c r="G41" s="7" t="n">
        <x:v>-23.5256658</x:v>
      </x:c>
      <x:c r="H41" s="7" t="n">
        <x:v>-46.3971308</x:v>
      </x:c>
      <x:c r="I41" s="6" t="n"/>
      <x:c r="J41" s="6" t="n"/>
      <x:c r="K41" s="6" t="n"/>
      <x:c r="L41" s="6" t="inlineStr">
        <x:is>
          <x:t xml:space="preserve">PDF Ordem de Serviço</x:t>
        </x:is>
      </x:c>
    </x:row>
    <x:row r="42">
      <x:c r="A42" s="6" t="inlineStr">
        <x:is>
          <x:t xml:space="preserve">conceicao</x:t>
        </x:is>
      </x:c>
      <x:c r="B42" s="6" t="inlineStr">
        <x:is>
          <x:t xml:space="preserve">PV</x:t>
        </x:is>
      </x:c>
      <x:c r="C42" s="6" t="inlineStr">
        <x:is>
          <x:t xml:space="preserve">CONC-PV-002</x:t>
        </x:is>
      </x:c>
      <x:c r="D42" s="6" t="inlineStr">
        <x:is>
          <x:t xml:space="preserve">PV-01</x:t>
        </x:is>
      </x:c>
      <x:c r="E42" s="7" t="n">
        <x:v>7397548.52</x:v>
      </x:c>
      <x:c r="F42" s="7" t="n">
        <x:v>357357.37</x:v>
      </x:c>
      <x:c r="G42" s="7" t="n">
        <x:v>-23.5260665</x:v>
      </x:c>
      <x:c r="H42" s="7" t="n">
        <x:v>-46.397265</x:v>
      </x:c>
      <x:c r="I42" s="6" t="n"/>
      <x:c r="J42" s="6" t="n"/>
      <x:c r="K42" s="6" t="n"/>
      <x:c r="L42" s="6" t="inlineStr">
        <x:is>
          <x:t xml:space="preserve">PDF Ordem de Serviço</x:t>
        </x:is>
      </x:c>
    </x:row>
    <x:row r="43">
      <x:c r="A43" s="6" t="inlineStr">
        <x:is>
          <x:t xml:space="preserve">conceicao</x:t>
        </x:is>
      </x:c>
      <x:c r="B43" s="6" t="inlineStr">
        <x:is>
          <x:t xml:space="preserve">PV</x:t>
        </x:is>
      </x:c>
      <x:c r="C43" s="6" t="inlineStr">
        <x:is>
          <x:t xml:space="preserve">CONC-PV-003</x:t>
        </x:is>
      </x:c>
      <x:c r="D43" s="6" t="inlineStr">
        <x:is>
          <x:t xml:space="preserve">PV-02</x:t>
        </x:is>
      </x:c>
      <x:c r="E43" s="7" t="n">
        <x:v>7397471.878</x:v>
      </x:c>
      <x:c r="F43" s="7" t="n">
        <x:v>357346.272</x:v>
      </x:c>
      <x:c r="G43" s="7" t="n">
        <x:v>-23.5267576</x:v>
      </x:c>
      <x:c r="H43" s="7" t="n">
        <x:v>-46.397381</x:v>
      </x:c>
      <x:c r="I43" s="6" t="n"/>
      <x:c r="J43" s="6" t="n"/>
      <x:c r="K43" s="6" t="n"/>
      <x:c r="L43" s="6" t="inlineStr">
        <x:is>
          <x:t xml:space="preserve">PDF Ordem de Serviço</x:t>
        </x:is>
      </x:c>
    </x:row>
    <x:row r="44">
      <x:c r="A44" s="6" t="inlineStr">
        <x:is>
          <x:t xml:space="preserve">conceicao</x:t>
        </x:is>
      </x:c>
      <x:c r="B44" s="6" t="inlineStr">
        <x:is>
          <x:t xml:space="preserve">PV</x:t>
        </x:is>
      </x:c>
      <x:c r="C44" s="6" t="inlineStr">
        <x:is>
          <x:t xml:space="preserve">CONC-PV-004</x:t>
        </x:is>
      </x:c>
      <x:c r="D44" s="6" t="inlineStr">
        <x:is>
          <x:t xml:space="preserve">PV-04</x:t>
        </x:is>
      </x:c>
      <x:c r="E44" s="7" t="n">
        <x:v>7397533.609</x:v>
      </x:c>
      <x:c r="F44" s="7" t="n">
        <x:v>357296.769</x:v>
      </x:c>
      <x:c r="G44" s="7" t="n">
        <x:v>-23.5261958</x:v>
      </x:c>
      <x:c r="H44" s="7" t="n">
        <x:v>-46.3978599</x:v>
      </x:c>
      <x:c r="I44" s="6" t="n"/>
      <x:c r="J44" s="6" t="n"/>
      <x:c r="K44" s="6" t="n"/>
      <x:c r="L44" s="6" t="inlineStr">
        <x:is>
          <x:t xml:space="preserve">PDF Ordem de Serviço</x:t>
        </x:is>
      </x:c>
    </x:row>
    <x:row r="45">
      <x:c r="A45" s="6" t="inlineStr">
        <x:is>
          <x:t xml:space="preserve">conceicao</x:t>
        </x:is>
      </x:c>
      <x:c r="B45" s="6" t="inlineStr">
        <x:is>
          <x:t xml:space="preserve">PV</x:t>
        </x:is>
      </x:c>
      <x:c r="C45" s="6" t="inlineStr">
        <x:is>
          <x:t xml:space="preserve">CONC-PV-005</x:t>
        </x:is>
      </x:c>
      <x:c r="D45" s="6" t="inlineStr">
        <x:is>
          <x:t xml:space="preserve">PV-06</x:t>
        </x:is>
      </x:c>
      <x:c r="E45" s="7" t="n">
        <x:v>7397600.232</x:v>
      </x:c>
      <x:c r="F45" s="7" t="n">
        <x:v>357230.93</x:v>
      </x:c>
      <x:c r="G45" s="7" t="n">
        <x:v>-23.5255884</x:v>
      </x:c>
      <x:c r="H45" s="7" t="n">
        <x:v>-46.3984983</x:v>
      </x:c>
      <x:c r="I45" s="6" t="n"/>
      <x:c r="J45" s="6" t="n"/>
      <x:c r="K45" s="6" t="n"/>
      <x:c r="L45" s="6" t="inlineStr">
        <x:is>
          <x:t xml:space="preserve">PDF Ordem de Serviço</x:t>
        </x:is>
      </x:c>
    </x:row>
    <x:row r="46">
      <x:c r="A46" s="6" t="inlineStr">
        <x:is>
          <x:t xml:space="preserve">conceicao</x:t>
        </x:is>
      </x:c>
      <x:c r="B46" s="6" t="inlineStr">
        <x:is>
          <x:t xml:space="preserve">PV</x:t>
        </x:is>
      </x:c>
      <x:c r="C46" s="6" t="inlineStr">
        <x:is>
          <x:t xml:space="preserve">CONC-PV-006</x:t>
        </x:is>
      </x:c>
      <x:c r="D46" s="6" t="inlineStr">
        <x:is>
          <x:t xml:space="preserve">PV-08</x:t>
        </x:is>
      </x:c>
      <x:c r="E46" s="7" t="n">
        <x:v>7397560.584</x:v>
      </x:c>
      <x:c r="F46" s="7" t="n">
        <x:v>357161.927</x:v>
      </x:c>
      <x:c r="G46" s="7" t="n">
        <x:v>-23.5259403</x:v>
      </x:c>
      <x:c r="H46" s="7" t="n">
        <x:v>-46.3991779</x:v>
      </x:c>
      <x:c r="I46" s="6" t="n"/>
      <x:c r="J46" s="6" t="n"/>
      <x:c r="K46" s="6" t="n"/>
      <x:c r="L46" s="6" t="inlineStr">
        <x:is>
          <x:t xml:space="preserve">PDF Ordem de Serviço</x:t>
        </x:is>
      </x:c>
    </x:row>
    <x:row r="47">
      <x:c r="A47" s="6" t="inlineStr">
        <x:is>
          <x:t xml:space="preserve">conceicao</x:t>
        </x:is>
      </x:c>
      <x:c r="B47" s="6" t="inlineStr">
        <x:is>
          <x:t xml:space="preserve">PV</x:t>
        </x:is>
      </x:c>
      <x:c r="C47" s="6" t="inlineStr">
        <x:is>
          <x:t xml:space="preserve">CONC-PV-007</x:t>
        </x:is>
      </x:c>
      <x:c r="D47" s="6" t="inlineStr">
        <x:is>
          <x:t xml:space="preserve">PV-09</x:t>
        </x:is>
      </x:c>
      <x:c r="E47" s="7" t="n">
        <x:v>7397523.601</x:v>
      </x:c>
      <x:c r="F47" s="7" t="n">
        <x:v>357091.055</x:v>
      </x:c>
      <x:c r="G47" s="7" t="n">
        <x:v>-23.5262681</x:v>
      </x:c>
      <x:c r="H47" s="7" t="n">
        <x:v>-46.3998755</x:v>
      </x:c>
      <x:c r="I47" s="6" t="n"/>
      <x:c r="J47" s="6" t="n"/>
      <x:c r="K47" s="6" t="n"/>
      <x:c r="L47" s="6" t="inlineStr">
        <x:is>
          <x:t xml:space="preserve">PDF Ordem de Serviço</x:t>
        </x:is>
      </x:c>
    </x:row>
    <x:row r="48">
      <x:c r="A48" s="6" t="inlineStr">
        <x:is>
          <x:t xml:space="preserve">conceicao</x:t>
        </x:is>
      </x:c>
      <x:c r="B48" s="6" t="inlineStr">
        <x:is>
          <x:t xml:space="preserve">PV</x:t>
        </x:is>
      </x:c>
      <x:c r="C48" s="6" t="inlineStr">
        <x:is>
          <x:t xml:space="preserve">CONC-PV-008</x:t>
        </x:is>
      </x:c>
      <x:c r="D48" s="6" t="inlineStr">
        <x:is>
          <x:t xml:space="preserve">PV-10.1</x:t>
        </x:is>
      </x:c>
      <x:c r="E48" s="7" t="n">
        <x:v>7397442.914</x:v>
      </x:c>
      <x:c r="F48" s="7" t="n">
        <x:v>356944.388</x:v>
      </x:c>
      <x:c r="G48" s="7" t="n">
        <x:v>-23.5269837</x:v>
      </x:c>
      <x:c r="H48" s="7" t="n">
        <x:v>-46.4013196</x:v>
      </x:c>
      <x:c r="I48" s="6" t="n"/>
      <x:c r="J48" s="6" t="n"/>
      <x:c r="K48" s="6" t="n"/>
      <x:c r="L48" s="6" t="inlineStr">
        <x:is>
          <x:t xml:space="preserve">PDF Ordem de Serviço</x:t>
        </x:is>
      </x:c>
    </x:row>
    <x:row r="49">
      <x:c r="A49" s="6" t="inlineStr">
        <x:is>
          <x:t xml:space="preserve">conceicao</x:t>
        </x:is>
      </x:c>
      <x:c r="B49" s="6" t="inlineStr">
        <x:is>
          <x:t xml:space="preserve">PV</x:t>
        </x:is>
      </x:c>
      <x:c r="C49" s="6" t="inlineStr">
        <x:is>
          <x:t xml:space="preserve">CONC-PV-009</x:t>
        </x:is>
      </x:c>
      <x:c r="D49" s="6" t="inlineStr">
        <x:is>
          <x:t xml:space="preserve">PV-09.1</x:t>
        </x:is>
      </x:c>
      <x:c r="E49" s="7" t="n">
        <x:v>7397501.748</x:v>
      </x:c>
      <x:c r="F49" s="7" t="n">
        <x:v>357051.462</x:v>
      </x:c>
      <x:c r="G49" s="7" t="n">
        <x:v>-23.5264619</x:v>
      </x:c>
      <x:c r="H49" s="7" t="n">
        <x:v>-46.4002653</x:v>
      </x:c>
      <x:c r="I49" s="6" t="n"/>
      <x:c r="J49" s="6" t="n"/>
      <x:c r="K49" s="6" t="n"/>
      <x:c r="L49" s="6" t="inlineStr">
        <x:is>
          <x:t xml:space="preserve">PDF Ordem de Serviço</x:t>
        </x:is>
      </x:c>
    </x:row>
    <x:row r="50">
      <x:c r="A50" s="6" t="inlineStr">
        <x:is>
          <x:t xml:space="preserve">conceicao</x:t>
        </x:is>
      </x:c>
      <x:c r="B50" s="6" t="inlineStr">
        <x:is>
          <x:t xml:space="preserve">PV</x:t>
        </x:is>
      </x:c>
      <x:c r="C50" s="6" t="inlineStr">
        <x:is>
          <x:t xml:space="preserve">CONC-PV-010</x:t>
        </x:is>
      </x:c>
      <x:c r="D50" s="6" t="inlineStr">
        <x:is>
          <x:t xml:space="preserve">PV-10</x:t>
        </x:is>
      </x:c>
      <x:c r="E50" s="7" t="n">
        <x:v>7397480.869</x:v>
      </x:c>
      <x:c r="F50" s="7" t="n">
        <x:v>357014.386</x:v>
      </x:c>
      <x:c r="G50" s="7" t="n">
        <x:v>-23.5266472</x:v>
      </x:c>
      <x:c r="H50" s="7" t="n">
        <x:v>-46.4006304</x:v>
      </x:c>
      <x:c r="I50" s="6" t="n"/>
      <x:c r="J50" s="6" t="n"/>
      <x:c r="K50" s="6" t="n"/>
      <x:c r="L50" s="6" t="inlineStr">
        <x:is>
          <x:t xml:space="preserve">PDF Ordem de Serviço</x:t>
        </x:is>
      </x:c>
    </x:row>
    <x:row r="51">
      <x:c r="A51" s="6" t="inlineStr">
        <x:is>
          <x:t xml:space="preserve">conceicao</x:t>
        </x:is>
      </x:c>
      <x:c r="B51" s="6" t="inlineStr">
        <x:is>
          <x:t xml:space="preserve">PV</x:t>
        </x:is>
      </x:c>
      <x:c r="C51" s="6" t="inlineStr">
        <x:is>
          <x:t xml:space="preserve">CONC-PV-011</x:t>
        </x:is>
      </x:c>
      <x:c r="D51" s="6" t="inlineStr">
        <x:is>
          <x:t xml:space="preserve">PV-10.2</x:t>
        </x:is>
      </x:c>
      <x:c r="E51" s="7" t="n">
        <x:v>7397418.988</x:v>
      </x:c>
      <x:c r="F51" s="7" t="n">
        <x:v>356958.779</x:v>
      </x:c>
      <x:c r="G51" s="7" t="n">
        <x:v>-23.5272011</x:v>
      </x:c>
      <x:c r="H51" s="7" t="n">
        <x:v>-46.4011809</x:v>
      </x:c>
      <x:c r="I51" s="6" t="n"/>
      <x:c r="J51" s="6" t="n"/>
      <x:c r="K51" s="6" t="n"/>
      <x:c r="L51" s="6" t="inlineStr">
        <x:is>
          <x:t xml:space="preserve">PDF Ordem de Serviço</x:t>
        </x:is>
      </x:c>
    </x:row>
    <x:row r="52">
      <x:c r="A52" s="6" t="inlineStr">
        <x:is>
          <x:t xml:space="preserve">conceicao</x:t>
        </x:is>
      </x:c>
      <x:c r="B52" s="6" t="inlineStr">
        <x:is>
          <x:t xml:space="preserve">PV</x:t>
        </x:is>
      </x:c>
      <x:c r="C52" s="6" t="inlineStr">
        <x:is>
          <x:t xml:space="preserve">CONC-PV-012</x:t>
        </x:is>
      </x:c>
      <x:c r="D52" s="6" t="inlineStr">
        <x:is>
          <x:t xml:space="preserve">PV-11</x:t>
        </x:is>
      </x:c>
      <x:c r="E52" s="7" t="n">
        <x:v>7397463.318</x:v>
      </x:c>
      <x:c r="F52" s="7" t="n">
        <x:v>357021.689</x:v>
      </x:c>
      <x:c r="G52" s="7" t="n">
        <x:v>-23.5268063</x:v>
      </x:c>
      <x:c r="H52" s="7" t="n">
        <x:v>-46.4005606</x:v>
      </x:c>
      <x:c r="I52" s="6" t="n"/>
      <x:c r="J52" s="6" t="n"/>
      <x:c r="K52" s="6" t="n"/>
      <x:c r="L52" s="6" t="inlineStr">
        <x:is>
          <x:t xml:space="preserve">PDF Ordem de Serviço</x:t>
        </x:is>
      </x:c>
    </x:row>
    <x:row r="53">
      <x:c r="A53" s="6" t="inlineStr">
        <x:is>
          <x:t xml:space="preserve">agua_md</x:t>
        </x:is>
      </x:c>
      <x:c r="B53" s="6" t="inlineStr">
        <x:is>
          <x:t xml:space="preserve">PV</x:t>
        </x:is>
      </x:c>
      <x:c r="C53" s="6" t="inlineStr">
        <x:is>
          <x:t xml:space="preserve">AVMD-PV-001</x:t>
        </x:is>
      </x:c>
      <x:c r="D53" s="6" t="inlineStr">
        <x:is>
          <x:t xml:space="preserve">PVD-02</x:t>
        </x:is>
      </x:c>
      <x:c r="E53" s="7" t="n">
        <x:v>7398829.519</x:v>
      </x:c>
      <x:c r="F53" s="7" t="n">
        <x:v>355263.198</x:v>
      </x:c>
      <x:c r="G53" s="7" t="n">
        <x:v>-23.5143135</x:v>
      </x:c>
      <x:c r="H53" s="7" t="n">
        <x:v>-46.4176499</x:v>
      </x:c>
      <x:c r="I53" s="6" t="n"/>
      <x:c r="J53" s="6" t="n"/>
      <x:c r="K53" s="6" t="n"/>
      <x:c r="L53" s="6" t="inlineStr">
        <x:is>
          <x:t xml:space="preserve">PDF Ordem de Serviço</x:t>
        </x:is>
      </x:c>
    </x:row>
    <x:row r="54">
      <x:c r="A54" s="6" t="inlineStr">
        <x:is>
          <x:t xml:space="preserve">agua_md</x:t>
        </x:is>
      </x:c>
      <x:c r="B54" s="6" t="inlineStr">
        <x:is>
          <x:t xml:space="preserve">PV</x:t>
        </x:is>
      </x:c>
      <x:c r="C54" s="6" t="inlineStr">
        <x:is>
          <x:t xml:space="preserve">AVMD-PV-002</x:t>
        </x:is>
      </x:c>
      <x:c r="D54" s="6" t="inlineStr">
        <x:is>
          <x:t xml:space="preserve">PVD-03</x:t>
        </x:is>
      </x:c>
      <x:c r="E54" s="7" t="n">
        <x:v>7398772.581</x:v>
      </x:c>
      <x:c r="F54" s="7" t="n">
        <x:v>355281.079</x:v>
      </x:c>
      <x:c r="G54" s="7" t="n">
        <x:v>-23.5148292</x:v>
      </x:c>
      <x:c r="H54" s="7" t="n">
        <x:v>-46.4174803</x:v>
      </x:c>
      <x:c r="I54" s="6" t="n"/>
      <x:c r="J54" s="6" t="n"/>
      <x:c r="K54" s="6" t="n"/>
      <x:c r="L54" s="6" t="inlineStr">
        <x:is>
          <x:t xml:space="preserve">PDF Ordem de Serviço</x:t>
        </x:is>
      </x:c>
    </x:row>
    <x:row r="55">
      <x:c r="A55" s="6" t="inlineStr">
        <x:is>
          <x:t xml:space="preserve">agua_md</x:t>
        </x:is>
      </x:c>
      <x:c r="B55" s="6" t="inlineStr">
        <x:is>
          <x:t xml:space="preserve">PV</x:t>
        </x:is>
      </x:c>
      <x:c r="C55" s="6" t="inlineStr">
        <x:is>
          <x:t xml:space="preserve">AVMD-PV-003</x:t>
        </x:is>
      </x:c>
      <x:c r="D55" s="6" t="inlineStr">
        <x:is>
          <x:t xml:space="preserve">PVD-04</x:t>
        </x:is>
      </x:c>
      <x:c r="E55" s="7" t="n">
        <x:v>7398721.585</x:v>
      </x:c>
      <x:c r="F55" s="7" t="n">
        <x:v>355301.409</x:v>
      </x:c>
      <x:c r="G55" s="7" t="n">
        <x:v>-23.5152916</x:v>
      </x:c>
      <x:c r="H55" s="7" t="n">
        <x:v>-46.4172861</x:v>
      </x:c>
      <x:c r="I55" s="6" t="n"/>
      <x:c r="J55" s="6" t="n"/>
      <x:c r="K55" s="6" t="n"/>
      <x:c r="L55" s="6" t="inlineStr">
        <x:is>
          <x:t xml:space="preserve">PDF Ordem de Serviço</x:t>
        </x:is>
      </x:c>
    </x:row>
    <x:row r="56">
      <x:c r="A56" s="6" t="inlineStr">
        <x:is>
          <x:t xml:space="preserve">agua_md</x:t>
        </x:is>
      </x:c>
      <x:c r="B56" s="6" t="inlineStr">
        <x:is>
          <x:t xml:space="preserve">PV</x:t>
        </x:is>
      </x:c>
      <x:c r="C56" s="6" t="inlineStr">
        <x:is>
          <x:t xml:space="preserve">AVMD-PV-004</x:t>
        </x:is>
      </x:c>
      <x:c r="D56" s="6" t="inlineStr">
        <x:is>
          <x:t xml:space="preserve">PVD-05</x:t>
        </x:is>
      </x:c>
      <x:c r="E56" s="7" t="n">
        <x:v>7398670.002</x:v>
      </x:c>
      <x:c r="F56" s="7" t="n">
        <x:v>355321.765</x:v>
      </x:c>
      <x:c r="G56" s="7" t="n">
        <x:v>-23.5157592</x:v>
      </x:c>
      <x:c r="H56" s="7" t="n">
        <x:v>-46.4170918</x:v>
      </x:c>
      <x:c r="I56" s="6" t="n"/>
      <x:c r="J56" s="6" t="n"/>
      <x:c r="K56" s="6" t="n"/>
      <x:c r="L56" s="6" t="inlineStr">
        <x:is>
          <x:t xml:space="preserve">PDF Ordem de Serviço</x:t>
        </x:is>
      </x:c>
    </x:row>
    <x:row r="57">
      <x:c r="A57" s="6" t="inlineStr">
        <x:is>
          <x:t xml:space="preserve">agua_md</x:t>
        </x:is>
      </x:c>
      <x:c r="B57" s="6" t="inlineStr">
        <x:is>
          <x:t xml:space="preserve">PV</x:t>
        </x:is>
      </x:c>
      <x:c r="C57" s="6" t="inlineStr">
        <x:is>
          <x:t xml:space="preserve">AVMD-PV-005</x:t>
        </x:is>
      </x:c>
      <x:c r="D57" s="6" t="inlineStr">
        <x:is>
          <x:t xml:space="preserve">PVE-D0</x:t>
        </x:is>
      </x:c>
      <x:c r="E57" s="7" t="n">
        <x:v>7398842.322</x:v>
      </x:c>
      <x:c r="F57" s="7" t="n">
        <x:v>355224.465</x:v>
      </x:c>
      <x:c r="G57" s="7" t="n">
        <x:v>-23.5141944</x:v>
      </x:c>
      <x:c r="H57" s="7" t="n">
        <x:v>-46.4180279</x:v>
      </x:c>
      <x:c r="I57" s="6" t="n"/>
      <x:c r="J57" s="6" t="n"/>
      <x:c r="K57" s="6" t="n"/>
      <x:c r="L57" s="6" t="inlineStr">
        <x:is>
          <x:t xml:space="preserve">PDF Ordem de Serviço</x:t>
        </x:is>
      </x:c>
    </x:row>
    <x:row r="58">
      <x:c r="A58" s="6" t="inlineStr">
        <x:is>
          <x:t xml:space="preserve">agua_md</x:t>
        </x:is>
      </x:c>
      <x:c r="B58" s="6" t="inlineStr">
        <x:is>
          <x:t xml:space="preserve">PV</x:t>
        </x:is>
      </x:c>
      <x:c r="C58" s="6" t="inlineStr">
        <x:is>
          <x:t xml:space="preserve">AVMD-PV-006</x:t>
        </x:is>
      </x:c>
      <x:c r="D58" s="6" t="inlineStr">
        <x:is>
          <x:t xml:space="preserve">PVD-06</x:t>
        </x:is>
      </x:c>
      <x:c r="E58" s="7" t="n">
        <x:v>7398621.808</x:v>
      </x:c>
      <x:c r="F58" s="7" t="n">
        <x:v>355340.523</x:v>
      </x:c>
      <x:c r="G58" s="7" t="n">
        <x:v>-23.516196</x:v>
      </x:c>
      <x:c r="H58" s="7" t="n">
        <x:v>-46.4169127</x:v>
      </x:c>
      <x:c r="I58" s="6" t="n"/>
      <x:c r="J58" s="6" t="n"/>
      <x:c r="K58" s="6" t="n"/>
      <x:c r="L58" s="6" t="inlineStr">
        <x:is>
          <x:t xml:space="preserve">PDF Ordem de Serviço</x:t>
        </x:is>
      </x:c>
    </x:row>
    <x:row r="59">
      <x:c r="A59" s="6" t="inlineStr">
        <x:is>
          <x:t xml:space="preserve">agua_md</x:t>
        </x:is>
      </x:c>
      <x:c r="B59" s="6" t="inlineStr">
        <x:is>
          <x:t xml:space="preserve">PV</x:t>
        </x:is>
      </x:c>
      <x:c r="C59" s="6" t="inlineStr">
        <x:is>
          <x:t xml:space="preserve">AVMD-PV-007</x:t>
        </x:is>
      </x:c>
      <x:c r="D59" s="6" t="inlineStr">
        <x:is>
          <x:t xml:space="preserve">PVD-07</x:t>
        </x:is>
      </x:c>
      <x:c r="E59" s="7" t="n">
        <x:v>7398559.386</x:v>
      </x:c>
      <x:c r="F59" s="7" t="n">
        <x:v>355365.005</x:v>
      </x:c>
      <x:c r="G59" s="7" t="n">
        <x:v>-23.5167619</x:v>
      </x:c>
      <x:c r="H59" s="7" t="n">
        <x:v>-46.416679</x:v>
      </x:c>
      <x:c r="I59" s="6" t="n"/>
      <x:c r="J59" s="6" t="n"/>
      <x:c r="K59" s="6" t="n"/>
      <x:c r="L59" s="6" t="inlineStr">
        <x:is>
          <x:t xml:space="preserve">PDF Ordem de Serviço</x:t>
        </x:is>
      </x:c>
    </x:row>
    <x:row r="60">
      <x:c r="A60" s="6" t="inlineStr">
        <x:is>
          <x:t xml:space="preserve">agua_md</x:t>
        </x:is>
      </x:c>
      <x:c r="B60" s="6" t="inlineStr">
        <x:is>
          <x:t xml:space="preserve">PV</x:t>
        </x:is>
      </x:c>
      <x:c r="C60" s="6" t="inlineStr">
        <x:is>
          <x:t xml:space="preserve">AVMD-PV-008</x:t>
        </x:is>
      </x:c>
      <x:c r="D60" s="6" t="inlineStr">
        <x:is>
          <x:t xml:space="preserve">PVD-08</x:t>
        </x:is>
      </x:c>
      <x:c r="E60" s="7" t="n">
        <x:v>7398530.558</x:v>
      </x:c>
      <x:c r="F60" s="7" t="n">
        <x:v>355381.062</x:v>
      </x:c>
      <x:c r="G60" s="7" t="n">
        <x:v>-23.5170236</x:v>
      </x:c>
      <x:c r="H60" s="7" t="n">
        <x:v>-46.4165246</x:v>
      </x:c>
      <x:c r="I60" s="6" t="n"/>
      <x:c r="J60" s="6" t="n"/>
      <x:c r="K60" s="6" t="n"/>
      <x:c r="L60" s="6" t="inlineStr">
        <x:is>
          <x:t xml:space="preserve">PDF Ordem de Serviço</x:t>
        </x:is>
      </x:c>
    </x:row>
    <x:row r="61">
      <x:c r="A61" s="6" t="inlineStr">
        <x:is>
          <x:t xml:space="preserve">agua_md</x:t>
        </x:is>
      </x:c>
      <x:c r="B61" s="6" t="inlineStr">
        <x:is>
          <x:t xml:space="preserve">PV</x:t>
        </x:is>
      </x:c>
      <x:c r="C61" s="6" t="inlineStr">
        <x:is>
          <x:t xml:space="preserve">AVMD-PV-009</x:t>
        </x:is>
      </x:c>
      <x:c r="D61" s="6" t="inlineStr">
        <x:is>
          <x:t xml:space="preserve">PVD-09</x:t>
        </x:is>
      </x:c>
      <x:c r="E61" s="7" t="n">
        <x:v>7398500.509</x:v>
      </x:c>
      <x:c r="F61" s="7" t="n">
        <x:v>355399.93</x:v>
      </x:c>
      <x:c r="G61" s="7" t="n">
        <x:v>-23.5172967</x:v>
      </x:c>
      <x:c r="H61" s="7" t="n">
        <x:v>-46.4163427</x:v>
      </x:c>
      <x:c r="I61" s="6" t="n"/>
      <x:c r="J61" s="6" t="n"/>
      <x:c r="K61" s="6" t="n"/>
      <x:c r="L61" s="6" t="inlineStr">
        <x:is>
          <x:t xml:space="preserve">PDF Ordem de Serviço</x:t>
        </x:is>
      </x:c>
    </x:row>
    <x:row r="62">
      <x:c r="A62" s="6" t="inlineStr">
        <x:is>
          <x:t xml:space="preserve">agua_md</x:t>
        </x:is>
      </x:c>
      <x:c r="B62" s="6" t="inlineStr">
        <x:is>
          <x:t xml:space="preserve">PV</x:t>
        </x:is>
      </x:c>
      <x:c r="C62" s="6" t="inlineStr">
        <x:is>
          <x:t xml:space="preserve">AVMD-PV-010</x:t>
        </x:is>
      </x:c>
      <x:c r="D62" s="6" t="inlineStr">
        <x:is>
          <x:t xml:space="preserve">PVD-10</x:t>
        </x:is>
      </x:c>
      <x:c r="E62" s="7" t="n">
        <x:v>7398471.571</x:v>
      </x:c>
      <x:c r="F62" s="7" t="n">
        <x:v>355417.906</x:v>
      </x:c>
      <x:c r="G62" s="7" t="n">
        <x:v>-23.5175596</x:v>
      </x:c>
      <x:c r="H62" s="7" t="n">
        <x:v>-46.4161695</x:v>
      </x:c>
      <x:c r="I62" s="6" t="n"/>
      <x:c r="J62" s="6" t="n"/>
      <x:c r="K62" s="6" t="n"/>
      <x:c r="L62" s="6" t="inlineStr">
        <x:is>
          <x:t xml:space="preserve">PDF Ordem de Serviço</x:t>
        </x:is>
      </x:c>
    </x:row>
    <x:row r="63">
      <x:c r="A63" s="6" t="inlineStr">
        <x:is>
          <x:t xml:space="preserve">agua_md</x:t>
        </x:is>
      </x:c>
      <x:c r="B63" s="6" t="inlineStr">
        <x:is>
          <x:t xml:space="preserve">PV</x:t>
        </x:is>
      </x:c>
      <x:c r="C63" s="6" t="inlineStr">
        <x:is>
          <x:t xml:space="preserve">AVMD-PV-011</x:t>
        </x:is>
      </x:c>
      <x:c r="D63" s="6" t="inlineStr">
        <x:is>
          <x:t xml:space="preserve">PVD-11</x:t>
        </x:is>
      </x:c>
      <x:c r="E63" s="7" t="n">
        <x:v>7398442.686</x:v>
      </x:c>
      <x:c r="F63" s="7" t="n">
        <x:v>355436.028</x:v>
      </x:c>
      <x:c r="G63" s="7" t="n">
        <x:v>-23.517822</x:v>
      </x:c>
      <x:c r="H63" s="7" t="n">
        <x:v>-46.4159948</x:v>
      </x:c>
      <x:c r="I63" s="6" t="n"/>
      <x:c r="J63" s="6" t="n"/>
      <x:c r="K63" s="6" t="n"/>
      <x:c r="L63" s="6" t="inlineStr">
        <x:is>
          <x:t xml:space="preserve">PDF Ordem de Serviço</x:t>
        </x:is>
      </x:c>
    </x:row>
    <x:row r="64">
      <x:c r="A64" s="6" t="inlineStr">
        <x:is>
          <x:t xml:space="preserve">agua_md</x:t>
        </x:is>
      </x:c>
      <x:c r="B64" s="6" t="inlineStr">
        <x:is>
          <x:t xml:space="preserve">PV</x:t>
        </x:is>
      </x:c>
      <x:c r="C64" s="6" t="inlineStr">
        <x:is>
          <x:t xml:space="preserve">AVMD-PV-012</x:t>
        </x:is>
      </x:c>
      <x:c r="D64" s="6" t="inlineStr">
        <x:is>
          <x:t xml:space="preserve">PVD-12</x:t>
        </x:is>
      </x:c>
      <x:c r="E64" s="7" t="n">
        <x:v>7398412.234</x:v>
      </x:c>
      <x:c r="F64" s="7" t="n">
        <x:v>355454.703</x:v>
      </x:c>
      <x:c r="G64" s="7" t="n">
        <x:v>-23.5180987</x:v>
      </x:c>
      <x:c r="H64" s="7" t="n">
        <x:v>-46.4158149</x:v>
      </x:c>
      <x:c r="I64" s="6" t="n"/>
      <x:c r="J64" s="6" t="n"/>
      <x:c r="K64" s="6" t="n"/>
      <x:c r="L64" s="6" t="inlineStr">
        <x:is>
          <x:t xml:space="preserve">PDF Ordem de Serviço</x:t>
        </x:is>
      </x:c>
    </x:row>
    <x:row r="65">
      <x:c r="A65" s="6" t="inlineStr">
        <x:is>
          <x:t xml:space="preserve">agua_md</x:t>
        </x:is>
      </x:c>
      <x:c r="B65" s="6" t="inlineStr">
        <x:is>
          <x:t xml:space="preserve">PV</x:t>
        </x:is>
      </x:c>
      <x:c r="C65" s="6" t="inlineStr">
        <x:is>
          <x:t xml:space="preserve">AVMD-PV-013</x:t>
        </x:is>
      </x:c>
      <x:c r="D65" s="6" t="inlineStr">
        <x:is>
          <x:t xml:space="preserve">PVD-13</x:t>
        </x:is>
      </x:c>
      <x:c r="E65" s="7" t="n">
        <x:v>7398383.051</x:v>
      </x:c>
      <x:c r="F65" s="7" t="n">
        <x:v>355472.941</x:v>
      </x:c>
      <x:c r="G65" s="7" t="n">
        <x:v>-23.5183638</x:v>
      </x:c>
      <x:c r="H65" s="7" t="n">
        <x:v>-46.4156391</x:v>
      </x:c>
      <x:c r="I65" s="6" t="n"/>
      <x:c r="J65" s="6" t="n"/>
      <x:c r="K65" s="6" t="n"/>
      <x:c r="L65" s="6" t="inlineStr">
        <x:is>
          <x:t xml:space="preserve">PDF Ordem de Serviço</x:t>
        </x:is>
      </x:c>
    </x:row>
    <x:row r="66">
      <x:c r="A66" s="6" t="inlineStr">
        <x:is>
          <x:t xml:space="preserve">agua_md</x:t>
        </x:is>
      </x:c>
      <x:c r="B66" s="6" t="inlineStr">
        <x:is>
          <x:t xml:space="preserve">PV</x:t>
        </x:is>
      </x:c>
      <x:c r="C66" s="6" t="inlineStr">
        <x:is>
          <x:t xml:space="preserve">AVMD-PV-014</x:t>
        </x:is>
      </x:c>
      <x:c r="D66" s="6" t="inlineStr">
        <x:is>
          <x:t xml:space="preserve">PVD-14</x:t>
        </x:is>
      </x:c>
      <x:c r="E66" s="7" t="n">
        <x:v>7398345.702</x:v>
      </x:c>
      <x:c r="F66" s="7" t="n">
        <x:v>355505.033</x:v>
      </x:c>
      <x:c r="G66" s="7" t="n">
        <x:v>-23.5187039</x:v>
      </x:c>
      <x:c r="H66" s="7" t="n">
        <x:v>-46.4153284</x:v>
      </x:c>
      <x:c r="I66" s="6" t="n"/>
      <x:c r="J66" s="6" t="n"/>
      <x:c r="K66" s="6" t="n"/>
      <x:c r="L66" s="6" t="inlineStr">
        <x:is>
          <x:t xml:space="preserve">PDF Ordem de Serviço</x:t>
        </x:is>
      </x:c>
    </x:row>
    <x:row r="67">
      <x:c r="A67" s="6" t="inlineStr">
        <x:is>
          <x:t xml:space="preserve">agua_md</x:t>
        </x:is>
      </x:c>
      <x:c r="B67" s="6" t="inlineStr">
        <x:is>
          <x:t xml:space="preserve">PV</x:t>
        </x:is>
      </x:c>
      <x:c r="C67" s="6" t="inlineStr">
        <x:is>
          <x:t xml:space="preserve">AVMD-PV-015</x:t>
        </x:is>
      </x:c>
      <x:c r="D67" s="6" t="inlineStr">
        <x:is>
          <x:t xml:space="preserve">PVD-16</x:t>
        </x:is>
      </x:c>
      <x:c r="E67" s="7" t="n">
        <x:v>7398301.474</x:v>
      </x:c>
      <x:c r="F67" s="7" t="n">
        <x:v>355575.521</x:v>
      </x:c>
      <x:c r="G67" s="7" t="n">
        <x:v>-23.5191096</x:v>
      </x:c>
      <x:c r="H67" s="7" t="n">
        <x:v>-46.4146424</x:v>
      </x:c>
      <x:c r="I67" s="6" t="n"/>
      <x:c r="J67" s="6" t="n"/>
      <x:c r="K67" s="6" t="n"/>
      <x:c r="L67" s="6" t="inlineStr">
        <x:is>
          <x:t xml:space="preserve">PDF Ordem de Serviço</x:t>
        </x:is>
      </x:c>
    </x:row>
    <x:row r="68">
      <x:c r="A68" s="6" t="inlineStr">
        <x:is>
          <x:t xml:space="preserve">agua_md</x:t>
        </x:is>
      </x:c>
      <x:c r="B68" s="6" t="inlineStr">
        <x:is>
          <x:t xml:space="preserve">PV</x:t>
        </x:is>
      </x:c>
      <x:c r="C68" s="6" t="inlineStr">
        <x:is>
          <x:t xml:space="preserve">AVMD-PV-016</x:t>
        </x:is>
      </x:c>
      <x:c r="D68" s="6" t="inlineStr">
        <x:is>
          <x:t xml:space="preserve">PVD-17</x:t>
        </x:is>
      </x:c>
      <x:c r="E68" s="7" t="n">
        <x:v>7398250.866</x:v>
      </x:c>
      <x:c r="F68" s="7" t="n">
        <x:v>355534.51</x:v>
      </x:c>
      <x:c r="G68" s="7" t="n">
        <x:v>-23.5195629</x:v>
      </x:c>
      <x:c r="H68" s="7" t="n">
        <x:v>-46.4150489</x:v>
      </x:c>
      <x:c r="I68" s="6" t="n"/>
      <x:c r="J68" s="6" t="n"/>
      <x:c r="K68" s="6" t="n"/>
      <x:c r="L68" s="6" t="inlineStr">
        <x:is>
          <x:t xml:space="preserve">PDF Ordem de Serviço</x:t>
        </x:is>
      </x:c>
    </x:row>
    <x:row r="69">
      <x:c r="A69" s="6" t="inlineStr">
        <x:is>
          <x:t xml:space="preserve">agua_md</x:t>
        </x:is>
      </x:c>
      <x:c r="B69" s="6" t="inlineStr">
        <x:is>
          <x:t xml:space="preserve">PV</x:t>
        </x:is>
      </x:c>
      <x:c r="C69" s="6" t="inlineStr">
        <x:is>
          <x:t xml:space="preserve">AVMD-PV-017</x:t>
        </x:is>
      </x:c>
      <x:c r="D69" s="6" t="inlineStr">
        <x:is>
          <x:t xml:space="preserve">PVD-18</x:t>
        </x:is>
      </x:c>
      <x:c r="E69" s="7" t="n">
        <x:v>7398234.819</x:v>
      </x:c>
      <x:c r="F69" s="7" t="n">
        <x:v>355521.988</x:v>
      </x:c>
      <x:c r="G69" s="7" t="n">
        <x:v>-23.5197067</x:v>
      </x:c>
      <x:c r="H69" s="7" t="n">
        <x:v>-46.4151731</x:v>
      </x:c>
      <x:c r="I69" s="6" t="n"/>
      <x:c r="J69" s="6" t="n"/>
      <x:c r="K69" s="6" t="n"/>
      <x:c r="L69" s="6" t="inlineStr">
        <x:is>
          <x:t xml:space="preserve">PDF Ordem de Serviço</x:t>
        </x:is>
      </x:c>
    </x:row>
    <x:row r="70">
      <x:c r="A70" s="6" t="inlineStr">
        <x:is>
          <x:t xml:space="preserve">agua_md</x:t>
        </x:is>
      </x:c>
      <x:c r="B70" s="6" t="inlineStr">
        <x:is>
          <x:t xml:space="preserve">PV</x:t>
        </x:is>
      </x:c>
      <x:c r="C70" s="6" t="inlineStr">
        <x:is>
          <x:t xml:space="preserve">AVMD-PV-018</x:t>
        </x:is>
      </x:c>
      <x:c r="D70" s="6" t="inlineStr">
        <x:is>
          <x:t xml:space="preserve">PVD-19</x:t>
        </x:is>
      </x:c>
      <x:c r="E70" s="7" t="n">
        <x:v>7398196.97</x:v>
      </x:c>
      <x:c r="F70" s="7" t="n">
        <x:v>355499.797</x:v>
      </x:c>
      <x:c r="G70" s="7" t="n">
        <x:v>-23.5200465</x:v>
      </x:c>
      <x:c r="H70" s="7" t="n">
        <x:v>-46.4153941</x:v>
      </x:c>
      <x:c r="I70" s="6" t="n"/>
      <x:c r="J70" s="6" t="n"/>
      <x:c r="K70" s="6" t="n"/>
      <x:c r="L70" s="6" t="inlineStr">
        <x:is>
          <x:t xml:space="preserve">PDF Ordem de Serviço</x:t>
        </x:is>
      </x:c>
    </x:row>
    <x:row r="71">
      <x:c r="A71" s="6" t="inlineStr">
        <x:is>
          <x:t xml:space="preserve">agua_md</x:t>
        </x:is>
      </x:c>
      <x:c r="B71" s="6" t="inlineStr">
        <x:is>
          <x:t xml:space="preserve">PV</x:t>
        </x:is>
      </x:c>
      <x:c r="C71" s="6" t="inlineStr">
        <x:is>
          <x:t xml:space="preserve">AVMD-PV-019</x:t>
        </x:is>
      </x:c>
      <x:c r="D71" s="6" t="inlineStr">
        <x:is>
          <x:t xml:space="preserve">PV-D10.1</x:t>
        </x:is>
      </x:c>
      <x:c r="E71" s="7" t="n">
        <x:v>7398458.598</x:v>
      </x:c>
      <x:c r="F71" s="7" t="n">
        <x:v>355392.034</x:v>
      </x:c>
      <x:c r="G71" s="7" t="n">
        <x:v>-23.5176744</x:v>
      </x:c>
      <x:c r="H71" s="7" t="n">
        <x:v>-46.4164241</x:v>
      </x:c>
      <x:c r="I71" s="6" t="n"/>
      <x:c r="J71" s="6" t="n"/>
      <x:c r="K71" s="6" t="n"/>
      <x:c r="L71" s="6" t="inlineStr">
        <x:is>
          <x:t xml:space="preserve">PDF Ordem de Serviço</x:t>
        </x:is>
      </x:c>
    </x:row>
    <x:row r="72">
      <x:c r="A72" s="6" t="inlineStr">
        <x:is>
          <x:t xml:space="preserve">agua_md</x:t>
        </x:is>
      </x:c>
      <x:c r="B72" s="6" t="inlineStr">
        <x:is>
          <x:t xml:space="preserve">PV</x:t>
        </x:is>
      </x:c>
      <x:c r="C72" s="6" t="inlineStr">
        <x:is>
          <x:t xml:space="preserve">AVMD-PV-020</x:t>
        </x:is>
      </x:c>
      <x:c r="D72" s="6" t="inlineStr">
        <x:is>
          <x:t xml:space="preserve">PVD-13.1</x:t>
        </x:is>
      </x:c>
      <x:c r="E72" s="7" t="n">
        <x:v>7398368.985</x:v>
      </x:c>
      <x:c r="F72" s="7" t="n">
        <x:v>355448.64</x:v>
      </x:c>
      <x:c r="G72" s="7" t="n">
        <x:v>-23.5184887</x:v>
      </x:c>
      <x:c r="H72" s="7" t="n">
        <x:v>-46.4158784</x:v>
      </x:c>
      <x:c r="I72" s="6" t="n"/>
      <x:c r="J72" s="6" t="n"/>
      <x:c r="K72" s="6" t="n"/>
      <x:c r="L72" s="6" t="inlineStr">
        <x:is>
          <x:t xml:space="preserve">PDF Ordem de Serviço</x:t>
        </x:is>
      </x:c>
    </x:row>
    <x:row r="73">
      <x:c r="A73" s="6" t="inlineStr">
        <x:is>
          <x:t xml:space="preserve">agua_md</x:t>
        </x:is>
      </x:c>
      <x:c r="B73" s="6" t="inlineStr">
        <x:is>
          <x:t xml:space="preserve">PV</x:t>
        </x:is>
      </x:c>
      <x:c r="C73" s="6" t="inlineStr">
        <x:is>
          <x:t xml:space="preserve">AVMD-PV-021</x:t>
        </x:is>
      </x:c>
      <x:c r="D73" s="6" t="inlineStr">
        <x:is>
          <x:t xml:space="preserve">PVD-06.1</x:t>
        </x:is>
      </x:c>
      <x:c r="E73" s="7" t="n">
        <x:v>7398606.921</x:v>
      </x:c>
      <x:c r="F73" s="7" t="n">
        <x:v>355309.805</x:v>
      </x:c>
      <x:c r="G73" s="7" t="n">
        <x:v>-23.5163277</x:v>
      </x:c>
      <x:c r="H73" s="7" t="n">
        <x:v>-46.417215</x:v>
      </x:c>
      <x:c r="I73" s="6" t="n"/>
      <x:c r="J73" s="6" t="n"/>
      <x:c r="K73" s="6" t="n"/>
      <x:c r="L73" s="6" t="inlineStr">
        <x:is>
          <x:t xml:space="preserve">PDF Ordem de Serviço</x:t>
        </x:is>
      </x:c>
    </x:row>
    <x:row r="74">
      <x:c r="A74" s="6" t="inlineStr">
        <x:is>
          <x:t xml:space="preserve">agua_md</x:t>
        </x:is>
      </x:c>
      <x:c r="B74" s="6" t="inlineStr">
        <x:is>
          <x:t xml:space="preserve">PI</x:t>
        </x:is>
      </x:c>
      <x:c r="C74" s="6" t="inlineStr">
        <x:is>
          <x:t xml:space="preserve">AVMD-PI-001</x:t>
        </x:is>
      </x:c>
      <x:c r="D74" s="6" t="inlineStr">
        <x:is>
          <x:t xml:space="preserve">PI-D7.3</x:t>
        </x:is>
      </x:c>
      <x:c r="E74" s="7" t="n">
        <x:v>7398534.667</x:v>
      </x:c>
      <x:c r="F74" s="7" t="n">
        <x:v>355314.853</x:v>
      </x:c>
      <x:c r="G74" s="7" t="n">
        <x:v>-23.5169806</x:v>
      </x:c>
      <x:c r="H74" s="7" t="n">
        <x:v>-46.4171725</x:v>
      </x:c>
      <x:c r="I74" s="6" t="n"/>
      <x:c r="J74" s="6" t="n"/>
      <x:c r="K74" s="6" t="n"/>
      <x:c r="L74" s="6" t="inlineStr">
        <x:is>
          <x:t xml:space="preserve">PDF Ordem de Serviço</x:t>
        </x:is>
      </x:c>
    </x:row>
    <x:row r="75">
      <x:c r="A75" s="6" t="inlineStr">
        <x:is>
          <x:t xml:space="preserve">agua_md</x:t>
        </x:is>
      </x:c>
      <x:c r="B75" s="6" t="inlineStr">
        <x:is>
          <x:t xml:space="preserve">PI</x:t>
        </x:is>
      </x:c>
      <x:c r="C75" s="6" t="inlineStr">
        <x:is>
          <x:t xml:space="preserve">AVMD-PI-002</x:t>
        </x:is>
      </x:c>
      <x:c r="D75" s="6" t="inlineStr">
        <x:is>
          <x:t xml:space="preserve">PID-10.2</x:t>
        </x:is>
      </x:c>
      <x:c r="E75" s="7" t="n">
        <x:v>7398448.072</x:v>
      </x:c>
      <x:c r="F75" s="7" t="n">
        <x:v>355375.319</x:v>
      </x:c>
      <x:c r="G75" s="7" t="n">
        <x:v>-23.517768</x:v>
      </x:c>
      <x:c r="H75" s="7" t="n">
        <x:v>-46.4165888</x:v>
      </x:c>
      <x:c r="I75" s="6" t="n"/>
      <x:c r="J75" s="6" t="n"/>
      <x:c r="K75" s="6" t="n"/>
      <x:c r="L75" s="6" t="inlineStr">
        <x:is>
          <x:t xml:space="preserve">PDF Ordem de Serviço</x:t>
        </x:is>
      </x:c>
    </x:row>
    <x:row r="76">
      <x:c r="A76" s="6" t="inlineStr">
        <x:is>
          <x:t xml:space="preserve">agua_boa</x:t>
        </x:is>
      </x:c>
      <x:c r="B76" s="6" t="inlineStr">
        <x:is>
          <x:t xml:space="preserve">PV</x:t>
        </x:is>
      </x:c>
      <x:c r="C76" s="6" t="inlineStr">
        <x:is>
          <x:t xml:space="preserve">ABOA-PV-001</x:t>
        </x:is>
      </x:c>
      <x:c r="D76" s="6" t="inlineStr">
        <x:is>
          <x:t xml:space="preserve">PVE-01</x:t>
        </x:is>
      </x:c>
      <x:c r="E76" s="7" t="n">
        <x:v>7397640.442</x:v>
      </x:c>
      <x:c r="F76" s="7" t="n">
        <x:v>355410.761</x:v>
      </x:c>
      <x:c r="G76" s="7" t="n">
        <x:v>-23.5250641</x:v>
      </x:c>
      <x:c r="H76" s="7" t="n">
        <x:v>-46.4163198</x:v>
      </x:c>
      <x:c r="I76" s="6" t="n"/>
      <x:c r="J76" s="6" t="n"/>
      <x:c r="K76" s="6" t="n"/>
      <x:c r="L76" s="6" t="inlineStr">
        <x:is>
          <x:t xml:space="preserve">PDF Ordem de Serviço</x:t>
        </x:is>
      </x:c>
    </x:row>
    <x:row r="77">
      <x:c r="A77" s="6" t="inlineStr">
        <x:is>
          <x:t xml:space="preserve">agua_boa</x:t>
        </x:is>
      </x:c>
      <x:c r="B77" s="6" t="inlineStr">
        <x:is>
          <x:t xml:space="preserve">PV</x:t>
        </x:is>
      </x:c>
      <x:c r="C77" s="6" t="inlineStr">
        <x:is>
          <x:t xml:space="preserve">ABOA-PV-002</x:t>
        </x:is>
      </x:c>
      <x:c r="D77" s="6" t="inlineStr">
        <x:is>
          <x:t xml:space="preserve">PV-03</x:t>
        </x:is>
      </x:c>
      <x:c r="E77" s="7" t="n">
        <x:v>7397562.514</x:v>
      </x:c>
      <x:c r="F77" s="7" t="n">
        <x:v>355410.963</x:v>
      </x:c>
      <x:c r="G77" s="7" t="n">
        <x:v>-23.5257678</x:v>
      </x:c>
      <x:c r="H77" s="7" t="n">
        <x:v>-46.4163253</x:v>
      </x:c>
      <x:c r="I77" s="6" t="n"/>
      <x:c r="J77" s="6" t="n"/>
      <x:c r="K77" s="6" t="n"/>
      <x:c r="L77" s="6" t="inlineStr">
        <x:is>
          <x:t xml:space="preserve">PDF Ordem de Serviço</x:t>
        </x:is>
      </x:c>
    </x:row>
    <x:row r="78">
      <x:c r="A78" s="6" t="inlineStr">
        <x:is>
          <x:t xml:space="preserve">agua_boa</x:t>
        </x:is>
      </x:c>
      <x:c r="B78" s="6" t="inlineStr">
        <x:is>
          <x:t xml:space="preserve">PV</x:t>
        </x:is>
      </x:c>
      <x:c r="C78" s="6" t="inlineStr">
        <x:is>
          <x:t xml:space="preserve">ABOA-PV-003</x:t>
        </x:is>
      </x:c>
      <x:c r="D78" s="6" t="inlineStr">
        <x:is>
          <x:t xml:space="preserve">PV-04</x:t>
        </x:is>
      </x:c>
      <x:c r="E78" s="7" t="n">
        <x:v>7397558.203</x:v>
      </x:c>
      <x:c r="F78" s="7" t="n">
        <x:v>355440.497</x:v>
      </x:c>
      <x:c r="G78" s="7" t="n">
        <x:v>-23.5258094</x:v>
      </x:c>
      <x:c r="H78" s="7" t="n">
        <x:v>-46.4160365</x:v>
      </x:c>
      <x:c r="I78" s="6" t="n"/>
      <x:c r="J78" s="6" t="n"/>
      <x:c r="K78" s="6" t="n"/>
      <x:c r="L78" s="6" t="inlineStr">
        <x:is>
          <x:t xml:space="preserve">PDF Ordem de Serviço</x:t>
        </x:is>
      </x:c>
    </x:row>
    <x:row r="79">
      <x:c r="A79" s="6" t="inlineStr">
        <x:is>
          <x:t xml:space="preserve">pacheco</x:t>
        </x:is>
      </x:c>
      <x:c r="B79" s="6" t="inlineStr">
        <x:is>
          <x:t xml:space="preserve">PV</x:t>
        </x:is>
      </x:c>
      <x:c r="C79" s="6" t="inlineStr">
        <x:is>
          <x:t xml:space="preserve">PACH-PV-001</x:t>
        </x:is>
      </x:c>
      <x:c r="D79" s="6" t="inlineStr">
        <x:is>
          <x:t xml:space="preserve">PV-00</x:t>
        </x:is>
      </x:c>
      <x:c r="E79" s="7" t="n">
        <x:v>7401009.423</x:v>
      </x:c>
      <x:c r="F79" s="7" t="n">
        <x:v>358489.604</x:v>
      </x:c>
      <x:c r="G79" s="7" t="n">
        <x:v>-23.494913</x:v>
      </x:c>
      <x:c r="H79" s="7" t="n">
        <x:v>-46.3858496</x:v>
      </x:c>
      <x:c r="I79" s="6" t="n"/>
      <x:c r="J79" s="6" t="n"/>
      <x:c r="K79" s="6" t="n"/>
      <x:c r="L79" s="6" t="inlineStr">
        <x:is>
          <x:t xml:space="preserve">PDF Ordem de Serviço</x:t>
        </x:is>
      </x:c>
    </x:row>
    <x:row r="80">
      <x:c r="A80" s="6" t="inlineStr">
        <x:is>
          <x:t xml:space="preserve">pacheco</x:t>
        </x:is>
      </x:c>
      <x:c r="B80" s="6" t="inlineStr">
        <x:is>
          <x:t xml:space="preserve">PV</x:t>
        </x:is>
      </x:c>
      <x:c r="C80" s="6" t="inlineStr">
        <x:is>
          <x:t xml:space="preserve">PACH-PV-002</x:t>
        </x:is>
      </x:c>
      <x:c r="D80" s="6" t="inlineStr">
        <x:is>
          <x:t xml:space="preserve">PV-02</x:t>
        </x:is>
      </x:c>
      <x:c r="E80" s="7" t="n">
        <x:v>7400960.535</x:v>
      </x:c>
      <x:c r="F80" s="7" t="n">
        <x:v>358445.71</x:v>
      </x:c>
      <x:c r="G80" s="7" t="n">
        <x:v>-23.4953506</x:v>
      </x:c>
      <x:c r="H80" s="7" t="n">
        <x:v>-46.3862839</x:v>
      </x:c>
      <x:c r="I80" s="6" t="n"/>
      <x:c r="J80" s="6" t="n"/>
      <x:c r="K80" s="6" t="n"/>
      <x:c r="L80" s="6" t="inlineStr">
        <x:is>
          <x:t xml:space="preserve">PDF Ordem de Serviço</x:t>
        </x:is>
      </x:c>
    </x:row>
    <x:row r="81">
      <x:c r="A81" s="6" t="inlineStr">
        <x:is>
          <x:t xml:space="preserve">pacheco</x:t>
        </x:is>
      </x:c>
      <x:c r="B81" s="6" t="inlineStr">
        <x:is>
          <x:t xml:space="preserve">PV</x:t>
        </x:is>
      </x:c>
      <x:c r="C81" s="6" t="inlineStr">
        <x:is>
          <x:t xml:space="preserve">PACH-PV-003</x:t>
        </x:is>
      </x:c>
      <x:c r="D81" s="6" t="inlineStr">
        <x:is>
          <x:t xml:space="preserve">PV-03</x:t>
        </x:is>
      </x:c>
      <x:c r="E81" s="7" t="n">
        <x:v>7400916.278</x:v>
      </x:c>
      <x:c r="F81" s="7" t="n">
        <x:v>358509.26</x:v>
      </x:c>
      <x:c r="G81" s="7" t="n">
        <x:v>-23.4957558</x:v>
      </x:c>
      <x:c r="H81" s="7" t="n">
        <x:v>-46.3856659</x:v>
      </x:c>
      <x:c r="I81" s="6" t="n"/>
      <x:c r="J81" s="6" t="n"/>
      <x:c r="K81" s="6" t="n"/>
      <x:c r="L81" s="6" t="inlineStr">
        <x:is>
          <x:t xml:space="preserve">PDF Ordem de Serviço</x:t>
        </x:is>
      </x:c>
    </x:row>
    <x:row r="82">
      <x:c r="A82" s="6" t="inlineStr">
        <x:is>
          <x:t xml:space="preserve">pacheco</x:t>
        </x:is>
      </x:c>
      <x:c r="B82" s="6" t="inlineStr">
        <x:is>
          <x:t xml:space="preserve">PV</x:t>
        </x:is>
      </x:c>
      <x:c r="C82" s="6" t="inlineStr">
        <x:is>
          <x:t xml:space="preserve">PACH-PV-004</x:t>
        </x:is>
      </x:c>
      <x:c r="D82" s="6" t="inlineStr">
        <x:is>
          <x:t xml:space="preserve">PV-04.1</x:t>
        </x:is>
      </x:c>
      <x:c r="E82" s="7" t="n">
        <x:v>7400877.229</x:v>
      </x:c>
      <x:c r="F82" s="7" t="n">
        <x:v>358565.295</x:v>
      </x:c>
      <x:c r="G82" s="7" t="n">
        <x:v>-23.4961133</x:v>
      </x:c>
      <x:c r="H82" s="7" t="n">
        <x:v>-46.3851209</x:v>
      </x:c>
      <x:c r="I82" s="6" t="n"/>
      <x:c r="J82" s="6" t="n"/>
      <x:c r="K82" s="6" t="n"/>
      <x:c r="L82" s="6" t="inlineStr">
        <x:is>
          <x:t xml:space="preserve">PDF Ordem de Serviço</x:t>
        </x:is>
      </x:c>
    </x:row>
    <x:row r="83">
      <x:c r="A83" s="6" t="inlineStr">
        <x:is>
          <x:t xml:space="preserve">luis_botelho</x:t>
        </x:is>
      </x:c>
      <x:c r="B83" s="6" t="inlineStr">
        <x:is>
          <x:t xml:space="preserve">PV</x:t>
        </x:is>
      </x:c>
      <x:c r="C83" s="6" t="inlineStr">
        <x:is>
          <x:t xml:space="preserve">LBM-PV-001</x:t>
        </x:is>
      </x:c>
      <x:c r="D83" s="6" t="inlineStr">
        <x:is>
          <x:t xml:space="preserve">PV-04</x:t>
        </x:is>
      </x:c>
      <x:c r="E83" s="7" t="n">
        <x:v>7402301.142</x:v>
      </x:c>
      <x:c r="F83" s="7" t="n">
        <x:v>358163.069</x:v>
      </x:c>
      <x:c r="G83" s="7" t="n">
        <x:v>-23.48322</x:v>
      </x:c>
      <x:c r="H83" s="7" t="n">
        <x:v>-46.3889245</x:v>
      </x:c>
      <x:c r="I83" s="6" t="n"/>
      <x:c r="J83" s="6" t="n"/>
      <x:c r="K83" s="6" t="n"/>
      <x:c r="L83" s="6" t="inlineStr">
        <x:is>
          <x:t xml:space="preserve">PDF Ordem de Serviço</x:t>
        </x:is>
      </x:c>
    </x:row>
    <x:row r="84">
      <x:c r="A84" s="6" t="inlineStr">
        <x:is>
          <x:t xml:space="preserve">luis_botelho</x:t>
        </x:is>
      </x:c>
      <x:c r="B84" s="6" t="inlineStr">
        <x:is>
          <x:t xml:space="preserve">PV</x:t>
        </x:is>
      </x:c>
      <x:c r="C84" s="6" t="inlineStr">
        <x:is>
          <x:t xml:space="preserve">LBM-PV-002</x:t>
        </x:is>
      </x:c>
      <x:c r="D84" s="6" t="inlineStr">
        <x:is>
          <x:t xml:space="preserve">PV-05</x:t>
        </x:is>
      </x:c>
      <x:c r="E84" s="7" t="n">
        <x:v>7402330.758</x:v>
      </x:c>
      <x:c r="F84" s="7" t="n">
        <x:v>358228.542</x:v>
      </x:c>
      <x:c r="G84" s="7" t="n">
        <x:v>-23.4829583</x:v>
      </x:c>
      <x:c r="H84" s="7" t="n">
        <x:v>-46.3882807</x:v>
      </x:c>
      <x:c r="I84" s="6" t="n"/>
      <x:c r="J84" s="6" t="n"/>
      <x:c r="K84" s="6" t="n"/>
      <x:c r="L84" s="6" t="inlineStr">
        <x:is>
          <x:t xml:space="preserve">PDF Ordem de Serviço</x:t>
        </x:is>
      </x:c>
    </x:row>
    <x:row r="85">
      <x:c r="A85" s="6" t="inlineStr">
        <x:is>
          <x:t xml:space="preserve">luis_botelho</x:t>
        </x:is>
      </x:c>
      <x:c r="B85" s="6" t="inlineStr">
        <x:is>
          <x:t xml:space="preserve">PV</x:t>
        </x:is>
      </x:c>
      <x:c r="C85" s="6" t="inlineStr">
        <x:is>
          <x:t xml:space="preserve">LBM-PV-003</x:t>
        </x:is>
      </x:c>
      <x:c r="D85" s="6" t="inlineStr">
        <x:is>
          <x:t xml:space="preserve">PV-06</x:t>
        </x:is>
      </x:c>
      <x:c r="E85" s="7" t="n">
        <x:v>7402268.195</x:v>
      </x:c>
      <x:c r="F85" s="7" t="n">
        <x:v>358272.639</x:v>
      </x:c>
      <x:c r="G85" s="7" t="n">
        <x:v>-23.4835271</x:v>
      </x:c>
      <x:c r="H85" s="7" t="n">
        <x:v>-46.3878549</x:v>
      </x:c>
      <x:c r="I85" s="6" t="n"/>
      <x:c r="J85" s="6" t="n"/>
      <x:c r="K85" s="6" t="n"/>
      <x:c r="L85" s="6" t="inlineStr">
        <x:is>
          <x:t xml:space="preserve">PDF Ordem de Serviço</x:t>
        </x:is>
      </x:c>
    </x:row>
    <x:row r="86">
      <x:c r="A86" s="6" t="inlineStr">
        <x:is>
          <x:t xml:space="preserve">luis_botelho</x:t>
        </x:is>
      </x:c>
      <x:c r="B86" s="6" t="inlineStr">
        <x:is>
          <x:t xml:space="preserve">PV</x:t>
        </x:is>
      </x:c>
      <x:c r="C86" s="6" t="inlineStr">
        <x:is>
          <x:t xml:space="preserve">LBM-PV-004</x:t>
        </x:is>
      </x:c>
      <x:c r="D86" s="6" t="inlineStr">
        <x:is>
          <x:t xml:space="preserve">PV-07</x:t>
        </x:is>
      </x:c>
      <x:c r="E86" s="7" t="n">
        <x:v>7402228.491</x:v>
      </x:c>
      <x:c r="F86" s="7" t="n">
        <x:v>358302.188</x:v>
      </x:c>
      <x:c r="G86" s="7" t="n">
        <x:v>-23.4838882</x:v>
      </x:c>
      <x:c r="H86" s="7" t="n">
        <x:v>-46.3875693</x:v>
      </x:c>
      <x:c r="I86" s="6" t="n"/>
      <x:c r="J86" s="6" t="n"/>
      <x:c r="K86" s="6" t="n"/>
      <x:c r="L86" s="6" t="inlineStr">
        <x:is>
          <x:t xml:space="preserve">PDF Ordem de Serviço</x:t>
        </x:is>
      </x:c>
    </x:row>
    <x:row r="87">
      <x:c r="A87" s="6" t="inlineStr">
        <x:is>
          <x:t xml:space="preserve">luis_botelho</x:t>
        </x:is>
      </x:c>
      <x:c r="B87" s="6" t="inlineStr">
        <x:is>
          <x:t xml:space="preserve">PV</x:t>
        </x:is>
      </x:c>
      <x:c r="C87" s="6" t="inlineStr">
        <x:is>
          <x:t xml:space="preserve">LBM-PV-005</x:t>
        </x:is>
      </x:c>
      <x:c r="D87" s="6" t="inlineStr">
        <x:is>
          <x:t xml:space="preserve">PV-02</x:t>
        </x:is>
      </x:c>
      <x:c r="E87" s="7" t="n">
        <x:v>7402405.422</x:v>
      </x:c>
      <x:c r="F87" s="7" t="n">
        <x:v>358044.382</x:v>
      </x:c>
      <x:c r="G87" s="7" t="n">
        <x:v>-23.482268</x:v>
      </x:c>
      <x:c r="H87" s="7" t="n">
        <x:v>-46.3900765</x:v>
      </x:c>
      <x:c r="I87" s="6" t="n"/>
      <x:c r="J87" s="6" t="n"/>
      <x:c r="K87" s="6" t="n"/>
      <x:c r="L87" s="6" t="inlineStr">
        <x:is>
          <x:t xml:space="preserve">PDF Ordem de Serviço</x:t>
        </x:is>
      </x:c>
    </x:row>
    <x:row r="88">
      <x:c r="A88" s="6" t="inlineStr">
        <x:is>
          <x:t xml:space="preserve">luis_botelho</x:t>
        </x:is>
      </x:c>
      <x:c r="B88" s="6" t="inlineStr">
        <x:is>
          <x:t xml:space="preserve">PV</x:t>
        </x:is>
      </x:c>
      <x:c r="C88" s="6" t="inlineStr">
        <x:is>
          <x:t xml:space="preserve">LBM-PV-006</x:t>
        </x:is>
      </x:c>
      <x:c r="D88" s="6" t="inlineStr">
        <x:is>
          <x:t xml:space="preserve">PV-08</x:t>
        </x:is>
      </x:c>
      <x:c r="E88" s="7" t="n">
        <x:v>7402191.374</x:v>
      </x:c>
      <x:c r="F88" s="7" t="n">
        <x:v>358252.583</x:v>
      </x:c>
      <x:c r="G88" s="7" t="n">
        <x:v>-23.484219</x:v>
      </x:c>
      <x:c r="H88" s="7" t="n">
        <x:v>-46.3880585</x:v>
      </x:c>
      <x:c r="I88" s="6" t="n"/>
      <x:c r="J88" s="6" t="n"/>
      <x:c r="K88" s="6" t="n"/>
      <x:c r="L88" s="6" t="inlineStr">
        <x:is>
          <x:t xml:space="preserve">PDF Ordem de Serviço</x:t>
        </x:is>
      </x:c>
    </x:row>
    <x:row r="89">
      <x:c r="A89" s="6" t="inlineStr">
        <x:is>
          <x:t xml:space="preserve">lageado_montante_bl54_55_56</x:t>
        </x:is>
      </x:c>
      <x:c r="B89" s="6" t="inlineStr">
        <x:is>
          <x:t xml:space="preserve">PV</x:t>
        </x:is>
      </x:c>
      <x:c r="C89" s="6" t="inlineStr">
        <x:is>
          <x:t xml:space="preserve">LAG-PV-001</x:t>
        </x:is>
      </x:c>
      <x:c r="D89" s="6" t="inlineStr">
        <x:is>
          <x:t xml:space="preserve">PV-01A</x:t>
        </x:is>
      </x:c>
      <x:c r="E89" s="7" t="n">
        <x:v>7396824.574</x:v>
      </x:c>
      <x:c r="F89" s="7" t="n">
        <x:v>357631.457</x:v>
      </x:c>
      <x:c r="G89" s="7" t="n">
        <x:v>-23.5326278916049</x:v>
      </x:c>
      <x:c r="H89" s="7" t="n">
        <x:v>-46.39464968890753</x:v>
      </x:c>
      <x:c r="I89" s="7" t="n">
        <x:v>762.164</x:v>
      </x:c>
      <x:c r="J89" s="7" t="n">
        <x:v>760.164</x:v>
      </x:c>
      <x:c r="K89" s="6" t="n">
        <x:v>2</x:v>
      </x:c>
      <x:c r="L89" s="6" t="inlineStr">
        <x:is>
          <x:t xml:space="preserve">CONFERÊNCIA.TRECH.pdf</x:t>
        </x:is>
      </x:c>
    </x:row>
    <x:row r="90">
      <x:c r="A90" s="6" t="inlineStr">
        <x:is>
          <x:t xml:space="preserve">lageado_montante_bl54_55_56</x:t>
        </x:is>
      </x:c>
      <x:c r="B90" s="6" t="inlineStr">
        <x:is>
          <x:t xml:space="preserve">PV</x:t>
        </x:is>
      </x:c>
      <x:c r="C90" s="6" t="inlineStr">
        <x:is>
          <x:t xml:space="preserve">LAG-PV-002</x:t>
        </x:is>
      </x:c>
      <x:c r="D90" s="6" t="inlineStr">
        <x:is>
          <x:t xml:space="preserve">PV-01B</x:t>
        </x:is>
      </x:c>
      <x:c r="E90" s="7" t="n">
        <x:v>7396770.217</x:v>
      </x:c>
      <x:c r="F90" s="7" t="n">
        <x:v>357645.827</x:v>
      </x:c>
      <x:c r="G90" s="7" t="n">
        <x:v>-23.53312000459179</x:v>
      </x:c>
      <x:c r="H90" s="7" t="n">
        <x:v>-46.39451412647354</x:v>
      </x:c>
      <x:c r="I90" s="7" t="n">
        <x:v>763.533</x:v>
      </x:c>
      <x:c r="J90" s="7" t="n">
        <x:v>761.843</x:v>
      </x:c>
      <x:c r="K90" s="7" t="n">
        <x:v>1.69</x:v>
      </x:c>
      <x:c r="L90" s="6" t="inlineStr">
        <x:is>
          <x:t xml:space="preserve">CONFERÊNCIA.TRECH.pdf</x:t>
        </x:is>
      </x:c>
    </x:row>
    <x:row r="91">
      <x:c r="A91" s="6" t="inlineStr">
        <x:is>
          <x:t xml:space="preserve">lageado_montante_bl54_55_56</x:t>
        </x:is>
      </x:c>
      <x:c r="B91" s="6" t="inlineStr">
        <x:is>
          <x:t xml:space="preserve">PV</x:t>
        </x:is>
      </x:c>
      <x:c r="C91" s="6" t="inlineStr">
        <x:is>
          <x:t xml:space="preserve">LAG-PV-003</x:t>
        </x:is>
      </x:c>
      <x:c r="D91" s="6" t="inlineStr">
        <x:is>
          <x:t xml:space="preserve">PV-01C</x:t>
        </x:is>
      </x:c>
      <x:c r="E91" s="7" t="n">
        <x:v>7396732.038</x:v>
      </x:c>
      <x:c r="F91" s="7" t="n">
        <x:v>357657.343</x:v>
      </x:c>
      <x:c r="G91" s="7" t="n">
        <x:v>-23.53346577729172</x:v>
      </x:c>
      <x:c r="H91" s="7" t="n">
        <x:v>-46.39440497485721</x:v>
      </x:c>
      <x:c r="I91" s="7" t="n">
        <x:v>764.788</x:v>
      </x:c>
      <x:c r="J91" s="7" t="n">
        <x:v>763.438</x:v>
      </x:c>
      <x:c r="K91" s="7" t="n">
        <x:v>1.35</x:v>
      </x:c>
      <x:c r="L91" s="6" t="inlineStr">
        <x:is>
          <x:t xml:space="preserve">CONFERÊNCIA.TRECH.pdf</x:t>
        </x:is>
      </x:c>
    </x:row>
    <x:row r="92">
      <x:c r="A92" s="6" t="inlineStr">
        <x:is>
          <x:t xml:space="preserve">lageado_montante_bl54_55_56</x:t>
        </x:is>
      </x:c>
      <x:c r="B92" s="6" t="inlineStr">
        <x:is>
          <x:t xml:space="preserve">PV</x:t>
        </x:is>
      </x:c>
      <x:c r="C92" s="6" t="inlineStr">
        <x:is>
          <x:t xml:space="preserve">LAG-PV-004</x:t>
        </x:is>
      </x:c>
      <x:c r="D92" s="6" t="inlineStr">
        <x:is>
          <x:t xml:space="preserve">PV-01D</x:t>
        </x:is>
      </x:c>
      <x:c r="E92" s="7" t="n">
        <x:v>7396668.032</x:v>
      </x:c>
      <x:c r="F92" s="7" t="n">
        <x:v>357679.845</x:v>
      </x:c>
      <x:c r="G92" s="7" t="n">
        <x:v>-23.53404573562335</x:v>
      </x:c>
      <x:c r="H92" s="7" t="n">
        <x:v>-46.39419068518728</x:v>
      </x:c>
      <x:c r="I92" s="7" t="n">
        <x:v>767.873</x:v>
      </x:c>
      <x:c r="J92" s="7" t="n">
        <x:v>765.943</x:v>
      </x:c>
      <x:c r="K92" s="7" t="n">
        <x:v>1.93</x:v>
      </x:c>
      <x:c r="L92" s="6" t="inlineStr">
        <x:is>
          <x:t xml:space="preserve">CONFERÊNCIA.TRECH.pdf</x:t>
        </x:is>
      </x:c>
    </x:row>
    <x:row r="93">
      <x:c r="A93" s="6" t="inlineStr">
        <x:is>
          <x:t xml:space="preserve">lageado_montante_bl54_55_56</x:t>
        </x:is>
      </x:c>
      <x:c r="B93" s="6" t="inlineStr">
        <x:is>
          <x:t xml:space="preserve">PV</x:t>
        </x:is>
      </x:c>
      <x:c r="C93" s="6" t="inlineStr">
        <x:is>
          <x:t xml:space="preserve">LAG-PV-005</x:t>
        </x:is>
      </x:c>
      <x:c r="D93" s="6" t="inlineStr">
        <x:is>
          <x:t xml:space="preserve">PV-01E</x:t>
        </x:is>
      </x:c>
      <x:c r="E93" s="7" t="n">
        <x:v>7396612.614</x:v>
      </x:c>
      <x:c r="F93" s="7" t="n">
        <x:v>357713.364</x:v>
      </x:c>
      <x:c r="G93" s="7" t="n">
        <x:v>-23.53454910944457</x:v>
      </x:c>
      <x:c r="H93" s="7" t="n">
        <x:v>-46.39386767658851</x:v>
      </x:c>
      <x:c r="I93" s="7" t="n">
        <x:v>768.605</x:v>
      </x:c>
      <x:c r="J93" s="7" t="n">
        <x:v>766.385</x:v>
      </x:c>
      <x:c r="K93" s="7" t="n">
        <x:v>2.22</x:v>
      </x:c>
      <x:c r="L93" s="6" t="inlineStr">
        <x:is>
          <x:t xml:space="preserve">CONFERÊNCIA.TRECH.pdf</x:t>
        </x:is>
      </x:c>
    </x:row>
    <x:row r="94">
      <x:c r="A94" s="6" t="inlineStr">
        <x:is>
          <x:t xml:space="preserve">lageado_montante_bl54_55_56</x:t>
        </x:is>
      </x:c>
      <x:c r="B94" s="6" t="inlineStr">
        <x:is>
          <x:t xml:space="preserve">PV</x:t>
        </x:is>
      </x:c>
      <x:c r="C94" s="6" t="inlineStr">
        <x:is>
          <x:t xml:space="preserve">LAG-PV-006</x:t>
        </x:is>
      </x:c>
      <x:c r="D94" s="6" t="inlineStr">
        <x:is>
          <x:t xml:space="preserve">PV-01</x:t>
        </x:is>
      </x:c>
      <x:c r="E94" s="7" t="n">
        <x:v>7396599.488</x:v>
      </x:c>
      <x:c r="F94" s="7" t="n">
        <x:v>357725.414</x:v>
      </x:c>
      <x:c r="G94" s="7" t="n">
        <x:v>-23.53466869634124</x:v>
      </x:c>
      <x:c r="H94" s="7" t="n">
        <x:v>-46.39375090848446</x:v>
      </x:c>
      <x:c r="I94" s="7" t="n">
        <x:v>769.557</x:v>
      </x:c>
      <x:c r="J94" s="7" t="n">
        <x:v>767.117</x:v>
      </x:c>
      <x:c r="K94" s="7" t="n">
        <x:v>2.44</x:v>
      </x:c>
      <x:c r="L94" s="6" t="inlineStr">
        <x:is>
          <x:t xml:space="preserve">CONFERÊNCIA.TRECH.pdf</x:t>
        </x:is>
      </x:c>
    </x:row>
    <x:row r="95">
      <x:c r="A95" s="6" t="inlineStr">
        <x:is>
          <x:t xml:space="preserve">lageado_montante_bl54_55_56</x:t>
        </x:is>
      </x:c>
      <x:c r="B95" s="6" t="inlineStr">
        <x:is>
          <x:t xml:space="preserve">PV</x:t>
        </x:is>
      </x:c>
      <x:c r="C95" s="6" t="inlineStr">
        <x:is>
          <x:t xml:space="preserve">LAG-PV-007</x:t>
        </x:is>
      </x:c>
      <x:c r="D95" s="6" t="inlineStr">
        <x:is>
          <x:t xml:space="preserve">PV-03</x:t>
        </x:is>
      </x:c>
      <x:c r="E95" s="7" t="n">
        <x:v>7396503.472</x:v>
      </x:c>
      <x:c r="F95" s="7" t="n">
        <x:v>357725.947</x:v>
      </x:c>
      <x:c r="G95" s="7" t="n">
        <x:v>-23.53553578166015</x:v>
      </x:c>
      <x:c r="H95" s="7" t="n">
        <x:v>-46.3937548244613</x:v>
      </x:c>
      <x:c r="I95" s="7" t="n">
        <x:v>771.221</x:v>
      </x:c>
      <x:c r="J95" s="7" t="n">
        <x:v>767.331</x:v>
      </x:c>
      <x:c r="K95" s="7" t="n">
        <x:v>3.89</x:v>
      </x:c>
      <x:c r="L95" s="6" t="inlineStr">
        <x:is>
          <x:t xml:space="preserve">CONFERÊNCIA.TRECH.pdf</x:t>
        </x:is>
      </x:c>
    </x:row>
    <x:row r="96">
      <x:c r="A96" s="6" t="inlineStr">
        <x:is>
          <x:t xml:space="preserve">lageado_montante_bl54_55_56</x:t>
        </x:is>
      </x:c>
      <x:c r="B96" s="6" t="inlineStr">
        <x:is>
          <x:t xml:space="preserve">PV</x:t>
        </x:is>
      </x:c>
      <x:c r="C96" s="6" t="inlineStr">
        <x:is>
          <x:t xml:space="preserve">LAG-PV-008</x:t>
        </x:is>
      </x:c>
      <x:c r="D96" s="6" t="inlineStr">
        <x:is>
          <x:t xml:space="preserve">PV-04</x:t>
        </x:is>
      </x:c>
      <x:c r="E96" s="7" t="n">
        <x:v>7396443.89</x:v>
      </x:c>
      <x:c r="F96" s="7" t="n">
        <x:v>357734.396</x:v>
      </x:c>
      <x:c r="G96" s="7" t="n">
        <x:v>-23.53607455706142</x:v>
      </x:c>
      <x:c r="H96" s="7" t="n">
        <x:v>-46.39367774404879</x:v>
      </x:c>
      <x:c r="I96" s="7" t="n">
        <x:v>772.864</x:v>
      </x:c>
      <x:c r="J96" s="7" t="n">
        <x:v>768.494</x:v>
      </x:c>
      <x:c r="K96" s="7" t="n">
        <x:v>4.37</x:v>
      </x:c>
      <x:c r="L96" s="6" t="inlineStr">
        <x:is>
          <x:t xml:space="preserve">CONFERÊNCIA.TRECH.pdf</x:t>
        </x:is>
      </x:c>
    </x:row>
    <x:row r="97">
      <x:c r="A97" s="6" t="inlineStr">
        <x:is>
          <x:t xml:space="preserve">lageado_montante_bl54_55_56</x:t>
        </x:is>
      </x:c>
      <x:c r="B97" s="6" t="inlineStr">
        <x:is>
          <x:t xml:space="preserve">PV</x:t>
        </x:is>
      </x:c>
      <x:c r="C97" s="6" t="inlineStr">
        <x:is>
          <x:t xml:space="preserve">LAG-PV-009</x:t>
        </x:is>
      </x:c>
      <x:c r="D97" s="6" t="inlineStr">
        <x:is>
          <x:t xml:space="preserve">PV-05</x:t>
        </x:is>
      </x:c>
      <x:c r="E97" s="7" t="n">
        <x:v>7396387.787</x:v>
      </x:c>
      <x:c r="F97" s="7" t="n">
        <x:v>357735.747</x:v>
      </x:c>
      <x:c r="G97" s="7" t="n">
        <x:v>-23.5365812938391</x:v>
      </x:c>
      <x:c r="H97" s="7" t="n">
        <x:v>-46.3936698506046</x:v>
      </x:c>
      <x:c r="I97" s="7" t="n">
        <x:v>773.234</x:v>
      </x:c>
      <x:c r="J97" s="7" t="n">
        <x:v>769.9640000000001</x:v>
      </x:c>
      <x:c r="K97" s="7" t="n">
        <x:v>3.27</x:v>
      </x:c>
      <x:c r="L97" s="6" t="inlineStr">
        <x:is>
          <x:t xml:space="preserve">CONFERÊNCIA.TRECH.pdf</x:t>
        </x:is>
      </x:c>
    </x:row>
    <x:row r="98">
      <x:c r="A98" s="6" t="inlineStr">
        <x:is>
          <x:t xml:space="preserve">lageado_montante_bl54_55_56</x:t>
        </x:is>
      </x:c>
      <x:c r="B98" s="6" t="inlineStr">
        <x:is>
          <x:t xml:space="preserve">PV</x:t>
        </x:is>
      </x:c>
      <x:c r="C98" s="6" t="inlineStr">
        <x:is>
          <x:t xml:space="preserve">LAG-PV-010</x:t>
        </x:is>
      </x:c>
      <x:c r="D98" s="6" t="inlineStr">
        <x:is>
          <x:t xml:space="preserve">PV-07</x:t>
        </x:is>
      </x:c>
      <x:c r="E98" s="7" t="n">
        <x:v>7396315.957</x:v>
      </x:c>
      <x:c r="F98" s="7" t="n">
        <x:v>357741.739</x:v>
      </x:c>
      <x:c r="G98" s="7" t="n">
        <x:v>-23.5372304548352</x:v>
      </x:c>
      <x:c r="H98" s="7" t="n">
        <x:v>-46.3936179990968</x:v>
      </x:c>
      <x:c r="I98" s="7" t="n">
        <x:v>775.111</x:v>
      </x:c>
      <x:c r="J98" s="7" t="n">
        <x:v>771.111</x:v>
      </x:c>
      <x:c r="K98" s="6" t="n">
        <x:v>4</x:v>
      </x:c>
      <x:c r="L98" s="6" t="inlineStr">
        <x:is>
          <x:t xml:space="preserve">CONFERÊNCIA.TRECH.pdf</x:t>
        </x:is>
      </x:c>
    </x:row>
    <x:row r="99">
      <x:c r="A99" s="6" t="inlineStr">
        <x:is>
          <x:t xml:space="preserve">lageado_montante_bl54_55_56</x:t>
        </x:is>
      </x:c>
      <x:c r="B99" s="6" t="inlineStr">
        <x:is>
          <x:t xml:space="preserve">PV</x:t>
        </x:is>
      </x:c>
      <x:c r="C99" s="6" t="inlineStr">
        <x:is>
          <x:t xml:space="preserve">LAG-PV-011</x:t>
        </x:is>
      </x:c>
      <x:c r="D99" s="6" t="inlineStr">
        <x:is>
          <x:t xml:space="preserve">PV-08</x:t>
        </x:is>
      </x:c>
      <x:c r="E99" s="7" t="n">
        <x:v>7396256.404</x:v>
      </x:c>
      <x:c r="F99" s="7" t="n">
        <x:v>357761.839</x:v>
      </x:c>
      <x:c r="G99" s="7" t="n">
        <x:v>-23.53776999032625</x:v>
      </x:c>
      <x:c r="H99" s="7" t="n">
        <x:v>-46.39342680270682</x:v>
      </x:c>
      <x:c r="I99" s="7" t="n">
        <x:v>776.226</x:v>
      </x:c>
      <x:c r="J99" s="7" t="n">
        <x:v>771.426</x:v>
      </x:c>
      <x:c r="K99" s="7" t="n">
        <x:v>4.8</x:v>
      </x:c>
      <x:c r="L99" s="6" t="inlineStr">
        <x:is>
          <x:t xml:space="preserve">CONFERÊNCIA.TRECH.pdf</x:t>
        </x:is>
      </x:c>
    </x:row>
    <x:row r="100">
      <x:c r="A100" s="6" t="inlineStr">
        <x:is>
          <x:t xml:space="preserve">lageado_montante_bl54_55_56</x:t>
        </x:is>
      </x:c>
      <x:c r="B100" s="6" t="inlineStr">
        <x:is>
          <x:t xml:space="preserve">PV</x:t>
        </x:is>
      </x:c>
      <x:c r="C100" s="6" t="inlineStr">
        <x:is>
          <x:t xml:space="preserve">LAG-PV-012</x:t>
        </x:is>
      </x:c>
      <x:c r="D100" s="6" t="inlineStr">
        <x:is>
          <x:t xml:space="preserve">PV-10</x:t>
        </x:is>
      </x:c>
      <x:c r="E100" s="7" t="n">
        <x:v>7396180.106</x:v>
      </x:c>
      <x:c r="F100" s="7" t="n">
        <x:v>357794.041</x:v>
      </x:c>
      <x:c r="G100" s="7" t="n">
        <x:v>-23.53846179682679</x:v>
      </x:c>
      <x:c r="H100" s="7" t="n">
        <x:v>-46.39311866798782</x:v>
      </x:c>
      <x:c r="I100" s="7" t="n">
        <x:v>779.772</x:v>
      </x:c>
      <x:c r="J100" s="7" t="n">
        <x:v>775.3920000000001</x:v>
      </x:c>
      <x:c r="K100" s="7" t="n">
        <x:v>4.38</x:v>
      </x:c>
      <x:c r="L100" s="6" t="inlineStr">
        <x:is>
          <x:t xml:space="preserve">CONFERÊNCIA.TRECH.pdf</x:t>
        </x:is>
      </x:c>
    </x:row>
    <x:row r="101">
      <x:c r="A101" s="6" t="inlineStr">
        <x:is>
          <x:t xml:space="preserve">lageado_montante_bl54_55_56</x:t>
        </x:is>
      </x:c>
      <x:c r="B101" s="6" t="inlineStr">
        <x:is>
          <x:t xml:space="preserve">PV</x:t>
        </x:is>
      </x:c>
      <x:c r="C101" s="6" t="inlineStr">
        <x:is>
          <x:t xml:space="preserve">LAG-PV-013</x:t>
        </x:is>
      </x:c>
      <x:c r="D101" s="6" t="inlineStr">
        <x:is>
          <x:t xml:space="preserve">PV-12</x:t>
        </x:is>
      </x:c>
      <x:c r="E101" s="7" t="n">
        <x:v>7396101.262</x:v>
      </x:c>
      <x:c r="F101" s="7" t="n">
        <x:v>357839.227</x:v>
      </x:c>
      <x:c r="G101" s="7" t="n">
        <x:v>-23.53917773203096</x:v>
      </x:c>
      <x:c r="H101" s="7" t="n">
        <x:v>-46.39268360325681</x:v>
      </x:c>
      <x:c r="I101" s="7" t="n">
        <x:v>780.462</x:v>
      </x:c>
      <x:c r="J101" s="7" t="n">
        <x:v>776.242</x:v>
      </x:c>
      <x:c r="K101" s="7" t="n">
        <x:v>4.22</x:v>
      </x:c>
      <x:c r="L101" s="6" t="inlineStr">
        <x:is>
          <x:t xml:space="preserve">CONFERÊNCIA.TRECH.pdf</x:t>
        </x:is>
      </x:c>
    </x:row>
    <x:row r="102">
      <x:c r="A102" s="6" t="inlineStr">
        <x:is>
          <x:t xml:space="preserve">lageado_montante_bl54_55_56</x:t>
        </x:is>
      </x:c>
      <x:c r="B102" s="6" t="inlineStr">
        <x:is>
          <x:t xml:space="preserve">PV</x:t>
        </x:is>
      </x:c>
      <x:c r="C102" s="6" t="inlineStr">
        <x:is>
          <x:t xml:space="preserve">LAG-PV-014</x:t>
        </x:is>
      </x:c>
      <x:c r="D102" s="6" t="inlineStr">
        <x:is>
          <x:t xml:space="preserve">PV-16</x:t>
        </x:is>
      </x:c>
      <x:c r="E102" s="7" t="n">
        <x:v>7396031.454</x:v>
      </x:c>
      <x:c r="F102" s="7" t="n">
        <x:v>357851.8</x:v>
      </x:c>
      <x:c r="G102" s="7" t="n">
        <x:v>-23.53980921080421</x:v>
      </x:c>
      <x:c r="H102" s="7" t="n">
        <x:v>-46.39256709774173</x:v>
      </x:c>
      <x:c r="I102" s="7" t="n">
        <x:v>782.326</x:v>
      </x:c>
      <x:c r="J102" s="7" t="n">
        <x:v>777.426</x:v>
      </x:c>
      <x:c r="K102" s="7" t="n">
        <x:v>4.9</x:v>
      </x:c>
      <x:c r="L102" s="6" t="inlineStr">
        <x:is>
          <x:t xml:space="preserve">CONFERÊNCIA.TRECH.pdf</x:t>
        </x:is>
      </x:c>
    </x:row>
    <x:row r="103">
      <x:c r="A103" s="6" t="inlineStr">
        <x:is>
          <x:t xml:space="preserve">lageado_montante_bl54_55_56</x:t>
        </x:is>
      </x:c>
      <x:c r="B103" s="6" t="inlineStr">
        <x:is>
          <x:t xml:space="preserve">PV</x:t>
        </x:is>
      </x:c>
      <x:c r="C103" s="6" t="inlineStr">
        <x:is>
          <x:t xml:space="preserve">LAG-PV-015</x:t>
        </x:is>
      </x:c>
      <x:c r="D103" s="6" t="inlineStr">
        <x:is>
          <x:t xml:space="preserve">PV-18</x:t>
        </x:is>
      </x:c>
      <x:c r="E103" s="7" t="n">
        <x:v>7395984.346</x:v>
      </x:c>
      <x:c r="F103" s="7" t="n">
        <x:v>357892.52</x:v>
      </x:c>
      <x:c r="G103" s="7" t="n">
        <x:v>-23.5402381725206</x:v>
      </x:c>
      <x:c r="H103" s="7" t="n">
        <x:v>-46.3921727505767</x:v>
      </x:c>
      <x:c r="I103" s="7" t="n">
        <x:v>783.4349999999999</x:v>
      </x:c>
      <x:c r="J103" s="7" t="n">
        <x:v>779.035</x:v>
      </x:c>
      <x:c r="K103" s="7" t="n">
        <x:v>4.4</x:v>
      </x:c>
      <x:c r="L103" s="6" t="inlineStr">
        <x:is>
          <x:t xml:space="preserve">CONFERÊNCIA.TRECH.pdf</x:t>
        </x:is>
      </x:c>
    </x:row>
    <x:row r="104">
      <x:c r="A104" s="6" t="inlineStr">
        <x:is>
          <x:t xml:space="preserve">lageado_montante_bl54_55_56</x:t>
        </x:is>
      </x:c>
      <x:c r="B104" s="6" t="inlineStr">
        <x:is>
          <x:t xml:space="preserve">PV</x:t>
        </x:is>
      </x:c>
      <x:c r="C104" s="6" t="inlineStr">
        <x:is>
          <x:t xml:space="preserve">LAG-PV-016</x:t>
        </x:is>
      </x:c>
      <x:c r="D104" s="6" t="inlineStr">
        <x:is>
          <x:t xml:space="preserve">PV-19</x:t>
        </x:is>
      </x:c>
      <x:c r="E104" s="7" t="n">
        <x:v>7395924.76</x:v>
      </x:c>
      <x:c r="F104" s="7" t="n">
        <x:v>357940.896</x:v>
      </x:c>
      <x:c r="G104" s="7" t="n">
        <x:v>-23.54078048237465</x:v>
      </x:c>
      <x:c r="H104" s="7" t="n">
        <x:v>-46.39170460077867</x:v>
      </x:c>
      <x:c r="I104" s="7" t="n">
        <x:v>786.669</x:v>
      </x:c>
      <x:c r="J104" s="7" t="n">
        <x:v>782.659</x:v>
      </x:c>
      <x:c r="K104" s="7" t="n">
        <x:v>4.01</x:v>
      </x:c>
      <x:c r="L104" s="6" t="inlineStr">
        <x:is>
          <x:t xml:space="preserve">CONFERÊNCIA.TRECH.pdf</x:t>
        </x:is>
      </x:c>
    </x:row>
    <x:row r="105">
      <x:c r="A105" s="6" t="inlineStr">
        <x:is>
          <x:t xml:space="preserve">lageado_montante_bl54_55_56</x:t>
        </x:is>
      </x:c>
      <x:c r="B105" s="6" t="inlineStr">
        <x:is>
          <x:t xml:space="preserve">PV</x:t>
        </x:is>
      </x:c>
      <x:c r="C105" s="6" t="inlineStr">
        <x:is>
          <x:t xml:space="preserve">LAG-PV-017</x:t>
        </x:is>
      </x:c>
      <x:c r="D105" s="6" t="inlineStr">
        <x:is>
          <x:t xml:space="preserve">PV-03.1</x:t>
        </x:is>
      </x:c>
      <x:c r="E105" s="7" t="n">
        <x:v>7396507.706</x:v>
      </x:c>
      <x:c r="F105" s="7" t="n">
        <x:v>357702.457</x:v>
      </x:c>
      <x:c r="G105" s="7" t="n">
        <x:v>-23.53549548700187</x:v>
      </x:c>
      <x:c r="H105" s="7" t="n">
        <x:v>-46.39398448300136</x:v>
      </x:c>
      <x:c r="I105" s="7" t="n">
        <x:v>770.504</x:v>
      </x:c>
      <x:c r="J105" s="7" t="n">
        <x:v>768.934</x:v>
      </x:c>
      <x:c r="K105" s="7" t="n">
        <x:v>1.57</x:v>
      </x:c>
      <x:c r="L105" s="6" t="inlineStr">
        <x:is>
          <x:t xml:space="preserve">CONFERÊNCIA.TRECH.pdf</x:t>
        </x:is>
      </x:c>
    </x:row>
    <x:row r="106">
      <x:c r="A106" s="6" t="inlineStr">
        <x:is>
          <x:t xml:space="preserve">lageado_montante_bl54_55_56</x:t>
        </x:is>
      </x:c>
      <x:c r="B106" s="6" t="inlineStr">
        <x:is>
          <x:t xml:space="preserve">PI</x:t>
        </x:is>
      </x:c>
      <x:c r="C106" s="6" t="inlineStr">
        <x:is>
          <x:t xml:space="preserve">LAG-PI-018</x:t>
        </x:is>
      </x:c>
      <x:c r="D106" s="6" t="inlineStr">
        <x:is>
          <x:t xml:space="preserve">PI-03.2</x:t>
        </x:is>
      </x:c>
      <x:c r="E106" s="7" t="n">
        <x:v>7396520.835</x:v>
      </x:c>
      <x:c r="F106" s="7" t="n">
        <x:v>357678.877</x:v>
      </x:c>
      <x:c r="G106" s="7" t="n">
        <x:v>-23.53537486097723</x:v>
      </x:c>
      <x:c r="H106" s="7" t="n">
        <x:v>-46.39421417616888</x:v>
      </x:c>
      <x:c r="I106" s="7" t="n">
        <x:v>770.886</x:v>
      </x:c>
      <x:c r="J106" s="7" t="n">
        <x:v>769.576</x:v>
      </x:c>
      <x:c r="K106" s="7" t="n">
        <x:v>1.31</x:v>
      </x:c>
      <x:c r="L106" s="6" t="inlineStr">
        <x:is>
          <x:t xml:space="preserve">CONFERÊNCIA.TRECH.pdf</x:t>
        </x:is>
      </x:c>
    </x:row>
    <x:row r="107">
      <x:c r="A107" s="6" t="inlineStr">
        <x:is>
          <x:t xml:space="preserve">lageado_montante_bl54_55_56</x:t>
        </x:is>
      </x:c>
      <x:c r="B107" s="6" t="inlineStr">
        <x:is>
          <x:t xml:space="preserve">PV</x:t>
        </x:is>
      </x:c>
      <x:c r="C107" s="6" t="inlineStr">
        <x:is>
          <x:t xml:space="preserve">LAG-PV-019</x:t>
        </x:is>
      </x:c>
      <x:c r="D107" s="6" t="inlineStr">
        <x:is>
          <x:t xml:space="preserve">PV-04.1</x:t>
        </x:is>
      </x:c>
      <x:c r="E107" s="7" t="n">
        <x:v>7396445.555</x:v>
      </x:c>
      <x:c r="F107" s="7" t="n">
        <x:v>357713.219</x:v>
      </x:c>
      <x:c r="G107" s="7" t="n">
        <x:v>-23.53605766386822</x:v>
      </x:c>
      <x:c r="H107" s="7" t="n">
        <x:v>-46.39388499437673</x:v>
      </x:c>
      <x:c r="I107" s="7" t="n">
        <x:v>772.278</x:v>
      </x:c>
      <x:c r="J107" s="7" t="n">
        <x:v>768.958</x:v>
      </x:c>
      <x:c r="K107" s="7" t="n">
        <x:v>3.32</x:v>
      </x:c>
      <x:c r="L107" s="6" t="inlineStr">
        <x:is>
          <x:t xml:space="preserve">CONFERÊNCIA.TRECH.pdf</x:t>
        </x:is>
      </x:c>
    </x:row>
    <x:row r="108">
      <x:c r="A108" s="6" t="inlineStr">
        <x:is>
          <x:t xml:space="preserve">lageado_montante_bl54_55_56</x:t>
        </x:is>
      </x:c>
      <x:c r="B108" s="6" t="inlineStr">
        <x:is>
          <x:t xml:space="preserve">PV</x:t>
        </x:is>
      </x:c>
      <x:c r="C108" s="6" t="inlineStr">
        <x:is>
          <x:t xml:space="preserve">LAG-PV-020</x:t>
        </x:is>
      </x:c>
      <x:c r="D108" s="6" t="inlineStr">
        <x:is>
          <x:t xml:space="preserve">PVE-04.2</x:t>
        </x:is>
      </x:c>
      <x:c r="E108" s="7" t="n">
        <x:v>7396444.086</x:v>
      </x:c>
      <x:c r="F108" s="7" t="n">
        <x:v>357708.456</x:v>
      </x:c>
      <x:c r="G108" s="7" t="n">
        <x:v>-23.5360705112229</x:v>
      </x:c>
      <x:c r="H108" s="7" t="n">
        <x:v>-46.3939317832732</x:v>
      </x:c>
      <x:c r="I108" s="7" t="n">
        <x:v>772.516</x:v>
      </x:c>
      <x:c r="J108" s="7" t="n">
        <x:v>770.516</x:v>
      </x:c>
      <x:c r="K108" s="6" t="n">
        <x:v>2</x:v>
      </x:c>
      <x:c r="L108" s="6" t="inlineStr">
        <x:is>
          <x:t xml:space="preserve">CONFERÊNCIA.TRECH.pdf</x:t>
        </x:is>
      </x:c>
    </x:row>
    <x:row r="109">
      <x:c r="A109" s="6" t="inlineStr">
        <x:is>
          <x:t xml:space="preserve">lageado_montante_bl54_55_56</x:t>
        </x:is>
      </x:c>
      <x:c r="B109" s="6" t="inlineStr">
        <x:is>
          <x:t xml:space="preserve">PV</x:t>
        </x:is>
      </x:c>
      <x:c r="C109" s="6" t="inlineStr">
        <x:is>
          <x:t xml:space="preserve">LAG-PV-021</x:t>
        </x:is>
      </x:c>
      <x:c r="D109" s="6" t="inlineStr">
        <x:is>
          <x:t xml:space="preserve">PV-05.1</x:t>
        </x:is>
      </x:c>
      <x:c r="E109" s="7" t="n">
        <x:v>7396387.562</x:v>
      </x:c>
      <x:c r="F109" s="7" t="n">
        <x:v>357719.709</x:v>
      </x:c>
      <x:c r="G109" s="7" t="n">
        <x:v>-23.53658191850404</x:v>
      </x:c>
      <x:c r="H109" s="7" t="n">
        <x:v>-46.39382694973283</x:v>
      </x:c>
      <x:c r="I109" s="7" t="n">
        <x:v>773.0650000000001</x:v>
      </x:c>
      <x:c r="J109" s="7" t="n">
        <x:v>770.105</x:v>
      </x:c>
      <x:c r="K109" s="7" t="n">
        <x:v>2.96</x:v>
      </x:c>
      <x:c r="L109" s="6" t="inlineStr">
        <x:is>
          <x:t xml:space="preserve">CONFERÊNCIA.TRECH.pdf</x:t>
        </x:is>
      </x:c>
    </x:row>
    <x:row r="110">
      <x:c r="A110" s="6" t="inlineStr">
        <x:is>
          <x:t xml:space="preserve">lageado_montante_bl54_55_56</x:t>
        </x:is>
      </x:c>
      <x:c r="B110" s="6" t="inlineStr">
        <x:is>
          <x:t xml:space="preserve">PV</x:t>
        </x:is>
      </x:c>
      <x:c r="C110" s="6" t="inlineStr">
        <x:is>
          <x:t xml:space="preserve">LAG-PV-022</x:t>
        </x:is>
      </x:c>
      <x:c r="D110" s="6" t="inlineStr">
        <x:is>
          <x:t xml:space="preserve">PV-07.1</x:t>
        </x:is>
      </x:c>
      <x:c r="E110" s="7" t="n">
        <x:v>7396311.912</x:v>
      </x:c>
      <x:c r="F110" s="7" t="n">
        <x:v>357719.716</x:v>
      </x:c>
      <x:c r="G110" s="7" t="n">
        <x:v>-23.53726504952773</x:v>
      </x:c>
      <x:c r="H110" s="7" t="n">
        <x:v>-46.39383408049343</x:v>
      </x:c>
      <x:c r="I110" s="7" t="n">
        <x:v>774.854</x:v>
      </x:c>
      <x:c r="J110" s="7" t="n">
        <x:v>771.934</x:v>
      </x:c>
      <x:c r="K110" s="7" t="n">
        <x:v>2.92</x:v>
      </x:c>
      <x:c r="L110" s="6" t="inlineStr">
        <x:is>
          <x:t xml:space="preserve">CONFERÊNCIA.TRECH.pdf</x:t>
        </x:is>
      </x:c>
    </x:row>
    <x:row r="111">
      <x:c r="A111" s="6" t="inlineStr">
        <x:is>
          <x:t xml:space="preserve">lageado_montante_bl54_55_56</x:t>
        </x:is>
      </x:c>
      <x:c r="B111" s="6" t="inlineStr">
        <x:is>
          <x:t xml:space="preserve">PI</x:t>
        </x:is>
      </x:c>
      <x:c r="C111" s="6" t="inlineStr">
        <x:is>
          <x:t xml:space="preserve">LAG-PI-023</x:t>
        </x:is>
      </x:c>
      <x:c r="D111" s="6" t="inlineStr">
        <x:is>
          <x:t xml:space="preserve">PI-07.2</x:t>
        </x:is>
      </x:c>
      <x:c r="E111" s="7" t="n">
        <x:v>7396307.485</x:v>
      </x:c>
      <x:c r="F111" s="7" t="n">
        <x:v>357715.6</x:v>
      </x:c>
      <x:c r="G111" s="7" t="n">
        <x:v>-23.53730466481291</x:v>
      </x:c>
      <x:c r="H111" s="7" t="n">
        <x:v>-46.3938748145216</x:v>
      </x:c>
      <x:c r="I111" s="7" t="n">
        <x:v>774.95</x:v>
      </x:c>
      <x:c r="J111" s="7" t="n">
        <x:v>773.95</x:v>
      </x:c>
      <x:c r="K111" s="6" t="n">
        <x:v>1</x:v>
      </x:c>
      <x:c r="L111" s="6" t="inlineStr">
        <x:is>
          <x:t xml:space="preserve">CONFERÊNCIA.TRECH.pdf</x:t>
        </x:is>
      </x:c>
    </x:row>
    <x:row r="112">
      <x:c r="A112" s="6" t="inlineStr">
        <x:is>
          <x:t xml:space="preserve">lageado_montante_bl54_55_56</x:t>
        </x:is>
      </x:c>
      <x:c r="B112" s="6" t="inlineStr">
        <x:is>
          <x:t xml:space="preserve">PV</x:t>
        </x:is>
      </x:c>
      <x:c r="C112" s="6" t="inlineStr">
        <x:is>
          <x:t xml:space="preserve">LAG-PV-024</x:t>
        </x:is>
      </x:c>
      <x:c r="D112" s="6" t="inlineStr">
        <x:is>
          <x:t xml:space="preserve">PV-08.1</x:t>
        </x:is>
      </x:c>
      <x:c r="E112" s="7" t="n">
        <x:v>7396251.572</x:v>
      </x:c>
      <x:c r="F112" s="7" t="n">
        <x:v>357744.194</x:v>
      </x:c>
      <x:c r="G112" s="7" t="n">
        <x:v>-23.53781207606009</x:v>
      </x:c>
      <x:c r="H112" s="7" t="n">
        <x:v>-46.39360008089176</x:v>
      </x:c>
      <x:c r="I112" s="7" t="n">
        <x:v>774.444</x:v>
      </x:c>
      <x:c r="J112" s="7" t="n">
        <x:v>771.824</x:v>
      </x:c>
      <x:c r="K112" s="7" t="n">
        <x:v>2.62</x:v>
      </x:c>
      <x:c r="L112" s="6" t="inlineStr">
        <x:is>
          <x:t xml:space="preserve">CONFERÊNCIA.TRECH.pdf</x:t>
        </x:is>
      </x:c>
    </x:row>
    <x:row r="113">
      <x:c r="A113" s="6" t="inlineStr">
        <x:is>
          <x:t xml:space="preserve">lageado_montante_bl54_55_56</x:t>
        </x:is>
      </x:c>
      <x:c r="B113" s="6" t="inlineStr">
        <x:is>
          <x:t xml:space="preserve">PV</x:t>
        </x:is>
      </x:c>
      <x:c r="C113" s="6" t="inlineStr">
        <x:is>
          <x:t xml:space="preserve">LAG-PV-025</x:t>
        </x:is>
      </x:c>
      <x:c r="D113" s="6" t="inlineStr">
        <x:is>
          <x:t xml:space="preserve">PV-12.1</x:t>
        </x:is>
      </x:c>
      <x:c r="E113" s="7" t="n">
        <x:v>7396095.574</x:v>
      </x:c>
      <x:c r="F113" s="7" t="n">
        <x:v>357826.083</x:v>
      </x:c>
      <x:c r="G113" s="7" t="n">
        <x:v>-23.53922794299835</x:v>
      </x:c>
      <x:c r="H113" s="7" t="n">
        <x:v>-46.39281288040892</x:v>
      </x:c>
      <x:c r="I113" s="7" t="n">
        <x:v>779.532</x:v>
      </x:c>
      <x:c r="J113" s="7" t="n">
        <x:v>776.7619999999999</x:v>
      </x:c>
      <x:c r="K113" s="7" t="n">
        <x:v>2.77</x:v>
      </x:c>
      <x:c r="L113" s="6" t="inlineStr">
        <x:is>
          <x:t xml:space="preserve">CONFERÊNCIA.TRECH.pdf</x:t>
        </x:is>
      </x:c>
    </x:row>
    <x:row r="114">
      <x:c r="A114" s="6" t="inlineStr">
        <x:is>
          <x:t xml:space="preserve">lageado_montante_bl54_55_56</x:t>
        </x:is>
      </x:c>
      <x:c r="B114" s="6" t="inlineStr">
        <x:is>
          <x:t xml:space="preserve">PV</x:t>
        </x:is>
      </x:c>
      <x:c r="C114" s="6" t="inlineStr">
        <x:is>
          <x:t xml:space="preserve">LAG-PV-026</x:t>
        </x:is>
      </x:c>
      <x:c r="D114" s="6" t="inlineStr">
        <x:is>
          <x:t xml:space="preserve">PVE-12.2</x:t>
        </x:is>
      </x:c>
      <x:c r="E114" s="7" t="n">
        <x:v>7396095.488</x:v>
      </x:c>
      <x:c r="F114" s="7" t="n">
        <x:v>357824.529</x:v>
      </x:c>
      <x:c r="G114" s="7" t="n">
        <x:v>-23.53922858332472</x:v>
      </x:c>
      <x:c r="H114" s="7" t="n">
        <x:v>-46.39282810892448</x:v>
      </x:c>
      <x:c r="I114" s="7" t="n">
        <x:v>779.4</x:v>
      </x:c>
      <x:c r="J114" s="7" t="n">
        <x:v>777.42</x:v>
      </x:c>
      <x:c r="K114" s="7" t="n">
        <x:v>1.98</x:v>
      </x:c>
      <x:c r="L114" s="6" t="inlineStr">
        <x:is>
          <x:t xml:space="preserve">CONFERÊNCIA.TRECH.pdf</x:t>
        </x:is>
      </x:c>
    </x:row>
    <x:row r="115">
      <x:c r="A115" s="6" t="inlineStr">
        <x:is>
          <x:t xml:space="preserve">lageado_montante_bl54_55_56</x:t>
        </x:is>
      </x:c>
      <x:c r="B115" s="6" t="inlineStr">
        <x:is>
          <x:t xml:space="preserve">PV</x:t>
        </x:is>
      </x:c>
      <x:c r="C115" s="6" t="inlineStr">
        <x:is>
          <x:t xml:space="preserve">LAG-PV-027</x:t>
        </x:is>
      </x:c>
      <x:c r="D115" s="6" t="inlineStr">
        <x:is>
          <x:t xml:space="preserve">PV-16.1</x:t>
        </x:is>
      </x:c>
      <x:c r="E115" s="7" t="n">
        <x:v>7396024.133</x:v>
      </x:c>
      <x:c r="F115" s="7" t="n">
        <x:v>357841.465</x:v>
      </x:c>
      <x:c r="G115" s="7" t="n">
        <x:v>-23.53987441436012</x:v>
      </x:c>
      <x:c r="H115" s="7" t="n">
        <x:v>-46.39266901847353</x:v>
      </x:c>
      <x:c r="I115" s="7" t="n">
        <x:v>781.616</x:v>
      </x:c>
      <x:c r="J115" s="7" t="n">
        <x:v>778.616</x:v>
      </x:c>
      <x:c r="K115" s="6" t="n">
        <x:v>3</x:v>
      </x:c>
      <x:c r="L115" s="6" t="inlineStr">
        <x:is>
          <x:t xml:space="preserve">CONFERÊNCIA.TRECH.pdf</x:t>
        </x:is>
      </x:c>
    </x:row>
    <x:row r="116">
      <x:c r="A116" s="6" t="inlineStr">
        <x:is>
          <x:t xml:space="preserve">lageado_montante_bl54_55_56</x:t>
        </x:is>
      </x:c>
      <x:c r="B116" s="6" t="inlineStr">
        <x:is>
          <x:t xml:space="preserve">PV</x:t>
        </x:is>
      </x:c>
      <x:c r="C116" s="6" t="inlineStr">
        <x:is>
          <x:t xml:space="preserve">LAG-PV-028</x:t>
        </x:is>
      </x:c>
      <x:c r="D116" s="6" t="inlineStr">
        <x:is>
          <x:t xml:space="preserve">PV-18.1</x:t>
        </x:is>
      </x:c>
      <x:c r="E116" s="7" t="n">
        <x:v>7395976.812</x:v>
      </x:c>
      <x:c r="F116" s="7" t="n">
        <x:v>357884.214</x:v>
      </x:c>
      <x:c r="G116" s="7" t="n">
        <x:v>-23.54030547760047</x:v>
      </x:c>
      <x:c r="H116" s="7" t="n">
        <x:v>-46.3922548189284</x:v>
      </x:c>
      <x:c r="I116" s="7" t="n">
        <x:v>782.944</x:v>
      </x:c>
      <x:c r="J116" s="7" t="n">
        <x:v>780.294</x:v>
      </x:c>
      <x:c r="K116" s="7" t="n">
        <x:v>2.65</x:v>
      </x:c>
      <x:c r="L116" s="6" t="inlineStr">
        <x:is>
          <x:t xml:space="preserve">CONFERÊNCIA.TRECH.pdf</x:t>
        </x:is>
      </x:c>
    </x:row>
    <x:row r="117">
      <x:c r="A117" s="6" t="inlineStr">
        <x:is>
          <x:t xml:space="preserve">lageado_montante_bl54_55_56</x:t>
        </x:is>
      </x:c>
      <x:c r="B117" s="6" t="inlineStr">
        <x:is>
          <x:t xml:space="preserve">PV</x:t>
        </x:is>
      </x:c>
      <x:c r="C117" s="6" t="inlineStr">
        <x:is>
          <x:t xml:space="preserve">LAG-PV-029</x:t>
        </x:is>
      </x:c>
      <x:c r="D117" s="6" t="inlineStr">
        <x:is>
          <x:t xml:space="preserve">PV-19.1</x:t>
        </x:is>
      </x:c>
      <x:c r="E117" s="7" t="n">
        <x:v>7395905.082</x:v>
      </x:c>
      <x:c r="F117" s="7" t="n">
        <x:v>357924.485</x:v>
      </x:c>
      <x:c r="G117" s="7" t="n">
        <x:v>-23.54095673955473</x:v>
      </x:c>
      <x:c r="H117" s="7" t="n">
        <x:v>-46.39186720732244</x:v>
      </x:c>
      <x:c r="I117" s="7" t="n">
        <x:v>787.722</x:v>
      </x:c>
      <x:c r="J117" s="7" t="n">
        <x:v>784.522</x:v>
      </x:c>
      <x:c r="K117" s="7" t="n">
        <x:v>3.2</x:v>
      </x:c>
      <x:c r="L117" s="6" t="inlineStr">
        <x:is>
          <x:t xml:space="preserve">CONFERÊNCIA.TRECH.pdf</x:t>
        </x:is>
      </x:c>
    </x:row>
    <x:row r="118">
      <x:c r="A118" s="6" t="inlineStr">
        <x:is>
          <x:t xml:space="preserve">rce_souto_maior</x:t>
        </x:is>
      </x:c>
      <x:c r="B118" s="6" t="inlineStr">
        <x:is>
          <x:t xml:space="preserve">PV</x:t>
        </x:is>
      </x:c>
      <x:c r="C118" s="6" t="inlineStr">
        <x:is>
          <x:t xml:space="preserve">PV-2</x:t>
        </x:is>
      </x:c>
      <x:c r="D118" s="6" t="inlineStr">
        <x:is>
          <x:t xml:space="preserve">PV-2</x:t>
        </x:is>
      </x:c>
      <x:c r="E118" s="7" t="n">
        <x:v>7397760.401</x:v>
      </x:c>
      <x:c r="F118" s="7" t="n">
        <x:v>358285.462</x:v>
      </x:c>
      <x:c r="G118" s="7" t="n">
        <x:v>-23.5242345</x:v>
      </x:c>
      <x:c r="H118" s="7" t="n">
        <x:v>-46.3881558</x:v>
      </x:c>
      <x:c r="I118" s="7" t="n">
        <x:v>806.732</x:v>
      </x:c>
      <x:c r="J118" s="7" t="n">
        <x:v>801.0119999999999</x:v>
      </x:c>
      <x:c r="K118" s="7" t="n">
        <x:v>5.72</x:v>
      </x:c>
      <x:c r="L118" s="6" t="n"/>
    </x:row>
    <x:row r="119">
      <x:c r="A119" s="6" t="inlineStr">
        <x:is>
          <x:t xml:space="preserve">rce_souto_maior</x:t>
        </x:is>
      </x:c>
      <x:c r="B119" s="6" t="inlineStr">
        <x:is>
          <x:t xml:space="preserve">PV</x:t>
        </x:is>
      </x:c>
      <x:c r="C119" s="6" t="inlineStr">
        <x:is>
          <x:t xml:space="preserve">PV-3</x:t>
        </x:is>
      </x:c>
      <x:c r="D119" s="6" t="inlineStr">
        <x:is>
          <x:t xml:space="preserve">PV-3</x:t>
        </x:is>
      </x:c>
      <x:c r="E119" s="7" t="n">
        <x:v>7397785.519</x:v>
      </x:c>
      <x:c r="F119" s="7" t="n">
        <x:v>358355.181</x:v>
      </x:c>
      <x:c r="G119" s="7" t="n">
        <x:v>-23.5240138</x:v>
      </x:c>
      <x:c r="H119" s="7" t="n">
        <x:v>-46.3874707</x:v>
      </x:c>
      <x:c r="I119" s="7" t="n">
        <x:v>811.215</x:v>
      </x:c>
      <x:c r="J119" s="7" t="n">
        <x:v>801.8150000000001</x:v>
      </x:c>
      <x:c r="K119" s="7" t="n">
        <x:v>9.4</x:v>
      </x:c>
      <x:c r="L119" s="6" t="n"/>
    </x:row>
    <x:row r="120">
      <x:c r="A120" s="6" t="inlineStr">
        <x:is>
          <x:t xml:space="preserve">rce_souto_maior</x:t>
        </x:is>
      </x:c>
      <x:c r="B120" s="6" t="inlineStr">
        <x:is>
          <x:t xml:space="preserve">PV</x:t>
        </x:is>
      </x:c>
      <x:c r="C120" s="6" t="inlineStr">
        <x:is>
          <x:t xml:space="preserve">PV-4</x:t>
        </x:is>
      </x:c>
      <x:c r="D120" s="6" t="inlineStr">
        <x:is>
          <x:t xml:space="preserve">PV-4</x:t>
        </x:is>
      </x:c>
      <x:c r="E120" s="7" t="n">
        <x:v>7397813.274</x:v>
      </x:c>
      <x:c r="F120" s="7" t="n">
        <x:v>358421.215</x:v>
      </x:c>
      <x:c r="G120" s="7" t="n">
        <x:v>-23.5237689</x:v>
      </x:c>
      <x:c r="H120" s="7" t="n">
        <x:v>-46.3868214</x:v>
      </x:c>
      <x:c r="I120" s="7" t="n">
        <x:v>814.014</x:v>
      </x:c>
      <x:c r="J120" s="7" t="n">
        <x:v>802.014</x:v>
      </x:c>
      <x:c r="K120" s="6" t="n">
        <x:v>12</x:v>
      </x:c>
      <x:c r="L120" s="6" t="n"/>
    </x:row>
    <x:row r="121">
      <x:c r="A121" s="6" t="inlineStr">
        <x:is>
          <x:t xml:space="preserve">rce_souto_maior</x:t>
        </x:is>
      </x:c>
      <x:c r="B121" s="6" t="inlineStr">
        <x:is>
          <x:t xml:space="preserve">PV</x:t>
        </x:is>
      </x:c>
      <x:c r="C121" s="6" t="inlineStr">
        <x:is>
          <x:t xml:space="preserve">PV-5</x:t>
        </x:is>
      </x:c>
      <x:c r="D121" s="6" t="inlineStr">
        <x:is>
          <x:t xml:space="preserve">PV-5</x:t>
        </x:is>
      </x:c>
      <x:c r="E121" s="7" t="n">
        <x:v>7397792.56</x:v>
      </x:c>
      <x:c r="F121" s="7" t="n">
        <x:v>358490.951</x:v>
      </x:c>
      <x:c r="G121" s="7" t="n">
        <x:v>-23.523962</x:v>
      </x:c>
      <x:c r="H121" s="7" t="n">
        <x:v>-46.3861404</x:v>
      </x:c>
      <x:c r="I121" s="7" t="n">
        <x:v>804.852</x:v>
      </x:c>
      <x:c r="J121" s="7" t="n">
        <x:v>802.1319999999999</x:v>
      </x:c>
      <x:c r="K121" s="7" t="n">
        <x:v>2.72</x:v>
      </x:c>
      <x:c r="L121" s="6" t="n"/>
    </x:row>
    <x:row r="122">
      <x:c r="A122" s="6" t="inlineStr">
        <x:is>
          <x:t xml:space="preserve">rce_souto_maior</x:t>
        </x:is>
      </x:c>
      <x:c r="B122" s="6" t="inlineStr">
        <x:is>
          <x:t xml:space="preserve">PV</x:t>
        </x:is>
      </x:c>
      <x:c r="C122" s="6" t="inlineStr">
        <x:is>
          <x:t xml:space="preserve">PV-5.1</x:t>
        </x:is>
      </x:c>
      <x:c r="D122" s="6" t="inlineStr">
        <x:is>
          <x:t xml:space="preserve">PV-5.1</x:t>
        </x:is>
      </x:c>
      <x:c r="E122" s="7" t="n">
        <x:v>7397793.509</x:v>
      </x:c>
      <x:c r="F122" s="7" t="n">
        <x:v>358492.509</x:v>
      </x:c>
      <x:c r="G122" s="7" t="n">
        <x:v>-23.5239536</x:v>
      </x:c>
      <x:c r="H122" s="7" t="n">
        <x:v>-46.386125</x:v>
      </x:c>
      <x:c r="I122" s="7" t="n">
        <x:v>805.016</x:v>
      </x:c>
      <x:c r="J122" s="7" t="n">
        <x:v>802.716</x:v>
      </x:c>
      <x:c r="K122" s="7" t="n">
        <x:v>2.3</x:v>
      </x:c>
      <x:c r="L122" s="6" t="inlineStr">
        <x:is>
          <x:t xml:space="preserve">Conforme projeto, considerar o número do PV como 5.1, uma vez que o campo não aceita caracteres especiais.</x:t>
        </x:is>
      </x:c>
    </x:row>
    <x:row r="123">
      <x:c r="A123" s="6" t="inlineStr">
        <x:is>
          <x:t xml:space="preserve">rce_souto_maior</x:t>
        </x:is>
      </x:c>
      <x:c r="B123" s="6" t="inlineStr">
        <x:is>
          <x:t xml:space="preserve">PI</x:t>
        </x:is>
      </x:c>
      <x:c r="C123" s="6" t="inlineStr">
        <x:is>
          <x:t xml:space="preserve">PI-7.2</x:t>
        </x:is>
      </x:c>
      <x:c r="D123" s="6" t="inlineStr">
        <x:is>
          <x:t xml:space="preserve">PI-7.2</x:t>
        </x:is>
      </x:c>
      <x:c r="E123" s="7" t="n">
        <x:v>7397791.007</x:v>
      </x:c>
      <x:c r="F123" s="7" t="n">
        <x:v>358552.439</x:v>
      </x:c>
      <x:c r="G123" s="7" t="n">
        <x:v>-23.5239814</x:v>
      </x:c>
      <x:c r="H123" s="7" t="n">
        <x:v>-46.3855384</x:v>
      </x:c>
      <x:c r="I123" s="7" t="n">
        <x:v>805.699</x:v>
      </x:c>
      <x:c r="J123" s="7" t="n">
        <x:v>804.529</x:v>
      </x:c>
      <x:c r="K123" s="7" t="n">
        <x:v>1.17</x:v>
      </x:c>
      <x:c r="L123" s="6" t="inlineStr">
        <x:is>
          <x:t xml:space="preserve">Conforme projeto, considerar o número do PI como 7.2, uma vez que o campo não aceita caracteres especiais.</x:t>
        </x:is>
      </x:c>
    </x:row>
    <x:row r="124">
      <x:c r="A124" s="6" t="inlineStr">
        <x:is>
          <x:t xml:space="preserve">rce_souto_maior</x:t>
        </x:is>
      </x:c>
      <x:c r="B124" s="6" t="inlineStr">
        <x:is>
          <x:t xml:space="preserve">PI</x:t>
        </x:is>
      </x:c>
      <x:c r="C124" s="6" t="inlineStr">
        <x:is>
          <x:t xml:space="preserve">PI-5.3</x:t>
        </x:is>
      </x:c>
      <x:c r="D124" s="6" t="inlineStr">
        <x:is>
          <x:t xml:space="preserve">PI-5.3</x:t>
        </x:is>
      </x:c>
      <x:c r="E124" s="7" t="n">
        <x:v>7397811.126</x:v>
      </x:c>
      <x:c r="F124" s="7" t="n">
        <x:v>358436.62</x:v>
      </x:c>
      <x:c r="G124" s="7" t="n">
        <x:v>-23.5237896</x:v>
      </x:c>
      <x:c r="H124" s="7" t="n">
        <x:v>-46.3866707</x:v>
      </x:c>
      <x:c r="I124" s="7" t="n">
        <x:v>812.74</x:v>
      </x:c>
      <x:c r="J124" s="7" t="n">
        <x:v>811.79</x:v>
      </x:c>
      <x:c r="K124" s="7" t="n">
        <x:v>0.95</x:v>
      </x:c>
      <x:c r="L124" s="6" t="inlineStr">
        <x:is>
          <x:t xml:space="preserve">Conforme projeto, considerar o número do PI como 5.3, uma vez que o campo não aceita caracteres especiais.</x:t>
        </x:is>
      </x:c>
    </x:row>
    <x:row r="125">
      <x:c r="A125" s="6" t="inlineStr">
        <x:is>
          <x:t xml:space="preserve">rce_souto_maior</x:t>
        </x:is>
      </x:c>
      <x:c r="B125" s="6" t="inlineStr">
        <x:is>
          <x:t xml:space="preserve">PI</x:t>
        </x:is>
      </x:c>
      <x:c r="C125" s="6" t="inlineStr">
        <x:is>
          <x:t xml:space="preserve">PI-7</x:t>
        </x:is>
      </x:c>
      <x:c r="D125" s="6" t="inlineStr">
        <x:is>
          <x:t xml:space="preserve">PI-7</x:t>
        </x:is>
      </x:c>
      <x:c r="E125" s="7" t="n">
        <x:v>7397785.639</x:v>
      </x:c>
      <x:c r="F125" s="7" t="n">
        <x:v>358542.015</x:v>
      </x:c>
      <x:c r="G125" s="7" t="n">
        <x:v>-23.524029</x:v>
      </x:c>
      <x:c r="H125" s="7" t="n">
        <x:v>-46.385641</x:v>
      </x:c>
      <x:c r="I125" s="7" t="n">
        <x:v>804.143</x:v>
      </x:c>
      <x:c r="J125" s="7" t="n">
        <x:v>803.163</x:v>
      </x:c>
      <x:c r="K125" s="7" t="n">
        <x:v>0.98</x:v>
      </x:c>
      <x:c r="L125" s="6" t="n"/>
    </x:row>
    <x:row r="126">
      <x:c r="A126" s="6" t="inlineStr">
        <x:is>
          <x:t xml:space="preserve">rce_souto_maior</x:t>
        </x:is>
      </x:c>
      <x:c r="B126" s="6" t="inlineStr">
        <x:is>
          <x:t xml:space="preserve">PI</x:t>
        </x:is>
      </x:c>
      <x:c r="C126" s="6" t="inlineStr">
        <x:is>
          <x:t xml:space="preserve">PI-7.1</x:t>
        </x:is>
      </x:c>
      <x:c r="D126" s="6" t="inlineStr">
        <x:is>
          <x:t xml:space="preserve">PI-7.1</x:t>
        </x:is>
      </x:c>
      <x:c r="E126" s="7" t="n">
        <x:v>7397787.336</x:v>
      </x:c>
      <x:c r="F126" s="7" t="n">
        <x:v>358548.704</x:v>
      </x:c>
      <x:c r="G126" s="7" t="n">
        <x:v>-23.5240142</x:v>
      </x:c>
      <x:c r="H126" s="7" t="n">
        <x:v>-46.3855753</x:v>
      </x:c>
      <x:c r="I126" s="7" t="n">
        <x:v>804.978</x:v>
      </x:c>
      <x:c r="J126" s="7" t="n">
        <x:v>803.978</x:v>
      </x:c>
      <x:c r="K126" s="6" t="n">
        <x:v>1</x:v>
      </x:c>
      <x:c r="L126" s="6" t="inlineStr">
        <x:is>
          <x:t xml:space="preserve">Conforme projeto, considerar o número do PI como 7.1, uma vez que o campo não aceita caracteres especiais.</x:t>
        </x:is>
      </x:c>
    </x:row>
    <x:row r="127">
      <x:c r="A127" s="6" t="inlineStr">
        <x:is>
          <x:t xml:space="preserve">rce_souto_maior</x:t>
        </x:is>
      </x:c>
      <x:c r="B127" s="6" t="inlineStr">
        <x:is>
          <x:t xml:space="preserve">PI</x:t>
        </x:is>
      </x:c>
      <x:c r="C127" s="6" t="inlineStr">
        <x:is>
          <x:t xml:space="preserve">PI-7.3</x:t>
        </x:is>
      </x:c>
      <x:c r="D127" s="6" t="inlineStr">
        <x:is>
          <x:t xml:space="preserve">PI-7.3</x:t>
        </x:is>
      </x:c>
      <x:c r="E127" s="7" t="n">
        <x:v>7397820.478</x:v>
      </x:c>
      <x:c r="F127" s="7" t="n">
        <x:v>358582.766</x:v>
      </x:c>
      <x:c r="G127" s="7" t="n">
        <x:v>-23.5237179</x:v>
      </x:c>
      <x:c r="H127" s="7" t="n">
        <x:v>-46.3852386</x:v>
      </x:c>
      <x:c r="I127" s="7" t="n">
        <x:v>810.836</x:v>
      </x:c>
      <x:c r="J127" s="7" t="n">
        <x:v>809.586</x:v>
      </x:c>
      <x:c r="K127" s="6" t="n"/>
      <x:c r="L127" s="6" t="inlineStr">
        <x:is>
          <x:t xml:space="preserve">Conforme projeto, considerar o número do PI como 7.3, uma vez que o campo não aceita caracteres especiais.</x:t>
        </x:is>
      </x:c>
    </x:row>
    <x:row r="128">
      <x:c r="A128" s="6" t="inlineStr">
        <x:is>
          <x:t xml:space="preserve">rce_souto_maior</x:t>
        </x:is>
      </x:c>
      <x:c r="B128" s="6" t="inlineStr">
        <x:is>
          <x:t xml:space="preserve">PI</x:t>
        </x:is>
      </x:c>
      <x:c r="C128" s="6" t="inlineStr">
        <x:is>
          <x:t xml:space="preserve">PI-5.2</x:t>
        </x:is>
      </x:c>
      <x:c r="D128" s="6" t="inlineStr">
        <x:is>
          <x:t xml:space="preserve">PI-5.2</x:t>
        </x:is>
      </x:c>
      <x:c r="E128" s="7" t="n">
        <x:v>7397800.247</x:v>
      </x:c>
      <x:c r="F128" s="7" t="n">
        <x:v>358470.63</x:v>
      </x:c>
      <x:c r="G128" s="7" t="n">
        <x:v>-23.5238908</x:v>
      </x:c>
      <x:c r="H128" s="7" t="n">
        <x:v>-46.3863387</x:v>
      </x:c>
      <x:c r="I128" s="7" t="n">
        <x:v>806.314</x:v>
      </x:c>
      <x:c r="J128" s="7" t="n">
        <x:v>805.134</x:v>
      </x:c>
      <x:c r="K128" s="7" t="n">
        <x:v>1.18</x:v>
      </x:c>
      <x:c r="L128" s="6" t="inlineStr">
        <x:is>
          <x:t xml:space="preserve">Conforme projeto, considerar o número do PI como 5.2, uma vez que o campo não aceita caracteres especiais.</x:t>
        </x:is>
      </x:c>
    </x:row>
    <x:row r="129">
      <x:c r="A129" s="6" t="inlineStr">
        <x:is>
          <x:t xml:space="preserve">rce_souto_maior</x:t>
        </x:is>
      </x:c>
      <x:c r="B129" s="6" t="inlineStr">
        <x:is>
          <x:t xml:space="preserve">PI</x:t>
        </x:is>
      </x:c>
      <x:c r="C129" s="6" t="inlineStr">
        <x:is>
          <x:t xml:space="preserve">PI-1</x:t>
        </x:is>
      </x:c>
      <x:c r="D129" s="6" t="inlineStr">
        <x:is>
          <x:t xml:space="preserve">PI-1</x:t>
        </x:is>
      </x:c>
      <x:c r="E129" s="7" t="n">
        <x:v>7397736.706</x:v>
      </x:c>
      <x:c r="F129" s="7" t="n">
        <x:v>358206.723</x:v>
      </x:c>
      <x:c r="G129" s="7" t="n">
        <x:v>-23.5244416</x:v>
      </x:c>
      <x:c r="H129" s="7" t="n">
        <x:v>-46.3889292</x:v>
      </x:c>
      <x:c r="I129" s="7" t="n">
        <x:v>801.817</x:v>
      </x:c>
      <x:c r="J129" s="7" t="n">
        <x:v>799.967</x:v>
      </x:c>
      <x:c r="K129" s="7" t="n">
        <x:v>1.85</x:v>
      </x:c>
      <x:c r="L129" s="6" t="n"/>
    </x:row>
    <x:row r="130">
      <x:c r="A130" s="6" t="inlineStr">
        <x:is>
          <x:t xml:space="preserve">ct_domingos</x:t>
        </x:is>
      </x:c>
      <x:c r="B130" s="6" t="inlineStr">
        <x:is>
          <x:t xml:space="preserve">PV</x:t>
        </x:is>
      </x:c>
      <x:c r="C130" s="6" t="inlineStr">
        <x:is>
          <x:t xml:space="preserve">PV-02</x:t>
        </x:is>
      </x:c>
      <x:c r="D130" s="6" t="inlineStr">
        <x:is>
          <x:t xml:space="preserve">PV-02</x:t>
        </x:is>
      </x:c>
      <x:c r="E130" s="7" t="n">
        <x:v>7400267.178</x:v>
      </x:c>
      <x:c r="F130" s="7" t="n">
        <x:v>357001.764</x:v>
      </x:c>
      <x:c r="G130" s="7" t="n">
        <x:v>-23.5014853</x:v>
      </x:c>
      <x:c r="H130" s="7" t="n">
        <x:v>-46.4004879</x:v>
      </x:c>
      <x:c r="I130" s="7" t="n">
        <x:v>751.3339999999999</x:v>
      </x:c>
      <x:c r="J130" s="7" t="n">
        <x:v>747.984</x:v>
      </x:c>
      <x:c r="K130" s="7" t="n">
        <x:v>3.35</x:v>
      </x:c>
      <x:c r="L130" s="6" t="inlineStr">
        <x:is>
          <x:t xml:space="preserve">Importado do PDF CT Domingos - PV-02</x:t>
        </x:is>
      </x:c>
    </x:row>
    <x:row r="131">
      <x:c r="A131" s="6" t="inlineStr">
        <x:is>
          <x:t xml:space="preserve">ct_domingos</x:t>
        </x:is>
      </x:c>
      <x:c r="B131" s="6" t="inlineStr">
        <x:is>
          <x:t xml:space="preserve">PV</x:t>
        </x:is>
      </x:c>
      <x:c r="C131" s="6" t="inlineStr">
        <x:is>
          <x:t xml:space="preserve">PV-03</x:t>
        </x:is>
      </x:c>
      <x:c r="D131" s="6" t="inlineStr">
        <x:is>
          <x:t xml:space="preserve">PV-03</x:t>
        </x:is>
      </x:c>
      <x:c r="E131" s="7" t="n">
        <x:v>7400264.656</x:v>
      </x:c>
      <x:c r="F131" s="7" t="n">
        <x:v>357001.473</x:v>
      </x:c>
      <x:c r="G131" s="7" t="n">
        <x:v>-23.501508</x:v>
      </x:c>
      <x:c r="H131" s="7" t="n">
        <x:v>-46.4004909</x:v>
      </x:c>
      <x:c r="I131" s="7" t="n">
        <x:v>751.563</x:v>
      </x:c>
      <x:c r="J131" s="7" t="n">
        <x:v>748.1130000000001</x:v>
      </x:c>
      <x:c r="K131" s="7" t="n">
        <x:v>3.45</x:v>
      </x:c>
      <x:c r="L131" s="6" t="inlineStr">
        <x:is>
          <x:t xml:space="preserve">Importado do PDF CT Domingos - PV-03</x:t>
        </x:is>
      </x:c>
    </x:row>
    <x:row r="132">
      <x:c r="A132" s="6" t="inlineStr">
        <x:is>
          <x:t xml:space="preserve">ct_domingos</x:t>
        </x:is>
      </x:c>
      <x:c r="B132" s="6" t="inlineStr">
        <x:is>
          <x:t xml:space="preserve">PV</x:t>
        </x:is>
      </x:c>
      <x:c r="C132" s="6" t="inlineStr">
        <x:is>
          <x:t xml:space="preserve">PV-04</x:t>
        </x:is>
      </x:c>
      <x:c r="D132" s="6" t="inlineStr">
        <x:is>
          <x:t xml:space="preserve">PV-04</x:t>
        </x:is>
      </x:c>
      <x:c r="E132" s="7" t="n">
        <x:v>7400209.432</x:v>
      </x:c>
      <x:c r="F132" s="7" t="n">
        <x:v>357001.365</x:v>
      </x:c>
      <x:c r="G132" s="7" t="n">
        <x:v>-23.5020067</x:v>
      </x:c>
      <x:c r="H132" s="7" t="n">
        <x:v>-46.4004973</x:v>
      </x:c>
      <x:c r="I132" s="7" t="n">
        <x:v>756.258</x:v>
      </x:c>
      <x:c r="J132" s="7" t="n">
        <x:v>748.708</x:v>
      </x:c>
      <x:c r="K132" s="7" t="n">
        <x:v>7.55</x:v>
      </x:c>
      <x:c r="L132" s="6" t="inlineStr">
        <x:is>
          <x:t xml:space="preserve">Importado do PDF CT Domingos - PV-04</x:t>
        </x:is>
      </x:c>
    </x:row>
    <x:row r="133">
      <x:c r="A133" s="6" t="inlineStr">
        <x:is>
          <x:t xml:space="preserve">ct_domingos</x:t>
        </x:is>
      </x:c>
      <x:c r="B133" s="6" t="inlineStr">
        <x:is>
          <x:t xml:space="preserve">PV</x:t>
        </x:is>
      </x:c>
      <x:c r="C133" s="6" t="inlineStr">
        <x:is>
          <x:t xml:space="preserve">PV-05</x:t>
        </x:is>
      </x:c>
      <x:c r="D133" s="6" t="inlineStr">
        <x:is>
          <x:t xml:space="preserve">PV-05</x:t>
        </x:is>
      </x:c>
      <x:c r="E133" s="7" t="n">
        <x:v>7400208.879</x:v>
      </x:c>
      <x:c r="F133" s="7" t="n">
        <x:v>357086.873</x:v>
      </x:c>
      <x:c r="G133" s="7" t="n">
        <x:v>-23.5020192</x:v>
      </x:c>
      <x:c r="H133" s="7" t="n">
        <x:v>-46.3996601</x:v>
      </x:c>
      <x:c r="I133" s="7" t="n">
        <x:v>751.4160000000001</x:v>
      </x:c>
      <x:c r="J133" s="7" t="n">
        <x:v>749.116</x:v>
      </x:c>
      <x:c r="K133" s="7" t="n">
        <x:v>2.3</x:v>
      </x:c>
      <x:c r="L133" s="6" t="inlineStr">
        <x:is>
          <x:t xml:space="preserve">Importado do PDF CT Domingos - PV-05</x:t>
        </x:is>
      </x:c>
    </x:row>
    <x:row r="134">
      <x:c r="A134" s="6" t="inlineStr">
        <x:is>
          <x:t xml:space="preserve">ct_domingos</x:t>
        </x:is>
      </x:c>
      <x:c r="B134" s="6" t="inlineStr">
        <x:is>
          <x:t xml:space="preserve">PV</x:t>
        </x:is>
      </x:c>
      <x:c r="C134" s="6" t="inlineStr">
        <x:is>
          <x:t xml:space="preserve">PV-12</x:t>
        </x:is>
      </x:c>
      <x:c r="D134" s="6" t="inlineStr">
        <x:is>
          <x:t xml:space="preserve">PV-12</x:t>
        </x:is>
      </x:c>
      <x:c r="E134" s="7" t="n">
        <x:v>7400209.038</x:v>
      </x:c>
      <x:c r="F134" s="7" t="n">
        <x:v>357098.461</x:v>
      </x:c>
      <x:c r="G134" s="7" t="n">
        <x:v>-23.5020188</x:v>
      </x:c>
      <x:c r="H134" s="7" t="n">
        <x:v>-46.3995466</x:v>
      </x:c>
      <x:c r="I134" s="7" t="n">
        <x:v>751.307</x:v>
      </x:c>
      <x:c r="J134" s="7" t="n">
        <x:v>749.337</x:v>
      </x:c>
      <x:c r="K134" s="7" t="n">
        <x:v>1.97</x:v>
      </x:c>
      <x:c r="L134" s="6" t="inlineStr">
        <x:is>
          <x:t xml:space="preserve">Importado do PDF CT Domingos - PV-12</x:t>
        </x:is>
      </x:c>
    </x:row>
    <x:row r="135">
      <x:c r="A135" s="6" t="inlineStr">
        <x:is>
          <x:t xml:space="preserve">ct_domingos</x:t>
        </x:is>
      </x:c>
      <x:c r="B135" s="6" t="inlineStr">
        <x:is>
          <x:t xml:space="preserve">PI</x:t>
        </x:is>
      </x:c>
      <x:c r="C135" s="6" t="inlineStr">
        <x:is>
          <x:t xml:space="preserve">PIE-16</x:t>
        </x:is>
      </x:c>
      <x:c r="D135" s="6" t="inlineStr">
        <x:is>
          <x:t xml:space="preserve">PIE-16</x:t>
        </x:is>
      </x:c>
      <x:c r="E135" s="7" t="n">
        <x:v>7400211.981</x:v>
      </x:c>
      <x:c r="F135" s="7" t="n">
        <x:v>357098.4</x:v>
      </x:c>
      <x:c r="G135" s="7" t="n">
        <x:v>-23.5019922</x:v>
      </x:c>
      <x:c r="H135" s="7" t="n">
        <x:v>-46.3995469</x:v>
      </x:c>
      <x:c r="I135" s="7" t="n">
        <x:v>751.309</x:v>
      </x:c>
      <x:c r="J135" s="7" t="n">
        <x:v>750.009</x:v>
      </x:c>
      <x:c r="K135" s="7" t="n">
        <x:v>1.3</x:v>
      </x:c>
      <x:c r="L135" s="6" t="inlineStr">
        <x:is>
          <x:t xml:space="preserve">Importado do PDF CT Domingos - PIE-16</x:t>
        </x:is>
      </x:c>
    </x:row>
    <x:row r="136">
      <x:c r="A136" s="6" t="inlineStr">
        <x:is>
          <x:t xml:space="preserve">ct_domingos</x:t>
        </x:is>
      </x:c>
      <x:c r="B136" s="6" t="inlineStr">
        <x:is>
          <x:t xml:space="preserve">PV</x:t>
        </x:is>
      </x:c>
      <x:c r="C136" s="6" t="inlineStr">
        <x:is>
          <x:t xml:space="preserve">PV-13A</x:t>
        </x:is>
      </x:c>
      <x:c r="D136" s="6" t="inlineStr">
        <x:is>
          <x:t xml:space="preserve">PV-13A</x:t>
        </x:is>
      </x:c>
      <x:c r="E136" s="7" t="n">
        <x:v>7400209.343</x:v>
      </x:c>
      <x:c r="F136" s="7" t="n">
        <x:v>357110.577</x:v>
      </x:c>
      <x:c r="G136" s="7" t="n">
        <x:v>-23.5020171</x:v>
      </x:c>
      <x:c r="H136" s="7" t="n">
        <x:v>-46.3994279</x:v>
      </x:c>
      <x:c r="I136" s="7" t="n">
        <x:v>751.332</x:v>
      </x:c>
      <x:c r="J136" s="7" t="n">
        <x:v>749.352</x:v>
      </x:c>
      <x:c r="K136" s="7" t="n">
        <x:v>1.98</x:v>
      </x:c>
      <x:c r="L136" s="6" t="inlineStr">
        <x:is>
          <x:t xml:space="preserve">Importado do PDF CT Domingos - PV-13A</x:t>
        </x:is>
      </x:c>
    </x:row>
    <x:row r="137">
      <x:c r="A137" s="6" t="inlineStr">
        <x:is>
          <x:t xml:space="preserve">ct_domingos</x:t>
        </x:is>
      </x:c>
      <x:c r="B137" s="6" t="inlineStr">
        <x:is>
          <x:t xml:space="preserve">PI</x:t>
        </x:is>
      </x:c>
      <x:c r="C137" s="6" t="inlineStr">
        <x:is>
          <x:t xml:space="preserve">PI-14.1</x:t>
        </x:is>
      </x:c>
      <x:c r="D137" s="6" t="inlineStr">
        <x:is>
          <x:t xml:space="preserve">PI-14.1</x:t>
        </x:is>
      </x:c>
      <x:c r="E137" s="7" t="n">
        <x:v>7400212.16</x:v>
      </x:c>
      <x:c r="F137" s="7" t="n">
        <x:v>357112.755</x:v>
      </x:c>
      <x:c r="G137" s="7" t="n">
        <x:v>-23.5019919</x:v>
      </x:c>
      <x:c r="H137" s="7" t="n">
        <x:v>-46.3994063</x:v>
      </x:c>
      <x:c r="I137" s="7" t="n">
        <x:v>751.366</x:v>
      </x:c>
      <x:c r="J137" s="7" t="n">
        <x:v>750.066</x:v>
      </x:c>
      <x:c r="K137" s="7" t="n">
        <x:v>1.3</x:v>
      </x:c>
      <x:c r="L137" s="6" t="inlineStr">
        <x:is>
          <x:t xml:space="preserve">Importado do PDF CT Domingos - PI-14.1</x:t>
        </x:is>
      </x:c>
    </x:row>
    <x:row r="138">
      <x:c r="A138" s="6" t="inlineStr">
        <x:is>
          <x:t xml:space="preserve">ct_domingos</x:t>
        </x:is>
      </x:c>
      <x:c r="B138" s="6" t="inlineStr">
        <x:is>
          <x:t xml:space="preserve">PI</x:t>
        </x:is>
      </x:c>
      <x:c r="C138" s="6" t="inlineStr">
        <x:is>
          <x:t xml:space="preserve">PIE-13</x:t>
        </x:is>
      </x:c>
      <x:c r="D138" s="6" t="inlineStr">
        <x:is>
          <x:t xml:space="preserve">PIE-13</x:t>
        </x:is>
      </x:c>
      <x:c r="E138" s="7" t="n">
        <x:v>7400209.164</x:v>
      </x:c>
      <x:c r="F138" s="7" t="n">
        <x:v>357113.676</x:v>
      </x:c>
      <x:c r="G138" s="7" t="n">
        <x:v>-23.502019</x:v>
      </x:c>
      <x:c r="H138" s="7" t="n">
        <x:v>-46.3993976</x:v>
      </x:c>
      <x:c r="I138" s="7" t="n">
        <x:v>751.412</x:v>
      </x:c>
      <x:c r="J138" s="7" t="n">
        <x:v>750.2619999999999</x:v>
      </x:c>
      <x:c r="K138" s="7" t="n">
        <x:v>1.15</x:v>
      </x:c>
      <x:c r="L138" s="6" t="inlineStr">
        <x:is>
          <x:t xml:space="preserve">Importado do PDF CT Domingos - PIE-13</x:t>
        </x:is>
      </x:c>
    </x:row>
    <x:row r="139">
      <x:c r="A139" s="6" t="inlineStr">
        <x:is>
          <x:t xml:space="preserve">ct_domingos</x:t>
        </x:is>
      </x:c>
      <x:c r="B139" s="6" t="inlineStr">
        <x:is>
          <x:t xml:space="preserve">PV</x:t>
        </x:is>
      </x:c>
      <x:c r="C139" s="6" t="inlineStr">
        <x:is>
          <x:t xml:space="preserve">PV-06</x:t>
        </x:is>
      </x:c>
      <x:c r="D139" s="6" t="inlineStr">
        <x:is>
          <x:t xml:space="preserve">PV-06</x:t>
        </x:is>
      </x:c>
      <x:c r="E139" s="7" t="n">
        <x:v>7400162.551</x:v>
      </x:c>
      <x:c r="F139" s="7" t="n">
        <x:v>357085.957</x:v>
      </x:c>
      <x:c r="G139" s="7" t="n">
        <x:v>-23.5024375</x:v>
      </x:c>
      <x:c r="H139" s="7" t="n">
        <x:v>-46.3996735</x:v>
      </x:c>
      <x:c r="I139" s="7" t="n">
        <x:v>752.515</x:v>
      </x:c>
      <x:c r="J139" s="7" t="n">
        <x:v>749.615</x:v>
      </x:c>
      <x:c r="K139" s="7" t="n">
        <x:v>2.9</x:v>
      </x:c>
      <x:c r="L139" s="6" t="inlineStr">
        <x:is>
          <x:t xml:space="preserve">Importado do PDF CT Domingos - PV-06</x:t>
        </x:is>
      </x:c>
    </x:row>
    <x:row r="140">
      <x:c r="A140" s="6" t="inlineStr">
        <x:is>
          <x:t xml:space="preserve">ct_domingos</x:t>
        </x:is>
      </x:c>
      <x:c r="B140" s="6" t="inlineStr">
        <x:is>
          <x:t xml:space="preserve">PV</x:t>
        </x:is>
      </x:c>
      <x:c r="C140" s="6" t="inlineStr">
        <x:is>
          <x:t xml:space="preserve">PV-17</x:t>
        </x:is>
      </x:c>
      <x:c r="D140" s="6" t="inlineStr">
        <x:is>
          <x:t xml:space="preserve">PV-17</x:t>
        </x:is>
      </x:c>
      <x:c r="E140" s="7" t="n">
        <x:v>7400164.18</x:v>
      </x:c>
      <x:c r="F140" s="7" t="n">
        <x:v>357134.799</x:v>
      </x:c>
      <x:c r="G140" s="7" t="n">
        <x:v>-23.5024271</x:v>
      </x:c>
      <x:c r="H140" s="7" t="n">
        <x:v>-46.3991951</x:v>
      </x:c>
      <x:c r="I140" s="7" t="n">
        <x:v>752.225</x:v>
      </x:c>
      <x:c r="J140" s="7" t="n">
        <x:v>750.425</x:v>
      </x:c>
      <x:c r="K140" s="7" t="n">
        <x:v>1.8</x:v>
      </x:c>
      <x:c r="L140" s="6" t="inlineStr">
        <x:is>
          <x:t xml:space="preserve">Importado do PDF CT Domingos - PV-17</x:t>
        </x:is>
      </x:c>
    </x:row>
    <x:row r="141">
      <x:c r="A141" s="6" t="inlineStr">
        <x:is>
          <x:t xml:space="preserve">ct_domingos</x:t>
        </x:is>
      </x:c>
      <x:c r="B141" s="6" t="inlineStr">
        <x:is>
          <x:t xml:space="preserve">PI</x:t>
        </x:is>
      </x:c>
      <x:c r="C141" s="6" t="inlineStr">
        <x:is>
          <x:t xml:space="preserve">PI-20</x:t>
        </x:is>
      </x:c>
      <x:c r="D141" s="6" t="inlineStr">
        <x:is>
          <x:t xml:space="preserve">PI-20</x:t>
        </x:is>
      </x:c>
      <x:c r="E141" s="7" t="n">
        <x:v>7400166.23</x:v>
      </x:c>
      <x:c r="F141" s="7" t="n">
        <x:v>357134.272</x:v>
      </x:c>
      <x:c r="G141" s="7" t="n">
        <x:v>-23.5024085</x:v>
      </x:c>
      <x:c r="H141" s="7" t="n">
        <x:v>-46.3992</x:v>
      </x:c>
      <x:c r="I141" s="7" t="n">
        <x:v>752.145</x:v>
      </x:c>
      <x:c r="J141" s="7" t="n">
        <x:v>750.745</x:v>
      </x:c>
      <x:c r="K141" s="7" t="n">
        <x:v>1.4</x:v>
      </x:c>
      <x:c r="L141" s="6" t="inlineStr">
        <x:is>
          <x:t xml:space="preserve">Importado do PDF CT Domingos - PI-20</x:t>
        </x:is>
      </x:c>
    </x:row>
    <x:row r="142">
      <x:c r="A142" s="6" t="inlineStr">
        <x:is>
          <x:t xml:space="preserve">ct_domingos</x:t>
        </x:is>
      </x:c>
      <x:c r="B142" s="6" t="inlineStr">
        <x:is>
          <x:t xml:space="preserve">PV</x:t>
        </x:is>
      </x:c>
      <x:c r="C142" s="6" t="inlineStr">
        <x:is>
          <x:t xml:space="preserve">PV-18</x:t>
        </x:is>
      </x:c>
      <x:c r="D142" s="6" t="inlineStr">
        <x:is>
          <x:t xml:space="preserve">PV-18</x:t>
        </x:is>
      </x:c>
      <x:c r="E142" s="7" t="n">
        <x:v>7400164.473</x:v>
      </x:c>
      <x:c r="F142" s="7" t="n">
        <x:v>357141.49</x:v>
      </x:c>
      <x:c r="G142" s="7" t="n">
        <x:v>-23.502425</x:v>
      </x:c>
      <x:c r="H142" s="7" t="n">
        <x:v>-46.3991295</x:v>
      </x:c>
      <x:c r="I142" s="7" t="n">
        <x:v>752.395</x:v>
      </x:c>
      <x:c r="J142" s="7" t="n">
        <x:v>750.595</x:v>
      </x:c>
      <x:c r="K142" s="7" t="n">
        <x:v>1.8</x:v>
      </x:c>
      <x:c r="L142" s="6" t="inlineStr">
        <x:is>
          <x:t xml:space="preserve">Importado do PDF CT Domingos - PV-18</x:t>
        </x:is>
      </x:c>
    </x:row>
    <x:row r="143">
      <x:c r="A143" s="6" t="inlineStr">
        <x:is>
          <x:t xml:space="preserve">ct_domingos</x:t>
        </x:is>
      </x:c>
      <x:c r="B143" s="6" t="inlineStr">
        <x:is>
          <x:t xml:space="preserve">PI</x:t>
        </x:is>
      </x:c>
      <x:c r="C143" s="6" t="inlineStr">
        <x:is>
          <x:t xml:space="preserve">PI-19</x:t>
        </x:is>
      </x:c>
      <x:c r="D143" s="6" t="inlineStr">
        <x:is>
          <x:t xml:space="preserve">PI-19</x:t>
        </x:is>
      </x:c>
      <x:c r="E143" s="7" t="n">
        <x:v>7400167.597</x:v>
      </x:c>
      <x:c r="F143" s="7" t="n">
        <x:v>357142.394</x:v>
      </x:c>
      <x:c r="G143" s="7" t="n">
        <x:v>-23.5023969</x:v>
      </x:c>
      <x:c r="H143" s="7" t="n">
        <x:v>-46.3991204</x:v>
      </x:c>
      <x:c r="I143" s="7" t="n">
        <x:v>752.425</x:v>
      </x:c>
      <x:c r="J143" s="7" t="n">
        <x:v>750.925</x:v>
      </x:c>
      <x:c r="K143" s="7" t="n">
        <x:v>1.5</x:v>
      </x:c>
      <x:c r="L143" s="6" t="inlineStr">
        <x:is>
          <x:t xml:space="preserve">Importado do PDF CT Domingos - PI-19</x:t>
        </x:is>
      </x:c>
    </x:row>
    <x:row r="144">
      <x:c r="A144" s="6" t="inlineStr">
        <x:is>
          <x:t xml:space="preserve">ct_domingos</x:t>
        </x:is>
      </x:c>
      <x:c r="B144" s="6" t="inlineStr">
        <x:is>
          <x:t xml:space="preserve">PI</x:t>
        </x:is>
      </x:c>
      <x:c r="C144" s="6" t="inlineStr">
        <x:is>
          <x:t xml:space="preserve">PI-18.1</x:t>
        </x:is>
      </x:c>
      <x:c r="D144" s="6" t="inlineStr">
        <x:is>
          <x:t xml:space="preserve">PI-18.1</x:t>
        </x:is>
      </x:c>
      <x:c r="E144" s="7" t="n">
        <x:v>7400163.028</x:v>
      </x:c>
      <x:c r="F144" s="7" t="n">
        <x:v>357141.686</x:v>
      </x:c>
      <x:c r="G144" s="7" t="n">
        <x:v>-23.5024381</x:v>
      </x:c>
      <x:c r="H144" s="7" t="n">
        <x:v>-46.3991277</x:v>
      </x:c>
      <x:c r="I144" s="7" t="n">
        <x:v>752.365</x:v>
      </x:c>
      <x:c r="J144" s="7" t="n">
        <x:v>751.415</x:v>
      </x:c>
      <x:c r="K144" s="7" t="n">
        <x:v>0.95</x:v>
      </x:c>
      <x:c r="L144" s="6" t="inlineStr">
        <x:is>
          <x:t xml:space="preserve">Importado do PDF CT Domingos - PI-18.1</x:t>
        </x:is>
      </x:c>
    </x:row>
    <x:row r="145">
      <x:c r="A145" s="6" t="inlineStr">
        <x:is>
          <x:t xml:space="preserve">ct_domingos</x:t>
        </x:is>
      </x:c>
      <x:c r="B145" s="6" t="inlineStr">
        <x:is>
          <x:t xml:space="preserve">PV</x:t>
        </x:is>
      </x:c>
      <x:c r="C145" s="6" t="inlineStr">
        <x:is>
          <x:t xml:space="preserve">PV-07</x:t>
        </x:is>
      </x:c>
      <x:c r="D145" s="6" t="inlineStr">
        <x:is>
          <x:t xml:space="preserve">PV-07</x:t>
        </x:is>
      </x:c>
      <x:c r="E145" s="7" t="n">
        <x:v>7400116.123</x:v>
      </x:c>
      <x:c r="F145" s="7" t="n">
        <x:v>357087.473</x:v>
      </x:c>
      <x:c r="G145" s="7" t="n">
        <x:v>-23.5028569</x:v>
      </x:c>
      <x:c r="H145" s="7" t="n">
        <x:v>-46.3996631</x:v>
      </x:c>
      <x:c r="I145" s="7" t="n">
        <x:v>754.485</x:v>
      </x:c>
      <x:c r="J145" s="7" t="n">
        <x:v>749.9349999999999</x:v>
      </x:c>
      <x:c r="K145" s="7" t="n">
        <x:v>4.55</x:v>
      </x:c>
      <x:c r="L145" s="6" t="inlineStr">
        <x:is>
          <x:t xml:space="preserve">Importado do PDF CT Domingos - PV-07</x:t>
        </x:is>
      </x:c>
    </x:row>
    <x:row r="146">
      <x:c r="A146" s="6" t="inlineStr">
        <x:is>
          <x:t xml:space="preserve">ct_domingos</x:t>
        </x:is>
      </x:c>
      <x:c r="B146" s="6" t="inlineStr">
        <x:is>
          <x:t xml:space="preserve">PV</x:t>
        </x:is>
      </x:c>
      <x:c r="C146" s="6" t="inlineStr">
        <x:is>
          <x:t xml:space="preserve">PV-21</x:t>
        </x:is>
      </x:c>
      <x:c r="D146" s="6" t="inlineStr">
        <x:is>
          <x:t xml:space="preserve">PV-21</x:t>
        </x:is>
      </x:c>
      <x:c r="E146" s="7" t="n">
        <x:v>7400114.381</x:v>
      </x:c>
      <x:c r="F146" s="7" t="n">
        <x:v>357138.696</x:v>
      </x:c>
      <x:c r="G146" s="7" t="n">
        <x:v>-23.5028771</x:v>
      </x:c>
      <x:c r="H146" s="7" t="n">
        <x:v>-46.3991617</x:v>
      </x:c>
      <x:c r="I146" s="7" t="n">
        <x:v>752.745</x:v>
      </x:c>
      <x:c r="J146" s="7" t="n">
        <x:v>750.845</x:v>
      </x:c>
      <x:c r="K146" s="7" t="n">
        <x:v>1.9</x:v>
      </x:c>
      <x:c r="L146" s="6" t="inlineStr">
        <x:is>
          <x:t xml:space="preserve">Importado do PDF CT Domingos - PV-21</x:t>
        </x:is>
      </x:c>
    </x:row>
    <x:row r="147">
      <x:c r="A147" s="6" t="inlineStr">
        <x:is>
          <x:t xml:space="preserve">ct_domingos</x:t>
        </x:is>
      </x:c>
      <x:c r="B147" s="6" t="inlineStr">
        <x:is>
          <x:t xml:space="preserve">PV</x:t>
        </x:is>
      </x:c>
      <x:c r="C147" s="6" t="inlineStr">
        <x:is>
          <x:t xml:space="preserve">PV-22</x:t>
        </x:is>
      </x:c>
      <x:c r="D147" s="6" t="inlineStr">
        <x:is>
          <x:t xml:space="preserve">PV-22</x:t>
        </x:is>
      </x:c>
      <x:c r="E147" s="7" t="n">
        <x:v>7400114.155</x:v>
      </x:c>
      <x:c r="F147" s="7" t="n">
        <x:v>357146.717</x:v>
      </x:c>
      <x:c r="G147" s="7" t="n">
        <x:v>-23.5028799</x:v>
      </x:c>
      <x:c r="H147" s="7" t="n">
        <x:v>-46.3990831</x:v>
      </x:c>
      <x:c r="I147" s="7" t="n">
        <x:v>752.8150000000001</x:v>
      </x:c>
      <x:c r="J147" s="7" t="n">
        <x:v>750.965</x:v>
      </x:c>
      <x:c r="K147" s="7" t="n">
        <x:v>1.85</x:v>
      </x:c>
      <x:c r="L147" s="6" t="inlineStr">
        <x:is>
          <x:t xml:space="preserve">Importado do PDF CT Domingos - PV-22</x:t>
        </x:is>
      </x:c>
    </x:row>
    <x:row r="148">
      <x:c r="A148" s="6" t="inlineStr">
        <x:is>
          <x:t xml:space="preserve">ct_domingos</x:t>
        </x:is>
      </x:c>
      <x:c r="B148" s="6" t="inlineStr">
        <x:is>
          <x:t xml:space="preserve">PI</x:t>
        </x:is>
      </x:c>
      <x:c r="C148" s="6" t="inlineStr">
        <x:is>
          <x:t xml:space="preserve">PI-23</x:t>
        </x:is>
      </x:c>
      <x:c r="D148" s="6" t="inlineStr">
        <x:is>
          <x:t xml:space="preserve">PI-23</x:t>
        </x:is>
      </x:c>
      <x:c r="E148" s="7" t="n">
        <x:v>7400115.741</x:v>
      </x:c>
      <x:c r="F148" s="7" t="n">
        <x:v>357148.472</x:v>
      </x:c>
      <x:c r="G148" s="7" t="n">
        <x:v>-23.5028657</x:v>
      </x:c>
      <x:c r="H148" s="7" t="n">
        <x:v>-46.3990658</x:v>
      </x:c>
      <x:c r="I148" s="7" t="n">
        <x:v>752.765</x:v>
      </x:c>
      <x:c r="J148" s="7" t="n">
        <x:v>752.0650000000001</x:v>
      </x:c>
      <x:c r="K148" s="7" t="n">
        <x:v>0.7</x:v>
      </x:c>
      <x:c r="L148" s="6" t="inlineStr">
        <x:is>
          <x:t xml:space="preserve">Importado do PDF CT Domingos - PI-23</x:t>
        </x:is>
      </x:c>
    </x:row>
    <x:row r="149">
      <x:c r="A149" s="6" t="inlineStr">
        <x:is>
          <x:t xml:space="preserve">ct_domingos</x:t>
        </x:is>
      </x:c>
      <x:c r="B149" s="6" t="inlineStr">
        <x:is>
          <x:t xml:space="preserve">PV</x:t>
        </x:is>
      </x:c>
      <x:c r="C149" s="6" t="inlineStr">
        <x:is>
          <x:t xml:space="preserve">PV-08</x:t>
        </x:is>
      </x:c>
      <x:c r="D149" s="6" t="inlineStr">
        <x:is>
          <x:t xml:space="preserve">PV-08</x:t>
        </x:is>
      </x:c>
      <x:c r="E149" s="7" t="n">
        <x:v>7400068.826</x:v>
      </x:c>
      <x:c r="F149" s="7" t="n">
        <x:v>357086.59</x:v>
      </x:c>
      <x:c r="G149" s="7" t="n">
        <x:v>-23.5032839</x:v>
      </x:c>
      <x:c r="H149" s="7" t="n">
        <x:v>-46.3996762</x:v>
      </x:c>
      <x:c r="I149" s="7" t="n">
        <x:v>756.585</x:v>
      </x:c>
      <x:c r="J149" s="7" t="n">
        <x:v>750.1849999999999</x:v>
      </x:c>
      <x:c r="K149" s="7" t="n">
        <x:v>6.4</x:v>
      </x:c>
      <x:c r="L149" s="6" t="inlineStr">
        <x:is>
          <x:t xml:space="preserve">Importado do PDF CT Domingos - PV-08</x:t>
        </x:is>
      </x:c>
    </x:row>
    <x:row r="150">
      <x:c r="A150" s="6" t="inlineStr">
        <x:is>
          <x:t xml:space="preserve">ct_domingos</x:t>
        </x:is>
      </x:c>
      <x:c r="B150" s="6" t="inlineStr">
        <x:is>
          <x:t xml:space="preserve">PV</x:t>
        </x:is>
      </x:c>
      <x:c r="C150" s="6" t="inlineStr">
        <x:is>
          <x:t xml:space="preserve">PV-09</x:t>
        </x:is>
      </x:c>
      <x:c r="D150" s="6" t="inlineStr">
        <x:is>
          <x:t xml:space="preserve">PV-09</x:t>
        </x:is>
      </x:c>
      <x:c r="E150" s="7" t="n">
        <x:v>7400067.55</x:v>
      </x:c>
      <x:c r="F150" s="7" t="n">
        <x:v>357149.42</x:v>
      </x:c>
      <x:c r="G150" s="7" t="n">
        <x:v>-23.503301</x:v>
      </x:c>
      <x:c r="H150" s="7" t="n">
        <x:v>-46.3990611</x:v>
      </x:c>
      <x:c r="I150" s="7" t="n">
        <x:v>753.475</x:v>
      </x:c>
      <x:c r="J150" s="7" t="n">
        <x:v>750.755</x:v>
      </x:c>
      <x:c r="K150" s="7" t="n">
        <x:v>2.72</x:v>
      </x:c>
      <x:c r="L150" s="6" t="inlineStr">
        <x:is>
          <x:t xml:space="preserve">Importado do PDF CT Domingos - PV-09</x:t>
        </x:is>
      </x:c>
    </x:row>
    <x:row r="151">
      <x:c r="A151" s="6" t="inlineStr">
        <x:is>
          <x:t xml:space="preserve">ct_domingos</x:t>
        </x:is>
      </x:c>
      <x:c r="B151" s="6" t="inlineStr">
        <x:is>
          <x:t xml:space="preserve">PV</x:t>
        </x:is>
      </x:c>
      <x:c r="C151" s="6" t="inlineStr">
        <x:is>
          <x:t xml:space="preserve">PV-10</x:t>
        </x:is>
      </x:c>
      <x:c r="D151" s="6" t="inlineStr">
        <x:is>
          <x:t xml:space="preserve">PV-10</x:t>
        </x:is>
      </x:c>
      <x:c r="E151" s="7" t="n">
        <x:v>7400067.391</x:v>
      </x:c>
      <x:c r="F151" s="7" t="n">
        <x:v>357160.69</x:v>
      </x:c>
      <x:c r="G151" s="7" t="n">
        <x:v>-23.5033034</x:v>
      </x:c>
      <x:c r="H151" s="7" t="n">
        <x:v>-46.3989508</x:v>
      </x:c>
      <x:c r="I151" s="7" t="n">
        <x:v>753.6950000000001</x:v>
      </x:c>
      <x:c r="J151" s="7" t="n">
        <x:v>750.845</x:v>
      </x:c>
      <x:c r="K151" s="7" t="n">
        <x:v>2.85</x:v>
      </x:c>
      <x:c r="L151" s="6" t="inlineStr">
        <x:is>
          <x:t xml:space="preserve">Importado do PDF CT Domingos - PV-10</x:t>
        </x:is>
      </x:c>
    </x:row>
    <x:row r="152">
      <x:c r="A152" s="6" t="inlineStr">
        <x:is>
          <x:t xml:space="preserve">ct_domingos</x:t>
        </x:is>
      </x:c>
      <x:c r="B152" s="6" t="inlineStr">
        <x:is>
          <x:t xml:space="preserve">PI</x:t>
        </x:is>
      </x:c>
      <x:c r="C152" s="6" t="inlineStr">
        <x:is>
          <x:t xml:space="preserve">PI-24</x:t>
        </x:is>
      </x:c>
      <x:c r="D152" s="6" t="inlineStr">
        <x:is>
          <x:t xml:space="preserve">PI-24</x:t>
        </x:is>
      </x:c>
      <x:c r="E152" s="7" t="n">
        <x:v>7400069.27</x:v>
      </x:c>
      <x:c r="F152" s="7" t="n">
        <x:v>357149.88</x:v>
      </x:c>
      <x:c r="G152" s="7" t="n">
        <x:v>-23.5032855</x:v>
      </x:c>
      <x:c r="H152" s="7" t="n">
        <x:v>-46.3990565</x:v>
      </x:c>
      <x:c r="I152" s="7" t="n">
        <x:v>753.495</x:v>
      </x:c>
      <x:c r="J152" s="7" t="n">
        <x:v>752.1950000000001</x:v>
      </x:c>
      <x:c r="K152" s="7" t="n">
        <x:v>1.3</x:v>
      </x:c>
      <x:c r="L152" s="6" t="inlineStr">
        <x:is>
          <x:t xml:space="preserve">Importado do PDF CT Domingos - PI-24</x:t>
        </x:is>
      </x:c>
    </x:row>
    <x:row r="153">
      <x:c r="A153" s="6" t="inlineStr">
        <x:is>
          <x:t xml:space="preserve">ct_domingos</x:t>
        </x:is>
      </x:c>
      <x:c r="B153" s="6" t="inlineStr">
        <x:is>
          <x:t xml:space="preserve">PI</x:t>
        </x:is>
      </x:c>
      <x:c r="C153" s="6" t="inlineStr">
        <x:is>
          <x:t xml:space="preserve">PIE-09.1</x:t>
        </x:is>
      </x:c>
      <x:c r="D153" s="6" t="inlineStr">
        <x:is>
          <x:t xml:space="preserve">PIE-09.1</x:t>
        </x:is>
      </x:c>
      <x:c r="E153" s="7" t="n">
        <x:v>7400066.628</x:v>
      </x:c>
      <x:c r="F153" s="7" t="n">
        <x:v>357154.62</x:v>
      </x:c>
      <x:c r="G153" s="7" t="n">
        <x:v>-23.5033097</x:v>
      </x:c>
      <x:c r="H153" s="7" t="n">
        <x:v>-46.3990103</x:v>
      </x:c>
      <x:c r="I153" s="7" t="n">
        <x:v>753.595</x:v>
      </x:c>
      <x:c r="J153" s="7" t="n">
        <x:v>752.495</x:v>
      </x:c>
      <x:c r="K153" s="7" t="n">
        <x:v>1.1</x:v>
      </x:c>
      <x:c r="L153" s="6" t="inlineStr">
        <x:is>
          <x:t xml:space="preserve">Importado do PDF CT Domingos - PIE-09.1</x:t>
        </x:is>
      </x:c>
    </x:row>
    <x:row r="154">
      <x:c r="A154" s="6" t="inlineStr">
        <x:is>
          <x:t xml:space="preserve">ct_domingos</x:t>
        </x:is>
      </x:c>
      <x:c r="B154" s="6" t="inlineStr">
        <x:is>
          <x:t xml:space="preserve">PI</x:t>
        </x:is>
      </x:c>
      <x:c r="C154" s="6" t="inlineStr">
        <x:is>
          <x:t xml:space="preserve">PIE-11</x:t>
        </x:is>
      </x:c>
      <x:c r="D154" s="6" t="inlineStr">
        <x:is>
          <x:t xml:space="preserve">PIE-11</x:t>
        </x:is>
      </x:c>
      <x:c r="E154" s="7" t="n">
        <x:v>7400069.493</x:v>
      </x:c>
      <x:c r="F154" s="7" t="n">
        <x:v>357161.03</x:v>
      </x:c>
      <x:c r="G154" s="7" t="n">
        <x:v>-23.5032844</x:v>
      </x:c>
      <x:c r="H154" s="7" t="n">
        <x:v>-46.3989473</x:v>
      </x:c>
      <x:c r="I154" s="7" t="n">
        <x:v>753.645</x:v>
      </x:c>
      <x:c r="J154" s="7" t="n">
        <x:v>752.645</x:v>
      </x:c>
      <x:c r="K154" s="6" t="n">
        <x:v>1</x:v>
      </x:c>
      <x:c r="L154" s="6" t="inlineStr">
        <x:is>
          <x:t xml:space="preserve">Importado do PDF CT Domingos - PIE-11</x:t>
        </x:is>
      </x:c>
    </x:row>
    <x:row r="155">
      <x:c r="A155" s="6" t="inlineStr">
        <x:is>
          <x:t xml:space="preserve">cts_bandeirantes</x:t>
        </x:is>
      </x:c>
      <x:c r="B155" s="6" t="inlineStr">
        <x:is>
          <x:t xml:space="preserve">PI</x:t>
        </x:is>
      </x:c>
      <x:c r="C155" s="6" t="inlineStr">
        <x:is>
          <x:t xml:space="preserve">PI-39</x:t>
        </x:is>
      </x:c>
      <x:c r="D155" s="6" t="inlineStr">
        <x:is>
          <x:t xml:space="preserve">PI-39</x:t>
        </x:is>
      </x:c>
      <x:c r="E155" s="7" t="n">
        <x:v>7395952.909883</x:v>
      </x:c>
      <x:c r="F155" s="7" t="n">
        <x:v>358473.293173</x:v>
      </x:c>
      <x:c r="G155" s="7" t="n">
        <x:v>-23.5405728</x:v>
      </x:c>
      <x:c r="H155" s="7" t="n">
        <x:v>-46.3864874</x:v>
      </x:c>
      <x:c r="I155" s="7" t="n">
        <x:v>787.0410000000001</x:v>
      </x:c>
      <x:c r="J155" s="7" t="n">
        <x:v>785.971</x:v>
      </x:c>
      <x:c r="K155" s="7" t="n">
        <x:v>1.07</x:v>
      </x:c>
      <x:c r="L155" s="6" t="n"/>
    </x:row>
    <x:row r="156">
      <x:c r="A156" s="6" t="inlineStr">
        <x:is>
          <x:t xml:space="preserve">cts_bandeirantes</x:t>
        </x:is>
      </x:c>
      <x:c r="B156" s="6" t="inlineStr">
        <x:is>
          <x:t xml:space="preserve">PI</x:t>
        </x:is>
      </x:c>
      <x:c r="C156" s="6" t="inlineStr">
        <x:is>
          <x:t xml:space="preserve">PI-251</x:t>
        </x:is>
      </x:c>
      <x:c r="D156" s="6" t="inlineStr">
        <x:is>
          <x:t xml:space="preserve">PI-251</x:t>
        </x:is>
      </x:c>
      <x:c r="E156" s="7" t="n">
        <x:v>7396466.026781609</x:v>
      </x:c>
      <x:c r="F156" s="7" t="n">
        <x:v>358369.9370639992</x:v>
      </x:c>
      <x:c r="G156" s="7" t="n">
        <x:v>-23.5359303</x:v>
      </x:c>
      <x:c r="H156" s="7" t="n">
        <x:v>-46.3874511</x:v>
      </x:c>
      <x:c r="I156" s="7" t="n">
        <x:v>770.3920000000001</x:v>
      </x:c>
      <x:c r="J156" s="7" t="n">
        <x:v>769.622</x:v>
      </x:c>
      <x:c r="K156" s="7" t="n">
        <x:v>0.77</x:v>
      </x:c>
      <x:c r="L156" s="6" t="inlineStr">
        <x:is>
          <x:t xml:space="preserve">Conforme projeto, considerar o número do PV como 25.1, uma vez que o campo não aceita caracteres especiais.</x:t>
        </x:is>
      </x:c>
    </x:row>
    <x:row r="157">
      <x:c r="A157" s="6" t="inlineStr">
        <x:is>
          <x:t xml:space="preserve">cts_bandeirantes</x:t>
        </x:is>
      </x:c>
      <x:c r="B157" s="6" t="inlineStr">
        <x:is>
          <x:t xml:space="preserve">PI</x:t>
        </x:is>
      </x:c>
      <x:c r="C157" s="6" t="inlineStr">
        <x:is>
          <x:t xml:space="preserve">PI-252</x:t>
        </x:is>
      </x:c>
      <x:c r="D157" s="6" t="inlineStr">
        <x:is>
          <x:t xml:space="preserve">PI-252</x:t>
        </x:is>
      </x:c>
      <x:c r="E157" s="7" t="n">
        <x:v>7396456.435627859</x:v>
      </x:c>
      <x:c r="F157" s="7" t="n">
        <x:v>358373.3985261974</x:v>
      </x:c>
      <x:c r="G157" s="7" t="n">
        <x:v>-23.5360172</x:v>
      </x:c>
      <x:c r="H157" s="7" t="n">
        <x:v>-46.3874181</x:v>
      </x:c>
      <x:c r="I157" s="7" t="n">
        <x:v>771.088</x:v>
      </x:c>
      <x:c r="J157" s="7" t="n">
        <x:v>770.088</x:v>
      </x:c>
      <x:c r="K157" s="7" t="n">
        <x:v>1</x:v>
      </x:c>
      <x:c r="L157" s="6" t="inlineStr">
        <x:is>
          <x:t xml:space="preserve">Conforme projeto, considerar o número do PV como 25.2, uma vez que o campo não aceita caracteres especiais.</x:t>
        </x:is>
      </x:c>
    </x:row>
    <x:row r="158">
      <x:c r="A158" s="6" t="inlineStr">
        <x:is>
          <x:t xml:space="preserve">cts_bandeirantes</x:t>
        </x:is>
      </x:c>
      <x:c r="B158" s="6" t="inlineStr">
        <x:is>
          <x:t xml:space="preserve">PV</x:t>
        </x:is>
      </x:c>
      <x:c r="C158" s="6" t="inlineStr">
        <x:is>
          <x:t xml:space="preserve">PV-9</x:t>
        </x:is>
      </x:c>
      <x:c r="D158" s="6" t="inlineStr">
        <x:is>
          <x:t xml:space="preserve">PV-9</x:t>
        </x:is>
      </x:c>
      <x:c r="E158" s="7" t="n">
        <x:v>7396994.181526</x:v>
      </x:c>
      <x:c r="F158" s="7" t="n">
        <x:v>357919.092494</x:v>
      </x:c>
      <x:c r="G158" s="7" t="n">
        <x:v>-23.5311215</x:v>
      </x:c>
      <x:c r="H158" s="7" t="n">
        <x:v>-46.3918165</x:v>
      </x:c>
      <x:c r="I158" s="7" t="n">
        <x:v>758.942</x:v>
      </x:c>
      <x:c r="J158" s="7" t="n">
        <x:v>755.212</x:v>
      </x:c>
      <x:c r="K158" s="7" t="n">
        <x:v>3.73</x:v>
      </x:c>
      <x:c r="L158" s="6" t="n"/>
    </x:row>
    <x:row r="159">
      <x:c r="A159" s="6" t="inlineStr">
        <x:is>
          <x:t xml:space="preserve">cts_bandeirantes</x:t>
        </x:is>
      </x:c>
      <x:c r="B159" s="6" t="inlineStr">
        <x:is>
          <x:t xml:space="preserve">PV</x:t>
        </x:is>
      </x:c>
      <x:c r="C159" s="6" t="inlineStr">
        <x:is>
          <x:t xml:space="preserve">PV-6</x:t>
        </x:is>
      </x:c>
      <x:c r="D159" s="6" t="inlineStr">
        <x:is>
          <x:t xml:space="preserve">PV-6</x:t>
        </x:is>
      </x:c>
      <x:c r="E159" s="7" t="n">
        <x:v>7397035.960885</x:v>
      </x:c>
      <x:c r="F159" s="7" t="n">
        <x:v>357787.313665</x:v>
      </x:c>
      <x:c r="G159" s="7" t="n">
        <x:v>-23.5307327</x:v>
      </x:c>
      <x:c r="H159" s="7" t="n">
        <x:v>-46.3931032</x:v>
      </x:c>
      <x:c r="I159" s="7" t="n">
        <x:v>757.241</x:v>
      </x:c>
      <x:c r="J159" s="7" t="n">
        <x:v>752.881</x:v>
      </x:c>
      <x:c r="K159" s="7" t="n">
        <x:v>4.36</x:v>
      </x:c>
      <x:c r="L159" s="6" t="n"/>
    </x:row>
    <x:row r="160">
      <x:c r="A160" s="6" t="inlineStr">
        <x:is>
          <x:t xml:space="preserve">cts_bandeirantes</x:t>
        </x:is>
      </x:c>
      <x:c r="B160" s="6" t="inlineStr">
        <x:is>
          <x:t xml:space="preserve">PV</x:t>
        </x:is>
      </x:c>
      <x:c r="C160" s="6" t="inlineStr">
        <x:is>
          <x:t xml:space="preserve">PV-7</x:t>
        </x:is>
      </x:c>
      <x:c r="D160" s="6" t="inlineStr">
        <x:is>
          <x:t xml:space="preserve">PV-7</x:t>
        </x:is>
      </x:c>
      <x:c r="E160" s="7" t="n">
        <x:v>7397013.087354999</x:v>
      </x:c>
      <x:c r="F160" s="7" t="n">
        <x:v>357870.218447</x:v>
      </x:c>
      <x:c r="G160" s="7" t="n">
        <x:v>-23.5309465</x:v>
      </x:c>
      <x:c r="H160" s="7" t="n">
        <x:v>-46.3922934</x:v>
      </x:c>
      <x:c r="I160" s="7" t="n">
        <x:v>758.451</x:v>
      </x:c>
      <x:c r="J160" s="7" t="n">
        <x:v>753.971</x:v>
      </x:c>
      <x:c r="K160" s="7" t="n">
        <x:v>4.48</x:v>
      </x:c>
      <x:c r="L160" s="6" t="n"/>
    </x:row>
    <x:row r="161">
      <x:c r="A161" s="6" t="inlineStr">
        <x:is>
          <x:t xml:space="preserve">cts_bandeirantes</x:t>
        </x:is>
      </x:c>
      <x:c r="B161" s="6" t="inlineStr">
        <x:is>
          <x:t xml:space="preserve">PV</x:t>
        </x:is>
      </x:c>
      <x:c r="C161" s="6" t="inlineStr">
        <x:is>
          <x:t xml:space="preserve">PV-42</x:t>
        </x:is>
      </x:c>
      <x:c r="D161" s="6" t="inlineStr">
        <x:is>
          <x:t xml:space="preserve">PV-42</x:t>
        </x:is>
      </x:c>
      <x:c r="E161" s="7" t="n">
        <x:v>7397075.258452</x:v>
      </x:c>
      <x:c r="F161" s="7" t="n">
        <x:v>357881.366584</x:v>
      </x:c>
      <x:c r="G161" s="7" t="n">
        <x:v>-23.5303861</x:v>
      </x:c>
      <x:c r="H161" s="7" t="n">
        <x:v>-46.3921783</x:v>
      </x:c>
      <x:c r="I161" s="7" t="n">
        <x:v>758.061</x:v>
      </x:c>
      <x:c r="J161" s="7" t="n">
        <x:v>754.711</x:v>
      </x:c>
      <x:c r="K161" s="7" t="n">
        <x:v>3.35</x:v>
      </x:c>
      <x:c r="L161" s="6" t="n"/>
    </x:row>
    <x:row r="162">
      <x:c r="A162" s="6" t="inlineStr">
        <x:is>
          <x:t xml:space="preserve">cts_bandeirantes</x:t>
        </x:is>
      </x:c>
      <x:c r="B162" s="6" t="inlineStr">
        <x:is>
          <x:t xml:space="preserve">PV</x:t>
        </x:is>
      </x:c>
      <x:c r="C162" s="6" t="inlineStr">
        <x:is>
          <x:t xml:space="preserve">PV-5</x:t>
        </x:is>
      </x:c>
      <x:c r="D162" s="6" t="inlineStr">
        <x:is>
          <x:t xml:space="preserve">PV-5</x:t>
        </x:is>
      </x:c>
      <x:c r="E162" s="7" t="n">
        <x:v>7397054.371177</x:v>
      </x:c>
      <x:c r="F162" s="7" t="n">
        <x:v>357705.661409</x:v>
      </x:c>
      <x:c r="G162" s="7" t="n">
        <x:v>-23.5305593</x:v>
      </x:c>
      <x:c r="H162" s="7" t="n">
        <x:v>-46.3939011</x:v>
      </x:c>
      <x:c r="I162" s="7" t="n">
        <x:v>756.511</x:v>
      </x:c>
      <x:c r="J162" s="7" t="n">
        <x:v>752.311</x:v>
      </x:c>
      <x:c r="K162" s="7" t="n">
        <x:v>4.2</x:v>
      </x:c>
      <x:c r="L162" s="6" t="n"/>
    </x:row>
    <x:row r="163">
      <x:c r="A163" s="6" t="inlineStr">
        <x:is>
          <x:t xml:space="preserve">cts_bandeirantes</x:t>
        </x:is>
      </x:c>
      <x:c r="B163" s="6" t="inlineStr">
        <x:is>
          <x:t xml:space="preserve">PV</x:t>
        </x:is>
      </x:c>
      <x:c r="C163" s="6" t="inlineStr">
        <x:is>
          <x:t xml:space="preserve">PV-3</x:t>
        </x:is>
      </x:c>
      <x:c r="D163" s="6" t="inlineStr">
        <x:is>
          <x:t xml:space="preserve">PV-3</x:t>
        </x:is>
      </x:c>
      <x:c r="E163" s="7" t="n">
        <x:v>7397085.085239999</x:v>
      </x:c>
      <x:c r="F163" s="7" t="n">
        <x:v>357561.649135</x:v>
      </x:c>
      <x:c r="G163" s="7" t="n">
        <x:v>-23.5302693</x:v>
      </x:c>
      <x:c r="H163" s="7" t="n">
        <x:v>-46.3953086</x:v>
      </x:c>
      <x:c r="I163" s="7" t="n">
        <x:v>755.391</x:v>
      </x:c>
      <x:c r="J163" s="7" t="n">
        <x:v>751.271</x:v>
      </x:c>
      <x:c r="K163" s="7" t="n">
        <x:v>4.12</x:v>
      </x:c>
      <x:c r="L163" s="6" t="n"/>
    </x:row>
    <x:row r="164">
      <x:c r="A164" s="6" t="inlineStr">
        <x:is>
          <x:t xml:space="preserve">cts_bandeirantes</x:t>
        </x:is>
      </x:c>
      <x:c r="B164" s="6" t="inlineStr">
        <x:is>
          <x:t xml:space="preserve">PV</x:t>
        </x:is>
      </x:c>
      <x:c r="C164" s="6" t="inlineStr">
        <x:is>
          <x:t xml:space="preserve">PV-2</x:t>
        </x:is>
      </x:c>
      <x:c r="D164" s="6" t="inlineStr">
        <x:is>
          <x:t xml:space="preserve">PV-2</x:t>
        </x:is>
      </x:c>
      <x:c r="E164" s="7" t="n">
        <x:v>7397084.800903999</x:v>
      </x:c>
      <x:c r="F164" s="7" t="n">
        <x:v>357550.1087420001</x:v>
      </x:c>
      <x:c r="G164" s="7" t="n">
        <x:v>-23.5302709</x:v>
      </x:c>
      <x:c r="H164" s="7" t="n">
        <x:v>-46.3954216</x:v>
      </x:c>
      <x:c r="I164" s="7" t="n">
        <x:v>755.51</x:v>
      </x:c>
      <x:c r="J164" s="7" t="n">
        <x:v>751.26</x:v>
      </x:c>
      <x:c r="K164" s="7" t="n">
        <x:v>4.25</x:v>
      </x:c>
      <x:c r="L164" s="6" t="n"/>
    </x:row>
    <x:row r="165">
      <x:c r="A165" s="6" t="inlineStr">
        <x:is>
          <x:t xml:space="preserve">cts_bandeirantes</x:t>
        </x:is>
      </x:c>
      <x:c r="B165" s="6" t="inlineStr">
        <x:is>
          <x:t xml:space="preserve">PV</x:t>
        </x:is>
      </x:c>
      <x:c r="C165" s="6" t="inlineStr">
        <x:is>
          <x:t xml:space="preserve">PV-1</x:t>
        </x:is>
      </x:c>
      <x:c r="D165" s="6" t="inlineStr">
        <x:is>
          <x:t xml:space="preserve">PV-1</x:t>
        </x:is>
      </x:c>
      <x:c r="E165" s="7" t="n">
        <x:v>7397138.991223</x:v>
      </x:c>
      <x:c r="F165" s="7" t="n">
        <x:v>357567.329203</x:v>
      </x:c>
      <x:c r="G165" s="7" t="n">
        <x:v>-23.529783</x:v>
      </x:c>
      <x:c r="H165" s="7" t="n">
        <x:v>-46.3952478</x:v>
      </x:c>
      <x:c r="I165" s="7" t="n">
        <x:v>754.785</x:v>
      </x:c>
      <x:c r="J165" s="7" t="n">
        <x:v>750.325</x:v>
      </x:c>
      <x:c r="K165" s="7" t="n">
        <x:v>4.46</x:v>
      </x:c>
      <x:c r="L165" s="6" t="n"/>
    </x:row>
    <x:row r="166">
      <x:c r="A166" s="6" t="inlineStr">
        <x:is>
          <x:t xml:space="preserve">cts_bandeirantes</x:t>
        </x:is>
      </x:c>
      <x:c r="B166" s="6" t="inlineStr">
        <x:is>
          <x:t xml:space="preserve">PV</x:t>
        </x:is>
      </x:c>
      <x:c r="C166" s="6" t="inlineStr">
        <x:is>
          <x:t xml:space="preserve">PV-30</x:t>
        </x:is>
      </x:c>
      <x:c r="D166" s="6" t="inlineStr">
        <x:is>
          <x:t xml:space="preserve">PV-30</x:t>
        </x:is>
      </x:c>
      <x:c r="E166" s="7" t="n">
        <x:v>7396338.43234</x:v>
      </x:c>
      <x:c r="F166" s="7" t="n">
        <x:v>358428.64902</x:v>
      </x:c>
      <x:c r="G166" s="7" t="n">
        <x:v>-23.5370876</x:v>
      </x:c>
      <x:c r="H166" s="7" t="n">
        <x:v>-46.3868882</x:v>
      </x:c>
      <x:c r="I166" s="7" t="n">
        <x:v>775.136</x:v>
      </x:c>
      <x:c r="J166" s="7" t="n">
        <x:v>771.836</x:v>
      </x:c>
      <x:c r="K166" s="7" t="n">
        <x:v>3.3</x:v>
      </x:c>
      <x:c r="L166" s="6" t="n"/>
    </x:row>
    <x:row r="167">
      <x:c r="A167" s="6" t="inlineStr">
        <x:is>
          <x:t xml:space="preserve">cts_bandeirantes</x:t>
        </x:is>
      </x:c>
      <x:c r="B167" s="6" t="inlineStr">
        <x:is>
          <x:t xml:space="preserve">PV</x:t>
        </x:is>
      </x:c>
      <x:c r="C167" s="6" t="inlineStr">
        <x:is>
          <x:t xml:space="preserve">PV-38</x:t>
        </x:is>
      </x:c>
      <x:c r="D167" s="6" t="inlineStr">
        <x:is>
          <x:t xml:space="preserve">PV-38</x:t>
        </x:is>
      </x:c>
      <x:c r="E167" s="7" t="n">
        <x:v>7395984.8205</x:v>
      </x:c>
      <x:c r="F167" s="7" t="n">
        <x:v>358467.995863</x:v>
      </x:c>
      <x:c r="G167" s="7" t="n">
        <x:v>-23.5402842</x:v>
      </x:c>
      <x:c r="H167" s="7" t="n">
        <x:v>-46.3865363</x:v>
      </x:c>
      <x:c r="I167" s="7" t="n">
        <x:v>785.575</x:v>
      </x:c>
      <x:c r="J167" s="7" t="n">
        <x:v>783.785</x:v>
      </x:c>
      <x:c r="K167" s="7" t="n">
        <x:v>1.79</x:v>
      </x:c>
      <x:c r="L167" s="6" t="n"/>
    </x:row>
    <x:row r="168">
      <x:c r="A168" s="6" t="inlineStr">
        <x:is>
          <x:t xml:space="preserve">cts_bandeirantes</x:t>
        </x:is>
      </x:c>
      <x:c r="B168" s="6" t="inlineStr">
        <x:is>
          <x:t xml:space="preserve">PV</x:t>
        </x:is>
      </x:c>
      <x:c r="C168" s="6" t="inlineStr">
        <x:is>
          <x:t xml:space="preserve">PV-37</x:t>
        </x:is>
      </x:c>
      <x:c r="D168" s="6" t="inlineStr">
        <x:is>
          <x:t xml:space="preserve">PV-37</x:t>
        </x:is>
      </x:c>
      <x:c r="E168" s="7" t="n">
        <x:v>7396003.905774001</x:v>
      </x:c>
      <x:c r="F168" s="7" t="n">
        <x:v>358465.335252</x:v>
      </x:c>
      <x:c r="G168" s="7" t="n">
        <x:v>-23.5401117</x:v>
      </x:c>
      <x:c r="H168" s="7" t="n">
        <x:v>-46.3865605</x:v>
      </x:c>
      <x:c r="I168" s="7" t="n">
        <x:v>784.917</x:v>
      </x:c>
      <x:c r="J168" s="7" t="n">
        <x:v>782.967</x:v>
      </x:c>
      <x:c r="K168" s="7" t="n">
        <x:v>1.95</x:v>
      </x:c>
      <x:c r="L168" s="6" t="n"/>
    </x:row>
    <x:row r="169">
      <x:c r="A169" s="6" t="inlineStr">
        <x:is>
          <x:t xml:space="preserve">cts_bandeirantes</x:t>
        </x:is>
      </x:c>
      <x:c r="B169" s="6" t="inlineStr">
        <x:is>
          <x:t xml:space="preserve">PV</x:t>
        </x:is>
      </x:c>
      <x:c r="C169" s="6" t="inlineStr">
        <x:is>
          <x:t xml:space="preserve">PV-35</x:t>
        </x:is>
      </x:c>
      <x:c r="D169" s="6" t="inlineStr">
        <x:is>
          <x:t xml:space="preserve">PV-35</x:t>
        </x:is>
      </x:c>
      <x:c r="E169" s="7" t="n">
        <x:v>7396081.850048</x:v>
      </x:c>
      <x:c r="F169" s="7" t="n">
        <x:v>358500.322569</x:v>
      </x:c>
      <x:c r="G169" s="7" t="n">
        <x:v>-23.5394109</x:v>
      </x:c>
      <x:c r="H169" s="7" t="n">
        <x:v>-46.3862105</x:v>
      </x:c>
      <x:c r="I169" s="7" t="n">
        <x:v>789.299</x:v>
      </x:c>
      <x:c r="J169" s="7" t="n">
        <x:v>781.889</x:v>
      </x:c>
      <x:c r="K169" s="7" t="n">
        <x:v>7.41</x:v>
      </x:c>
      <x:c r="L169" s="6" t="n"/>
    </x:row>
    <x:row r="170">
      <x:c r="A170" s="6" t="inlineStr">
        <x:is>
          <x:t xml:space="preserve">cts_bandeirantes</x:t>
        </x:is>
      </x:c>
      <x:c r="B170" s="6" t="inlineStr">
        <x:is>
          <x:t xml:space="preserve">PV</x:t>
        </x:is>
      </x:c>
      <x:c r="C170" s="6" t="inlineStr">
        <x:is>
          <x:t xml:space="preserve">PV-34</x:t>
        </x:is>
      </x:c>
      <x:c r="D170" s="6" t="inlineStr">
        <x:is>
          <x:t xml:space="preserve">PV-34</x:t>
        </x:is>
      </x:c>
      <x:c r="E170" s="7" t="n">
        <x:v>7396152.925147</x:v>
      </x:c>
      <x:c r="F170" s="7" t="n">
        <x:v>358474.528917</x:v>
      </x:c>
      <x:c r="G170" s="7" t="n">
        <x:v>-23.5387668</x:v>
      </x:c>
      <x:c r="H170" s="7" t="n">
        <x:v>-46.3864564</x:v>
      </x:c>
      <x:c r="I170" s="7" t="n">
        <x:v>786.039</x:v>
      </x:c>
      <x:c r="J170" s="7" t="n">
        <x:v>781.199</x:v>
      </x:c>
      <x:c r="K170" s="7" t="n">
        <x:v>4.84</x:v>
      </x:c>
      <x:c r="L170" s="6" t="n"/>
    </x:row>
    <x:row r="171">
      <x:c r="A171" s="6" t="inlineStr">
        <x:is>
          <x:t xml:space="preserve">cts_bandeirantes</x:t>
        </x:is>
      </x:c>
      <x:c r="B171" s="6" t="inlineStr">
        <x:is>
          <x:t xml:space="preserve">PV</x:t>
        </x:is>
      </x:c>
      <x:c r="C171" s="6" t="inlineStr">
        <x:is>
          <x:t xml:space="preserve">PV-32</x:t>
        </x:is>
      </x:c>
      <x:c r="D171" s="6" t="inlineStr">
        <x:is>
          <x:t xml:space="preserve">PV-32</x:t>
        </x:is>
      </x:c>
      <x:c r="E171" s="7" t="n">
        <x:v>7396256.683574001</x:v>
      </x:c>
      <x:c r="F171" s="7" t="n">
        <x:v>358460.0171590001</x:v>
      </x:c>
      <x:c r="G171" s="7" t="n">
        <x:v>-23.5378286</x:v>
      </x:c>
      <x:c r="H171" s="7" t="n">
        <x:v>-46.3865887</x:v>
      </x:c>
      <x:c r="I171" s="7" t="n">
        <x:v>783.679</x:v>
      </x:c>
      <x:c r="J171" s="7" t="n">
        <x:v>779.299</x:v>
      </x:c>
      <x:c r="K171" s="7" t="n">
        <x:v>4.38</x:v>
      </x:c>
      <x:c r="L171" s="6" t="n"/>
    </x:row>
    <x:row r="172">
      <x:c r="A172" s="6" t="inlineStr">
        <x:is>
          <x:t xml:space="preserve">cts_bandeirantes</x:t>
        </x:is>
      </x:c>
      <x:c r="B172" s="6" t="inlineStr">
        <x:is>
          <x:t xml:space="preserve">PV</x:t>
        </x:is>
      </x:c>
      <x:c r="C172" s="6" t="inlineStr">
        <x:is>
          <x:t xml:space="preserve">PV-26</x:t>
        </x:is>
      </x:c>
      <x:c r="D172" s="6" t="inlineStr">
        <x:is>
          <x:t xml:space="preserve">PV-26</x:t>
        </x:is>
      </x:c>
      <x:c r="E172" s="7" t="n">
        <x:v>7396432.160105</x:v>
      </x:c>
      <x:c r="F172" s="7" t="n">
        <x:v>358375.174645</x:v>
      </x:c>
      <x:c r="G172" s="7" t="n">
        <x:v>-23.5362366</x:v>
      </x:c>
      <x:c r="H172" s="7" t="n">
        <x:v>-46.387403</x:v>
      </x:c>
      <x:c r="I172" s="7" t="n">
        <x:v>772.973</x:v>
      </x:c>
      <x:c r="J172" s="7" t="n">
        <x:v>768.523</x:v>
      </x:c>
      <x:c r="K172" s="7" t="n">
        <x:v>4.45</x:v>
      </x:c>
      <x:c r="L172" s="6" t="n"/>
    </x:row>
    <x:row r="173">
      <x:c r="A173" s="6" t="inlineStr">
        <x:is>
          <x:t xml:space="preserve">cts_bandeirantes</x:t>
        </x:is>
      </x:c>
      <x:c r="B173" s="6" t="inlineStr">
        <x:is>
          <x:t xml:space="preserve">PV</x:t>
        </x:is>
      </x:c>
      <x:c r="C173" s="6" t="inlineStr">
        <x:is>
          <x:t xml:space="preserve">PV-25</x:t>
        </x:is>
      </x:c>
      <x:c r="D173" s="6" t="inlineStr">
        <x:is>
          <x:t xml:space="preserve">PV-25</x:t>
        </x:is>
      </x:c>
      <x:c r="E173" s="7" t="n">
        <x:v>7396475.181835</x:v>
      </x:c>
      <x:c r="F173" s="7" t="n">
        <x:v>358376.4554890001</x:v>
      </x:c>
      <x:c r="G173" s="7" t="n">
        <x:v>-23.5358482</x:v>
      </x:c>
      <x:c r="H173" s="7" t="n">
        <x:v>-46.3873864</x:v>
      </x:c>
      <x:c r="I173" s="7" t="n">
        <x:v>769.88</x:v>
      </x:c>
      <x:c r="J173" s="7" t="n">
        <x:v>765.98</x:v>
      </x:c>
      <x:c r="K173" s="7" t="n">
        <x:v>3.9</x:v>
      </x:c>
      <x:c r="L173" s="6" t="n"/>
    </x:row>
    <x:row r="174">
      <x:c r="A174" s="6" t="inlineStr">
        <x:is>
          <x:t xml:space="preserve">cts_bandeirantes</x:t>
        </x:is>
      </x:c>
      <x:c r="B174" s="6" t="inlineStr">
        <x:is>
          <x:t xml:space="preserve">PV</x:t>
        </x:is>
      </x:c>
      <x:c r="C174" s="6" t="inlineStr">
        <x:is>
          <x:t xml:space="preserve">PV-23</x:t>
        </x:is>
      </x:c>
      <x:c r="D174" s="6" t="inlineStr">
        <x:is>
          <x:t xml:space="preserve">PV-23</x:t>
        </x:is>
      </x:c>
      <x:c r="E174" s="7" t="n">
        <x:v>7396559.702513001</x:v>
      </x:c>
      <x:c r="F174" s="7" t="n">
        <x:v>358372.8521570001</x:v>
      </x:c>
      <x:c r="G174" s="7" t="n">
        <x:v>-23.5350846</x:v>
      </x:c>
      <x:c r="H174" s="7" t="n">
        <x:v>-46.3874137</x:v>
      </x:c>
      <x:c r="I174" s="7" t="n">
        <x:v>769.41</x:v>
      </x:c>
      <x:c r="J174" s="7" t="n">
        <x:v>764.96</x:v>
      </x:c>
      <x:c r="K174" s="7" t="n">
        <x:v>4.45</x:v>
      </x:c>
      <x:c r="L174" s="6" t="n"/>
    </x:row>
    <x:row r="175">
      <x:c r="A175" s="6" t="inlineStr">
        <x:is>
          <x:t xml:space="preserve">cts_bandeirantes</x:t>
        </x:is>
      </x:c>
      <x:c r="B175" s="6" t="inlineStr">
        <x:is>
          <x:t xml:space="preserve">PV</x:t>
        </x:is>
      </x:c>
      <x:c r="C175" s="6" t="inlineStr">
        <x:is>
          <x:t xml:space="preserve">PV-22</x:t>
        </x:is>
      </x:c>
      <x:c r="D175" s="6" t="inlineStr">
        <x:is>
          <x:t xml:space="preserve">PV-22</x:t>
        </x:is>
      </x:c>
      <x:c r="E175" s="7" t="n">
        <x:v>7396607.664811999</x:v>
      </x:c>
      <x:c r="F175" s="7" t="n">
        <x:v>358343.5597800001</x:v>
      </x:c>
      <x:c r="G175" s="7" t="n">
        <x:v>-23.534649</x:v>
      </x:c>
      <x:c r="H175" s="7" t="n">
        <x:v>-46.387696</x:v>
      </x:c>
      <x:c r="I175" s="7" t="n">
        <x:v>767.686</x:v>
      </x:c>
      <x:c r="J175" s="7" t="n">
        <x:v>763.966</x:v>
      </x:c>
      <x:c r="K175" s="7" t="n">
        <x:v>3.72</x:v>
      </x:c>
      <x:c r="L175" s="6" t="n"/>
    </x:row>
    <x:row r="176">
      <x:c r="A176" s="6" t="inlineStr">
        <x:is>
          <x:t xml:space="preserve">cts_bandeirantes</x:t>
        </x:is>
      </x:c>
      <x:c r="B176" s="6" t="inlineStr">
        <x:is>
          <x:t xml:space="preserve">PV</x:t>
        </x:is>
      </x:c>
      <x:c r="C176" s="6" t="inlineStr">
        <x:is>
          <x:t xml:space="preserve">PV-48</x:t>
        </x:is>
      </x:c>
      <x:c r="D176" s="6" t="inlineStr">
        <x:is>
          <x:t xml:space="preserve">PV-48</x:t>
        </x:is>
      </x:c>
      <x:c r="E176" s="7" t="n">
        <x:v>7396646.569811</x:v>
      </x:c>
      <x:c r="F176" s="7" t="n">
        <x:v>358298.815748</x:v>
      </x:c>
      <x:c r="G176" s="7" t="n">
        <x:v>-23.5342937</x:v>
      </x:c>
      <x:c r="H176" s="7" t="n">
        <x:v>-46.3881306</x:v>
      </x:c>
      <x:c r="I176" s="7" t="n">
        <x:v>766.624</x:v>
      </x:c>
      <x:c r="J176" s="7" t="n">
        <x:v>763.404</x:v>
      </x:c>
      <x:c r="K176" s="7" t="n">
        <x:v>3.22</x:v>
      </x:c>
      <x:c r="L176" s="6" t="n"/>
    </x:row>
    <x:row r="177">
      <x:c r="A177" s="6" t="inlineStr">
        <x:is>
          <x:t xml:space="preserve">cts_bandeirantes</x:t>
        </x:is>
      </x:c>
      <x:c r="B177" s="6" t="inlineStr">
        <x:is>
          <x:t xml:space="preserve">PV</x:t>
        </x:is>
      </x:c>
      <x:c r="C177" s="6" t="inlineStr">
        <x:is>
          <x:t xml:space="preserve">PV-20</x:t>
        </x:is>
      </x:c>
      <x:c r="D177" s="6" t="inlineStr">
        <x:is>
          <x:t xml:space="preserve">PV-20</x:t>
        </x:is>
      </x:c>
      <x:c r="E177" s="7" t="n">
        <x:v>7396667.706682001</x:v>
      </x:c>
      <x:c r="F177" s="7" t="n">
        <x:v>358270.101395</x:v>
      </x:c>
      <x:c r="G177" s="7" t="n">
        <x:v>-23.5341004</x:v>
      </x:c>
      <x:c r="H177" s="7" t="n">
        <x:v>-46.3884098</x:v>
      </x:c>
      <x:c r="I177" s="7" t="n">
        <x:v>767.799</x:v>
      </x:c>
      <x:c r="J177" s="7" t="n">
        <x:v>762.599</x:v>
      </x:c>
      <x:c r="K177" s="7" t="n">
        <x:v>5.2</x:v>
      </x:c>
      <x:c r="L177" s="6" t="n"/>
    </x:row>
    <x:row r="178">
      <x:c r="A178" s="6" t="inlineStr">
        <x:is>
          <x:t xml:space="preserve">cts_bandeirantes</x:t>
        </x:is>
      </x:c>
      <x:c r="B178" s="6" t="inlineStr">
        <x:is>
          <x:t xml:space="preserve">PV</x:t>
        </x:is>
      </x:c>
      <x:c r="C178" s="6" t="inlineStr">
        <x:is>
          <x:t xml:space="preserve">PV-19</x:t>
        </x:is>
      </x:c>
      <x:c r="D178" s="6" t="inlineStr">
        <x:is>
          <x:t xml:space="preserve">PV-19</x:t>
        </x:is>
      </x:c>
      <x:c r="E178" s="7" t="n">
        <x:v>7396758.682058999</x:v>
      </x:c>
      <x:c r="F178" s="7" t="n">
        <x:v>358273.2218050001</x:v>
      </x:c>
      <x:c r="G178" s="7" t="n">
        <x:v>-23.5332791</x:v>
      </x:c>
      <x:c r="H178" s="7" t="n">
        <x:v>-46.3883706</x:v>
      </x:c>
      <x:c r="I178" s="7" t="n">
        <x:v>764.77</x:v>
      </x:c>
      <x:c r="J178" s="7" t="n">
        <x:v>761.5700000000001</x:v>
      </x:c>
      <x:c r="K178" s="7" t="n">
        <x:v>3.2</x:v>
      </x:c>
      <x:c r="L178" s="6" t="n"/>
    </x:row>
    <x:row r="179">
      <x:c r="A179" s="6" t="inlineStr">
        <x:is>
          <x:t xml:space="preserve">cts_bandeirantes</x:t>
        </x:is>
      </x:c>
      <x:c r="B179" s="6" t="inlineStr">
        <x:is>
          <x:t xml:space="preserve">PV</x:t>
        </x:is>
      </x:c>
      <x:c r="C179" s="6" t="inlineStr">
        <x:is>
          <x:t xml:space="preserve">PV-18</x:t>
        </x:is>
      </x:c>
      <x:c r="D179" s="6" t="inlineStr">
        <x:is>
          <x:t xml:space="preserve">PV-18</x:t>
        </x:is>
      </x:c>
      <x:c r="E179" s="7" t="n">
        <x:v>7396799.184238001</x:v>
      </x:c>
      <x:c r="F179" s="7" t="n">
        <x:v>358241.7539880001</x:v>
      </x:c>
      <x:c r="G179" s="7" t="n">
        <x:v>-23.5329106</x:v>
      </x:c>
      <x:c r="H179" s="7" t="n">
        <x:v>-46.388675</x:v>
      </x:c>
      <x:c r="I179" s="7" t="n">
        <x:v>763.977</x:v>
      </x:c>
      <x:c r="J179" s="7" t="n">
        <x:v>761.2569999999999</x:v>
      </x:c>
      <x:c r="K179" s="7" t="n">
        <x:v>2.72</x:v>
      </x:c>
      <x:c r="L179" s="6" t="n"/>
    </x:row>
    <x:row r="180">
      <x:c r="A180" s="6" t="inlineStr">
        <x:is>
          <x:t xml:space="preserve">cts_bandeirantes</x:t>
        </x:is>
      </x:c>
      <x:c r="B180" s="6" t="inlineStr">
        <x:is>
          <x:t xml:space="preserve">PV</x:t>
        </x:is>
      </x:c>
      <x:c r="C180" s="6" t="inlineStr">
        <x:is>
          <x:t xml:space="preserve">PV-17</x:t>
        </x:is>
      </x:c>
      <x:c r="D180" s="6" t="inlineStr">
        <x:is>
          <x:t xml:space="preserve">PV-17</x:t>
        </x:is>
      </x:c>
      <x:c r="E180" s="7" t="n">
        <x:v>7396842.091841</x:v>
      </x:c>
      <x:c r="F180" s="7" t="n">
        <x:v>358185.042153</x:v>
      </x:c>
      <x:c r="G180" s="7" t="n">
        <x:v>-23.5325182</x:v>
      </x:c>
      <x:c r="H180" s="7" t="n">
        <x:v>-46.3892263</x:v>
      </x:c>
      <x:c r="I180" s="7" t="n">
        <x:v>763.8200000000001</x:v>
      </x:c>
      <x:c r="J180" s="7" t="n">
        <x:v>760.47</x:v>
      </x:c>
      <x:c r="K180" s="7" t="n">
        <x:v>3.35</x:v>
      </x:c>
      <x:c r="L180" s="6" t="n"/>
    </x:row>
    <x:row r="181">
      <x:c r="A181" s="6" t="inlineStr">
        <x:is>
          <x:t xml:space="preserve">cts_bandeirantes</x:t>
        </x:is>
      </x:c>
      <x:c r="B181" s="6" t="inlineStr">
        <x:is>
          <x:t xml:space="preserve">PV</x:t>
        </x:is>
      </x:c>
      <x:c r="C181" s="6" t="inlineStr">
        <x:is>
          <x:t xml:space="preserve">PV-11</x:t>
        </x:is>
      </x:c>
      <x:c r="D181" s="6" t="inlineStr">
        <x:is>
          <x:t xml:space="preserve">PV-11</x:t>
        </x:is>
      </x:c>
      <x:c r="E181" s="7" t="n">
        <x:v>7396963.989900999</x:v>
      </x:c>
      <x:c r="F181" s="7" t="n">
        <x:v>357997.1227650001</x:v>
      </x:c>
      <x:c r="G181" s="7" t="n">
        <x:v>-23.531401</x:v>
      </x:c>
      <x:c r="H181" s="7" t="n">
        <x:v>-46.3910552</x:v>
      </x:c>
      <x:c r="I181" s="7" t="n">
        <x:v>759.975</x:v>
      </x:c>
      <x:c r="J181" s="7" t="n">
        <x:v>757.075</x:v>
      </x:c>
      <x:c r="K181" s="7" t="n">
        <x:v>2.9</x:v>
      </x:c>
      <x:c r="L181" s="6" t="n"/>
    </x:row>
    <x:row r="182">
      <x:c r="A182" s="6" t="inlineStr">
        <x:is>
          <x:t xml:space="preserve">cts_bandeirantes</x:t>
        </x:is>
      </x:c>
      <x:c r="B182" s="6" t="inlineStr">
        <x:is>
          <x:t xml:space="preserve">PV</x:t>
        </x:is>
      </x:c>
      <x:c r="C182" s="6" t="inlineStr">
        <x:is>
          <x:t xml:space="preserve">PV-4</x:t>
        </x:is>
      </x:c>
      <x:c r="D182" s="6" t="inlineStr">
        <x:is>
          <x:t xml:space="preserve">PV-4</x:t>
        </x:is>
      </x:c>
      <x:c r="E182" s="7" t="n">
        <x:v>7397071.420606761</x:v>
      </x:c>
      <x:c r="F182" s="7" t="n">
        <x:v>357625.7199453666</x:v>
      </x:c>
      <x:c r="G182" s="7" t="n">
        <x:v>-23.5303983</x:v>
      </x:c>
      <x:c r="H182" s="7" t="n">
        <x:v>-46.3946824</x:v>
      </x:c>
      <x:c r="I182" s="7" t="n">
        <x:v>756.376</x:v>
      </x:c>
      <x:c r="J182" s="7" t="n">
        <x:v>751.706</x:v>
      </x:c>
      <x:c r="K182" s="7" t="n">
        <x:v>4.67</x:v>
      </x:c>
      <x:c r="L182" s="6" t="n"/>
    </x:row>
    <x:row r="183">
      <x:c r="A183" s="6" t="inlineStr">
        <x:is>
          <x:t xml:space="preserve">cts_bandeirantes</x:t>
        </x:is>
      </x:c>
      <x:c r="B183" s="6" t="inlineStr">
        <x:is>
          <x:t xml:space="preserve">PV</x:t>
        </x:is>
      </x:c>
      <x:c r="C183" s="6" t="inlineStr">
        <x:is>
          <x:t xml:space="preserve">PV-12</x:t>
        </x:is>
      </x:c>
      <x:c r="D183" s="6" t="inlineStr">
        <x:is>
          <x:t xml:space="preserve">PV-12</x:t>
        </x:is>
      </x:c>
      <x:c r="E183" s="7" t="n">
        <x:v>7396907.941522243</x:v>
      </x:c>
      <x:c r="F183" s="7" t="n">
        <x:v>358015.1190850785</x:v>
      </x:c>
      <x:c r="G183" s="7" t="n">
        <x:v>-23.5319087</x:v>
      </x:c>
      <x:c r="H183" s="7" t="n">
        <x:v>-46.3908843</x:v>
      </x:c>
      <x:c r="I183" s="7" t="n">
        <x:v>763.8390000000001</x:v>
      </x:c>
      <x:c r="J183" s="7" t="n">
        <x:v>758.359</x:v>
      </x:c>
      <x:c r="K183" s="7" t="n">
        <x:v>5.48</x:v>
      </x:c>
      <x:c r="L183" s="6" t="n"/>
    </x:row>
    <x:row r="184">
      <x:c r="A184" s="6" t="inlineStr">
        <x:is>
          <x:t xml:space="preserve">cts_bandeirantes</x:t>
        </x:is>
      </x:c>
      <x:c r="B184" s="6" t="inlineStr">
        <x:is>
          <x:t xml:space="preserve">PV</x:t>
        </x:is>
      </x:c>
      <x:c r="C184" s="6" t="inlineStr">
        <x:is>
          <x:t xml:space="preserve">PV-13</x:t>
        </x:is>
      </x:c>
      <x:c r="D184" s="6" t="inlineStr">
        <x:is>
          <x:t xml:space="preserve">PV-13</x:t>
        </x:is>
      </x:c>
      <x:c r="E184" s="7" t="n">
        <x:v>7396876.449000003</x:v>
      </x:c>
      <x:c r="F184" s="7" t="n">
        <x:v>358033.633000026</x:v>
      </x:c>
      <x:c r="G184" s="7" t="n">
        <x:v>-23.5321947</x:v>
      </x:c>
      <x:c r="H184" s="7" t="n">
        <x:v>-46.3907059</x:v>
      </x:c>
      <x:c r="I184" s="7" t="n">
        <x:v>765.923</x:v>
      </x:c>
      <x:c r="J184" s="7" t="n">
        <x:v>758.823</x:v>
      </x:c>
      <x:c r="K184" s="7" t="n">
        <x:v>7.1</x:v>
      </x:c>
      <x:c r="L184" s="6" t="n"/>
    </x:row>
    <x:row r="185">
      <x:c r="A185" s="6" t="inlineStr">
        <x:is>
          <x:t xml:space="preserve">cts_bandeirantes</x:t>
        </x:is>
      </x:c>
      <x:c r="B185" s="6" t="inlineStr">
        <x:is>
          <x:t xml:space="preserve">PV</x:t>
        </x:is>
      </x:c>
      <x:c r="C185" s="6" t="inlineStr">
        <x:is>
          <x:t xml:space="preserve">PV-14</x:t>
        </x:is>
      </x:c>
      <x:c r="D185" s="6" t="inlineStr">
        <x:is>
          <x:t xml:space="preserve">PV-14</x:t>
        </x:is>
      </x:c>
      <x:c r="E185" s="7" t="n">
        <x:v>7396831.770627517</x:v>
      </x:c>
      <x:c r="F185" s="7" t="n">
        <x:v>358042.6030526295</x:v>
      </x:c>
      <x:c r="G185" s="7" t="n">
        <x:v>-23.5325989</x:v>
      </x:c>
      <x:c r="H185" s="7" t="n">
        <x:v>-46.3906223</x:v>
      </x:c>
      <x:c r="I185" s="7" t="n">
        <x:v>770.739</x:v>
      </x:c>
      <x:c r="J185" s="7" t="n">
        <x:v>759.329</x:v>
      </x:c>
      <x:c r="K185" s="7" t="n">
        <x:v>11.41</x:v>
      </x:c>
      <x:c r="L185" s="6" t="n"/>
    </x:row>
    <x:row r="186">
      <x:c r="A186" s="6" t="inlineStr">
        <x:is>
          <x:t xml:space="preserve">cts_bandeirantes</x:t>
        </x:is>
      </x:c>
      <x:c r="B186" s="6" t="inlineStr">
        <x:is>
          <x:t xml:space="preserve">PV</x:t>
        </x:is>
      </x:c>
      <x:c r="C186" s="6" t="inlineStr">
        <x:is>
          <x:t xml:space="preserve">PV-16</x:t>
        </x:is>
      </x:c>
      <x:c r="D186" s="6" t="inlineStr">
        <x:is>
          <x:t xml:space="preserve">PV-16</x:t>
        </x:is>
      </x:c>
      <x:c r="E186" s="7" t="n">
        <x:v>7396822.717911125</x:v>
      </x:c>
      <x:c r="F186" s="7" t="n">
        <x:v>358150.7946842315</x:v>
      </x:c>
      <x:c r="G186" s="7" t="n">
        <x:v>-23.5326902</x:v>
      </x:c>
      <x:c r="H186" s="7" t="n">
        <x:v>-46.3895636</x:v>
      </x:c>
      <x:c r="I186" s="7" t="n">
        <x:v>764.7809999999999</x:v>
      </x:c>
      <x:c r="J186" s="7" t="n">
        <x:v>759.631</x:v>
      </x:c>
      <x:c r="K186" s="7" t="n">
        <x:v>5.15</x:v>
      </x:c>
      <x:c r="L186" s="6" t="n"/>
    </x:row>
    <x:row r="187">
      <x:c r="A187" s="6" t="inlineStr">
        <x:is>
          <x:t xml:space="preserve">ct_jaragua</x:t>
        </x:is>
      </x:c>
      <x:c r="B187" s="6" t="inlineStr">
        <x:is>
          <x:t xml:space="preserve">PI</x:t>
        </x:is>
      </x:c>
      <x:c r="C187" s="6" t="inlineStr">
        <x:is>
          <x:t xml:space="preserve">PIE-10</x:t>
        </x:is>
      </x:c>
      <x:c r="D187" s="6" t="inlineStr">
        <x:is>
          <x:t xml:space="preserve">PIE-10</x:t>
        </x:is>
      </x:c>
      <x:c r="E187" s="7" t="n">
        <x:v>7399508.792660001</x:v>
      </x:c>
      <x:c r="F187" s="7" t="n">
        <x:v>356387.191</x:v>
      </x:c>
      <x:c r="G187" s="7" t="n">
        <x:v>-23.5082794</x:v>
      </x:c>
      <x:c r="H187" s="7" t="n">
        <x:v>-46.4065781</x:v>
      </x:c>
      <x:c r="I187" s="7" t="n">
        <x:v>744.221</x:v>
      </x:c>
      <x:c r="J187" s="7" t="n">
        <x:v>743.051</x:v>
      </x:c>
      <x:c r="K187" s="7" t="n">
        <x:v>1.17</x:v>
      </x:c>
      <x:c r="L187" s="6" t="inlineStr">
        <x:is>
          <x:t xml:space="preserve">PIE-10</x:t>
        </x:is>
      </x:c>
    </x:row>
    <x:row r="188">
      <x:c r="A188" s="6" t="inlineStr">
        <x:is>
          <x:t xml:space="preserve">ct_jaragua</x:t>
        </x:is>
      </x:c>
      <x:c r="B188" s="6" t="inlineStr">
        <x:is>
          <x:t xml:space="preserve">PI</x:t>
        </x:is>
      </x:c>
      <x:c r="C188" s="6" t="inlineStr">
        <x:is>
          <x:t xml:space="preserve">PIE-5</x:t>
        </x:is>
      </x:c>
      <x:c r="D188" s="6" t="inlineStr">
        <x:is>
          <x:t xml:space="preserve">PIE-5</x:t>
        </x:is>
      </x:c>
      <x:c r="E188" s="7" t="n">
        <x:v>7399400.866669999</x:v>
      </x:c>
      <x:c r="F188" s="7" t="n">
        <x:v>356317.17643</x:v>
      </x:c>
      <x:c r="G188" s="7" t="n">
        <x:v>-23.5092478</x:v>
      </x:c>
      <x:c r="H188" s="7" t="n">
        <x:v>-46.4072741</x:v>
      </x:c>
      <x:c r="I188" s="7" t="n">
        <x:v>748.284</x:v>
      </x:c>
      <x:c r="J188" s="7" t="n">
        <x:v>746.704</x:v>
      </x:c>
      <x:c r="K188" s="7" t="n">
        <x:v>1.58</x:v>
      </x:c>
      <x:c r="L188" s="6" t="inlineStr">
        <x:is>
          <x:t xml:space="preserve">PIE-5</x:t>
        </x:is>
      </x:c>
    </x:row>
    <x:row r="189">
      <x:c r="A189" s="6" t="inlineStr">
        <x:is>
          <x:t xml:space="preserve">ct_jaragua</x:t>
        </x:is>
      </x:c>
      <x:c r="B189" s="6" t="inlineStr">
        <x:is>
          <x:t xml:space="preserve">PI</x:t>
        </x:is>
      </x:c>
      <x:c r="C189" s="6" t="inlineStr">
        <x:is>
          <x:t xml:space="preserve">PIE-19</x:t>
        </x:is>
      </x:c>
      <x:c r="D189" s="6" t="inlineStr">
        <x:is>
          <x:t xml:space="preserve">PIE-19</x:t>
        </x:is>
      </x:c>
      <x:c r="E189" s="7" t="n">
        <x:v>7399272.008510002</x:v>
      </x:c>
      <x:c r="F189" s="7" t="n">
        <x:v>356207.8742900001</x:v>
      </x:c>
      <x:c r="G189" s="7" t="n">
        <x:v>-23.5104017</x:v>
      </x:c>
      <x:c r="H189" s="7" t="n">
        <x:v>-46.4083567</x:v>
      </x:c>
      <x:c r="I189" s="7" t="n">
        <x:v>754.187</x:v>
      </x:c>
      <x:c r="J189" s="7" t="n">
        <x:v>752.727</x:v>
      </x:c>
      <x:c r="K189" s="7" t="n">
        <x:v>1.46</x:v>
      </x:c>
      <x:c r="L189" s="6" t="inlineStr">
        <x:is>
          <x:t xml:space="preserve">PIE-19</x:t>
        </x:is>
      </x:c>
    </x:row>
    <x:row r="190">
      <x:c r="A190" s="6" t="inlineStr">
        <x:is>
          <x:t xml:space="preserve">ct_jaragua</x:t>
        </x:is>
      </x:c>
      <x:c r="B190" s="6" t="inlineStr">
        <x:is>
          <x:t xml:space="preserve">PI</x:t>
        </x:is>
      </x:c>
      <x:c r="C190" s="6" t="inlineStr">
        <x:is>
          <x:t xml:space="preserve">PIE-1</x:t>
        </x:is>
      </x:c>
      <x:c r="D190" s="6" t="inlineStr">
        <x:is>
          <x:t xml:space="preserve">PIE-1</x:t>
        </x:is>
      </x:c>
      <x:c r="E190" s="7" t="n">
        <x:v>7399260.822489999</x:v>
      </x:c>
      <x:c r="F190" s="7" t="n">
        <x:v>356217.63129</x:v>
      </x:c>
      <x:c r="G190" s="7" t="n">
        <x:v>-23.5105036</x:v>
      </x:c>
      <x:c r="H190" s="7" t="n">
        <x:v>-46.4082623</x:v>
      </x:c>
      <x:c r="I190" s="7" t="n">
        <x:v>754.221</x:v>
      </x:c>
      <x:c r="J190" s="7" t="n">
        <x:v>752.681</x:v>
      </x:c>
      <x:c r="K190" s="7" t="n">
        <x:v>1.54</x:v>
      </x:c>
      <x:c r="L190" s="6" t="inlineStr">
        <x:is>
          <x:t xml:space="preserve">PIE-1</x:t>
        </x:is>
      </x:c>
    </x:row>
    <x:row r="191">
      <x:c r="A191" s="6" t="inlineStr">
        <x:is>
          <x:t xml:space="preserve">ct_jaragua</x:t>
        </x:is>
      </x:c>
      <x:c r="B191" s="6" t="inlineStr">
        <x:is>
          <x:t xml:space="preserve">PV</x:t>
        </x:is>
      </x:c>
      <x:c r="C191" s="6" t="inlineStr">
        <x:is>
          <x:t xml:space="preserve">PV-10</x:t>
        </x:is>
      </x:c>
      <x:c r="D191" s="6" t="inlineStr">
        <x:is>
          <x:t xml:space="preserve">PV-10</x:t>
        </x:is>
      </x:c>
      <x:c r="E191" s="7" t="n">
        <x:v>7399311.227000189</x:v>
      </x:c>
      <x:c r="F191" s="7" t="n">
        <x:v>356253.2456130561</x:v>
      </x:c>
      <x:c r="G191" s="7" t="n">
        <x:v>-23.5100516</x:v>
      </x:c>
      <x:c r="H191" s="7" t="n">
        <x:v>-46.4079087</x:v>
      </x:c>
      <x:c r="I191" s="7" t="n">
        <x:v>751.282</x:v>
      </x:c>
      <x:c r="J191" s="7" t="n">
        <x:v>749.202</x:v>
      </x:c>
      <x:c r="K191" s="7" t="n">
        <x:v>2.08</x:v>
      </x:c>
      <x:c r="L191" s="6" t="n"/>
    </x:row>
    <x:row r="192">
      <x:c r="A192" s="6" t="inlineStr">
        <x:is>
          <x:t xml:space="preserve">ct_jaragua</x:t>
        </x:is>
      </x:c>
      <x:c r="B192" s="6" t="inlineStr">
        <x:is>
          <x:t xml:space="preserve">PV</x:t>
        </x:is>
      </x:c>
      <x:c r="C192" s="6" t="inlineStr">
        <x:is>
          <x:t xml:space="preserve">PV-9</x:t>
        </x:is>
      </x:c>
      <x:c r="D192" s="6" t="inlineStr">
        <x:is>
          <x:t xml:space="preserve">PV-9</x:t>
        </x:is>
      </x:c>
      <x:c r="E192" s="7" t="n">
        <x:v>7399353.299760001</x:v>
      </x:c>
      <x:c r="F192" s="7" t="n">
        <x:v>356281.40253</x:v>
      </x:c>
      <x:c r="G192" s="7" t="n">
        <x:v>-23.5096742</x:v>
      </x:c>
      <x:c r="H192" s="7" t="n">
        <x:v>-46.4076289</x:v>
      </x:c>
      <x:c r="I192" s="7" t="n">
        <x:v>749.2809999999999</x:v>
      </x:c>
      <x:c r="J192" s="7" t="n">
        <x:v>746.611</x:v>
      </x:c>
      <x:c r="K192" s="7" t="n">
        <x:v>2.67</x:v>
      </x:c>
      <x:c r="L192" s="6" t="n"/>
    </x:row>
    <x:row r="193">
      <x:c r="A193" s="6" t="inlineStr">
        <x:is>
          <x:t xml:space="preserve">ct_jaragua</x:t>
        </x:is>
      </x:c>
      <x:c r="B193" s="6" t="inlineStr">
        <x:is>
          <x:t xml:space="preserve">PV</x:t>
        </x:is>
      </x:c>
      <x:c r="C193" s="6" t="inlineStr">
        <x:is>
          <x:t xml:space="preserve">PV-5</x:t>
        </x:is>
      </x:c>
      <x:c r="D193" s="6" t="inlineStr">
        <x:is>
          <x:t xml:space="preserve">PV-5</x:t>
        </x:is>
      </x:c>
      <x:c r="E193" s="7" t="n">
        <x:v>7399461.175589998</x:v>
      </x:c>
      <x:c r="F193" s="7" t="n">
        <x:v>356359.3259000001</x:v>
      </x:c>
      <x:c r="G193" s="7" t="n">
        <x:v>-23.5087069</x:v>
      </x:c>
      <x:c r="H193" s="7" t="n">
        <x:v>-46.4068556</x:v>
      </x:c>
      <x:c r="I193" s="7" t="n">
        <x:v>745.21</x:v>
      </x:c>
      <x:c r="J193" s="7" t="n">
        <x:v>743.45</x:v>
      </x:c>
      <x:c r="K193" s="7" t="n">
        <x:v>1.76</x:v>
      </x:c>
      <x:c r="L193" s="6" t="n"/>
    </x:row>
    <x:row r="194">
      <x:c r="A194" s="6" t="inlineStr">
        <x:is>
          <x:t xml:space="preserve">ct_jaragua</x:t>
        </x:is>
      </x:c>
      <x:c r="B194" s="6" t="inlineStr">
        <x:is>
          <x:t xml:space="preserve">PV</x:t>
        </x:is>
      </x:c>
      <x:c r="C194" s="6" t="inlineStr">
        <x:is>
          <x:t xml:space="preserve">PV-2</x:t>
        </x:is>
      </x:c>
      <x:c r="D194" s="6" t="inlineStr">
        <x:is>
          <x:t xml:space="preserve">PV-2</x:t>
        </x:is>
      </x:c>
      <x:c r="E194" s="7" t="n">
        <x:v>7399562.684460001</x:v>
      </x:c>
      <x:c r="F194" s="7" t="n">
        <x:v>356411.7834799994</x:v>
      </x:c>
      <x:c r="G194" s="7" t="n">
        <x:v>-23.5077949</x:v>
      </x:c>
      <x:c r="H194" s="7" t="n">
        <x:v>-46.4063322</x:v>
      </x:c>
      <x:c r="I194" s="7" t="n">
        <x:v>743.768</x:v>
      </x:c>
      <x:c r="J194" s="7" t="n">
        <x:v>739.688</x:v>
      </x:c>
      <x:c r="K194" s="7" t="n">
        <x:v>4.08</x:v>
      </x:c>
      <x:c r="L194" s="6" t="n"/>
    </x:row>
    <x:row r="195">
      <x:c r="A195" s="6" t="inlineStr">
        <x:is>
          <x:t xml:space="preserve">ct_jaragua</x:t>
        </x:is>
      </x:c>
      <x:c r="B195" s="6" t="inlineStr">
        <x:is>
          <x:t xml:space="preserve">PV</x:t>
        </x:is>
      </x:c>
      <x:c r="C195" s="6" t="inlineStr">
        <x:is>
          <x:t xml:space="preserve">PV-1</x:t>
        </x:is>
      </x:c>
      <x:c r="D195" s="6" t="inlineStr">
        <x:is>
          <x:t xml:space="preserve">PV-1</x:t>
        </x:is>
      </x:c>
      <x:c r="E195" s="7" t="n">
        <x:v>7399562.767529999</x:v>
      </x:c>
      <x:c r="F195" s="7" t="n">
        <x:v>356437.7037299993</x:v>
      </x:c>
      <x:c r="G195" s="7" t="n">
        <x:v>-23.5077965</x:v>
      </x:c>
      <x:c r="H195" s="7" t="n">
        <x:v>-46.4060783</x:v>
      </x:c>
      <x:c r="I195" s="7" t="n">
        <x:v>743.682</x:v>
      </x:c>
      <x:c r="J195" s="7" t="n">
        <x:v>739.412</x:v>
      </x:c>
      <x:c r="K195" s="7" t="n">
        <x:v>4.27</x:v>
      </x:c>
      <x:c r="L195" s="6" t="n"/>
    </x:row>
    <x:row r="196">
      <x:c r="A196" s="6" t="inlineStr">
        <x:is>
          <x:t xml:space="preserve">ct_jaragua</x:t>
        </x:is>
      </x:c>
      <x:c r="B196" s="6" t="inlineStr">
        <x:is>
          <x:t xml:space="preserve">PV</x:t>
        </x:is>
      </x:c>
      <x:c r="C196" s="6" t="inlineStr">
        <x:is>
          <x:t xml:space="preserve">PV-4</x:t>
        </x:is>
      </x:c>
      <x:c r="D196" s="6" t="inlineStr">
        <x:is>
          <x:t xml:space="preserve">PV-4</x:t>
        </x:is>
      </x:c>
      <x:c r="E196" s="7" t="n">
        <x:v>7399509.5189</x:v>
      </x:c>
      <x:c r="F196" s="7" t="n">
        <x:v>356388.319470001</x:v>
      </x:c>
      <x:c r="G196" s="7" t="n">
        <x:v>-23.5082729</x:v>
      </x:c>
      <x:c r="H196" s="7" t="n">
        <x:v>-46.406567</x:v>
      </x:c>
      <x:c r="I196" s="7" t="n">
        <x:v>744.1130000000001</x:v>
      </x:c>
      <x:c r="J196" s="7" t="n">
        <x:v>742.073</x:v>
      </x:c>
      <x:c r="K196" s="7" t="n">
        <x:v>2.04</x:v>
      </x:c>
      <x:c r="L196" s="6" t="n"/>
    </x:row>
    <x:row r="197">
      <x:c r="A197" s="6" t="inlineStr">
        <x:is>
          <x:t xml:space="preserve">ct_jaragua</x:t>
        </x:is>
      </x:c>
      <x:c r="B197" s="6" t="inlineStr">
        <x:is>
          <x:t xml:space="preserve">PV</x:t>
        </x:is>
      </x:c>
      <x:c r="C197" s="6" t="inlineStr">
        <x:is>
          <x:t xml:space="preserve">PV-11</x:t>
        </x:is>
      </x:c>
      <x:c r="D197" s="6" t="inlineStr">
        <x:is>
          <x:t xml:space="preserve">PV-11</x:t>
        </x:is>
      </x:c>
      <x:c r="E197" s="7" t="n">
        <x:v>7399263.38259</x:v>
      </x:c>
      <x:c r="F197" s="7" t="n">
        <x:v>356220.63921</x:v>
      </x:c>
      <x:c r="G197" s="7" t="n">
        <x:v>-23.5104807</x:v>
      </x:c>
      <x:c r="H197" s="7" t="n">
        <x:v>-46.4082326</x:v>
      </x:c>
      <x:c r="I197" s="7" t="n">
        <x:v>754.241</x:v>
      </x:c>
      <x:c r="J197" s="7" t="n">
        <x:v>751.761</x:v>
      </x:c>
      <x:c r="K197" s="7" t="n">
        <x:v>2.48</x:v>
      </x:c>
      <x:c r="L197" s="6" t="n"/>
    </x:row>
    <x:row r="198">
      <x:c r="A198" s="6" t="inlineStr">
        <x:is>
          <x:t xml:space="preserve">ct_jaragua</x:t>
        </x:is>
      </x:c>
      <x:c r="B198" s="6" t="inlineStr">
        <x:is>
          <x:t xml:space="preserve">PV</x:t>
        </x:is>
      </x:c>
      <x:c r="C198" s="6" t="inlineStr">
        <x:is>
          <x:t xml:space="preserve">PV-8</x:t>
        </x:is>
      </x:c>
      <x:c r="D198" s="6" t="inlineStr">
        <x:is>
          <x:t xml:space="preserve">PV-8</x:t>
        </x:is>
      </x:c>
      <x:c r="E198" s="7" t="n">
        <x:v>7399403.915210001</x:v>
      </x:c>
      <x:c r="F198" s="7" t="n">
        <x:v>356317.7135300025</x:v>
      </x:c>
      <x:c r="G198" s="7" t="n">
        <x:v>-23.5092203</x:v>
      </x:c>
      <x:c r="H198" s="7" t="n">
        <x:v>-46.4072685</x:v>
      </x:c>
      <x:c r="I198" s="7" t="n">
        <x:v>748.149</x:v>
      </x:c>
      <x:c r="J198" s="7" t="n">
        <x:v>745.669</x:v>
      </x:c>
      <x:c r="K198" s="7" t="n">
        <x:v>2.48</x:v>
      </x:c>
      <x:c r="L198" s="6" t="n"/>
    </x:row>
    <x:row r="199">
      <x:c r="A199" s="6" t="inlineStr">
        <x:is>
          <x:t xml:space="preserve">ct_jaragua</x:t>
        </x:is>
      </x:c>
      <x:c r="B199" s="6" t="inlineStr">
        <x:is>
          <x:t xml:space="preserve">PV</x:t>
        </x:is>
      </x:c>
      <x:c r="C199" s="6" t="inlineStr">
        <x:is>
          <x:t xml:space="preserve">PV-1</x:t>
        </x:is>
      </x:c>
      <x:c r="D199" s="6" t="inlineStr">
        <x:is>
          <x:t xml:space="preserve">PV-1</x:t>
        </x:is>
      </x:c>
      <x:c r="E199" s="7" t="n">
        <x:v>7399563.67269</x:v>
      </x:c>
      <x:c r="F199" s="7" t="n">
        <x:v>356439.52896</x:v>
      </x:c>
      <x:c r="G199" s="7" t="n">
        <x:v>-23.5077884</x:v>
      </x:c>
      <x:c r="H199" s="7" t="n">
        <x:v>-46.4060604</x:v>
      </x:c>
      <x:c r="I199" s="7" t="n">
        <x:v>743.579</x:v>
      </x:c>
      <x:c r="J199" s="7" t="n">
        <x:v>734.2190000000001</x:v>
      </x:c>
      <x:c r="K199" s="7" t="n">
        <x:v>9.359999999999999</x:v>
      </x:c>
      <x:c r="L199" s="6" t="inlineStr">
        <x:is>
          <x:t xml:space="preserve">PVE-1</x:t>
        </x:is>
      </x:c>
    </x:row>
    <x:row r="200">
      <x:c r="A200" s="6" t="inlineStr">
        <x:is>
          <x:t xml:space="preserve">rce_barao_luis_de_arariba</x:t>
        </x:is>
      </x:c>
      <x:c r="B200" s="6" t="inlineStr">
        <x:is>
          <x:t xml:space="preserve">PV</x:t>
        </x:is>
      </x:c>
      <x:c r="C200" s="6" t="inlineStr">
        <x:is>
          <x:t xml:space="preserve">PV-001</x:t>
        </x:is>
      </x:c>
      <x:c r="D200" s="6" t="inlineStr">
        <x:is>
          <x:t xml:space="preserve">PV-001</x:t>
        </x:is>
      </x:c>
      <x:c r="E200" s="7" t="n">
        <x:v>7398336.324029571</x:v>
      </x:c>
      <x:c r="F200" s="7" t="n">
        <x:v>357140.1271921896</x:v>
      </x:c>
      <x:c r="G200" s="7" t="n">
        <x:v>-23.5189334</x:v>
      </x:c>
      <x:c r="H200" s="7" t="n">
        <x:v>-46.3993173</x:v>
      </x:c>
      <x:c r="I200" s="6" t="n"/>
      <x:c r="J200" s="6" t="n"/>
      <x:c r="K200" s="6" t="n"/>
      <x:c r="L200" s="6" t="n"/>
    </x:row>
    <x:row r="201">
      <x:c r="A201" s="6" t="inlineStr">
        <x:is>
          <x:t xml:space="preserve">rce_barao_luis_de_arariba</x:t>
        </x:is>
      </x:c>
      <x:c r="B201" s="6" t="inlineStr">
        <x:is>
          <x:t xml:space="preserve">PV</x:t>
        </x:is>
      </x:c>
      <x:c r="C201" s="6" t="inlineStr">
        <x:is>
          <x:t xml:space="preserve">PV-002</x:t>
        </x:is>
      </x:c>
      <x:c r="D201" s="6" t="inlineStr">
        <x:is>
          <x:t xml:space="preserve">PV-002</x:t>
        </x:is>
      </x:c>
      <x:c r="E201" s="7" t="n">
        <x:v>7398261.69</x:v>
      </x:c>
      <x:c r="F201" s="7" t="n">
        <x:v>357177.7100000001</x:v>
      </x:c>
      <x:c r="G201" s="7" t="n">
        <x:v>-23.5196106</x:v>
      </x:c>
      <x:c r="H201" s="7" t="n">
        <x:v>-46.3989564</x:v>
      </x:c>
      <x:c r="I201" s="6" t="n"/>
      <x:c r="J201" s="6" t="n"/>
      <x:c r="K201" s="6" t="n"/>
      <x:c r="L201" s="6" t="n"/>
    </x:row>
    <x:row r="202">
      <x:c r="A202" s="6" t="inlineStr">
        <x:is>
          <x:t xml:space="preserve">rce_barao_luis_de_arariba</x:t>
        </x:is>
      </x:c>
      <x:c r="B202" s="6" t="inlineStr">
        <x:is>
          <x:t xml:space="preserve">PV</x:t>
        </x:is>
      </x:c>
      <x:c r="C202" s="6" t="inlineStr">
        <x:is>
          <x:t xml:space="preserve">PV-003</x:t>
        </x:is>
      </x:c>
      <x:c r="D202" s="6" t="inlineStr">
        <x:is>
          <x:t xml:space="preserve">PV-003</x:t>
        </x:is>
      </x:c>
      <x:c r="E202" s="7" t="n">
        <x:v>7398183.355999999</x:v>
      </x:c>
      <x:c r="F202" s="7" t="n">
        <x:v>357202.623</x:v>
      </x:c>
      <x:c r="G202" s="7" t="n">
        <x:v>-23.5203202</x:v>
      </x:c>
      <x:c r="H202" s="7" t="n">
        <x:v>-46.3987199</x:v>
      </x:c>
      <x:c r="I202" s="6" t="n"/>
      <x:c r="J202" s="6" t="n"/>
      <x:c r="K202" s="6" t="n"/>
      <x:c r="L202" s="6" t="n"/>
    </x:row>
    <x:row r="203">
      <x:c r="A203" s="6" t="inlineStr">
        <x:is>
          <x:t xml:space="preserve">rce_barao_luis_de_arariba</x:t>
        </x:is>
      </x:c>
      <x:c r="B203" s="6" t="inlineStr">
        <x:is>
          <x:t xml:space="preserve">PV</x:t>
        </x:is>
      </x:c>
      <x:c r="C203" s="6" t="inlineStr">
        <x:is>
          <x:t xml:space="preserve">PV-004</x:t>
        </x:is>
      </x:c>
      <x:c r="D203" s="6" t="inlineStr">
        <x:is>
          <x:t xml:space="preserve">PV-004</x:t>
        </x:is>
      </x:c>
      <x:c r="E203" s="7" t="n">
        <x:v>7398204.769999999</x:v>
      </x:c>
      <x:c r="F203" s="7" t="n">
        <x:v>357252.6100000001</x:v>
      </x:c>
      <x:c r="G203" s="7" t="n">
        <x:v>-23.5201312</x:v>
      </x:c>
      <x:c r="H203" s="7" t="n">
        <x:v>-46.3982283</x:v>
      </x:c>
      <x:c r="I203" s="6" t="n"/>
      <x:c r="J203" s="6" t="n"/>
      <x:c r="K203" s="6" t="n"/>
      <x:c r="L203" s="6" t="n"/>
    </x:row>
    <x:row r="204">
      <x:c r="A204" s="6" t="inlineStr">
        <x:is>
          <x:t xml:space="preserve">rce_barao_luis_de_arariba</x:t>
        </x:is>
      </x:c>
      <x:c r="B204" s="6" t="inlineStr">
        <x:is>
          <x:t xml:space="preserve">PV</x:t>
        </x:is>
      </x:c>
      <x:c r="C204" s="6" t="inlineStr">
        <x:is>
          <x:t xml:space="preserve">PV-005</x:t>
        </x:is>
      </x:c>
      <x:c r="D204" s="6" t="inlineStr">
        <x:is>
          <x:t xml:space="preserve">PV-005</x:t>
        </x:is>
      </x:c>
      <x:c r="E204" s="7" t="n">
        <x:v>7398206.3</x:v>
      </x:c>
      <x:c r="F204" s="7" t="n">
        <x:v>357256.1455230001</x:v>
      </x:c>
      <x:c r="G204" s="7" t="n">
        <x:v>-23.5201177</x:v>
      </x:c>
      <x:c r="H204" s="7" t="n">
        <x:v>-46.3981936</x:v>
      </x:c>
      <x:c r="I204" s="6" t="n"/>
      <x:c r="J204" s="6" t="n"/>
      <x:c r="K204" s="6" t="n"/>
      <x:c r="L204" s="6" t="n"/>
    </x:row>
    <x:row r="205">
      <x:c r="A205" s="6" t="inlineStr">
        <x:is>
          <x:t xml:space="preserve">rce_barao_luis_de_arariba</x:t>
        </x:is>
      </x:c>
      <x:c r="B205" s="6" t="inlineStr">
        <x:is>
          <x:t xml:space="preserve">PV</x:t>
        </x:is>
      </x:c>
      <x:c r="C205" s="6" t="inlineStr">
        <x:is>
          <x:t xml:space="preserve">PV-006</x:t>
        </x:is>
      </x:c>
      <x:c r="D205" s="6" t="inlineStr">
        <x:is>
          <x:t xml:space="preserve">PV-006</x:t>
        </x:is>
      </x:c>
      <x:c r="E205" s="7" t="n">
        <x:v>7398198.755000001</x:v>
      </x:c>
      <x:c r="F205" s="7" t="n">
        <x:v>357265.591</x:v>
      </x:c>
      <x:c r="G205" s="7" t="n">
        <x:v>-23.5201867</x:v>
      </x:c>
      <x:c r="H205" s="7" t="n">
        <x:v>-46.3981018</x:v>
      </x:c>
      <x:c r="I205" s="6" t="n"/>
      <x:c r="J205" s="6" t="n"/>
      <x:c r="K205" s="6" t="n"/>
      <x:c r="L205" s="6" t="n"/>
    </x:row>
    <x:row r="206">
      <x:c r="A206" s="6" t="inlineStr">
        <x:is>
          <x:t xml:space="preserve">rce_barao_luis_de_arariba</x:t>
        </x:is>
      </x:c>
      <x:c r="B206" s="6" t="inlineStr">
        <x:is>
          <x:t xml:space="preserve">PV</x:t>
        </x:is>
      </x:c>
      <x:c r="C206" s="6" t="inlineStr">
        <x:is>
          <x:t xml:space="preserve">PV-007</x:t>
        </x:is>
      </x:c>
      <x:c r="D206" s="6" t="inlineStr">
        <x:is>
          <x:t xml:space="preserve">PV-007</x:t>
        </x:is>
      </x:c>
      <x:c r="E206" s="7" t="n">
        <x:v>7398117.59</x:v>
      </x:c>
      <x:c r="F206" s="7" t="n">
        <x:v>357205.166</x:v>
      </x:c>
      <x:c r="G206" s="7" t="n">
        <x:v>-23.5209143</x:v>
      </x:c>
      <x:c r="H206" s="7" t="n">
        <x:v>-46.3987013</x:v>
      </x:c>
      <x:c r="I206" s="6" t="n"/>
      <x:c r="J206" s="6" t="n"/>
      <x:c r="K206" s="6" t="n"/>
      <x:c r="L206" s="6" t="n"/>
    </x:row>
    <x:row r="207">
      <x:c r="A207" s="6" t="inlineStr">
        <x:is>
          <x:t xml:space="preserve">rce_barao_luis_de_arariba</x:t>
        </x:is>
      </x:c>
      <x:c r="B207" s="6" t="inlineStr">
        <x:is>
          <x:t xml:space="preserve">PV</x:t>
        </x:is>
      </x:c>
      <x:c r="C207" s="6" t="inlineStr">
        <x:is>
          <x:t xml:space="preserve">PV-008</x:t>
        </x:is>
      </x:c>
      <x:c r="D207" s="6" t="inlineStr">
        <x:is>
          <x:t xml:space="preserve">PV-008</x:t>
        </x:is>
      </x:c>
      <x:c r="E207" s="7" t="n">
        <x:v>7398058.081</x:v>
      </x:c>
      <x:c r="F207" s="7" t="n">
        <x:v>357210.88</x:v>
      </x:c>
      <x:c r="G207" s="7" t="n">
        <x:v>-23.5214522</x:v>
      </x:c>
      <x:c r="H207" s="7" t="n">
        <x:v>-46.398651</x:v>
      </x:c>
      <x:c r="I207" s="6" t="n"/>
      <x:c r="J207" s="6" t="n"/>
      <x:c r="K207" s="6" t="n"/>
      <x:c r="L207" s="6" t="n"/>
    </x:row>
    <x:row r="208">
      <x:c r="A208" s="6" t="inlineStr">
        <x:is>
          <x:t xml:space="preserve">rce_barao_luis_de_arariba</x:t>
        </x:is>
      </x:c>
      <x:c r="B208" s="6" t="inlineStr">
        <x:is>
          <x:t xml:space="preserve">PV</x:t>
        </x:is>
      </x:c>
      <x:c r="C208" s="6" t="inlineStr">
        <x:is>
          <x:t xml:space="preserve">PV-009</x:t>
        </x:is>
      </x:c>
      <x:c r="D208" s="6" t="inlineStr">
        <x:is>
          <x:t xml:space="preserve">PV-009</x:t>
        </x:is>
      </x:c>
      <x:c r="E208" s="7" t="n">
        <x:v>7398057.58</x:v>
      </x:c>
      <x:c r="F208" s="7" t="n">
        <x:v>357213.3200000001</x:v>
      </x:c>
      <x:c r="G208" s="7" t="n">
        <x:v>-23.5214569</x:v>
      </x:c>
      <x:c r="H208" s="7" t="n">
        <x:v>-46.3986271</x:v>
      </x:c>
      <x:c r="I208" s="6" t="n"/>
      <x:c r="J208" s="6" t="n"/>
      <x:c r="K208" s="6" t="n"/>
      <x:c r="L208" s="6" t="n"/>
    </x:row>
    <x:row r="209">
      <x:c r="A209" s="6" t="inlineStr">
        <x:is>
          <x:t xml:space="preserve">rce_barao_luis_de_arariba</x:t>
        </x:is>
      </x:c>
      <x:c r="B209" s="6" t="inlineStr">
        <x:is>
          <x:t xml:space="preserve">PV</x:t>
        </x:is>
      </x:c>
      <x:c r="C209" s="6" t="inlineStr">
        <x:is>
          <x:t xml:space="preserve">PV-010</x:t>
        </x:is>
      </x:c>
      <x:c r="D209" s="6" t="inlineStr">
        <x:is>
          <x:t xml:space="preserve">PV-010</x:t>
        </x:is>
      </x:c>
      <x:c r="E209" s="7" t="n">
        <x:v>7398014.045</x:v>
      </x:c>
      <x:c r="F209" s="7" t="n">
        <x:v>357237.3690000001</x:v>
      </x:c>
      <x:c r="G209" s="7" t="n">
        <x:v>-23.5218522</x:v>
      </x:c>
      <x:c r="H209" s="7" t="n">
        <x:v>-46.3983958</x:v>
      </x:c>
      <x:c r="I209" s="6" t="n"/>
      <x:c r="J209" s="6" t="n"/>
      <x:c r="K209" s="6" t="n"/>
      <x:c r="L209" s="6" t="n"/>
    </x:row>
    <x:row r="210">
      <x:c r="A210" s="6" t="inlineStr">
        <x:is>
          <x:t xml:space="preserve">rce_barao_luis_de_arariba</x:t>
        </x:is>
      </x:c>
      <x:c r="B210" s="6" t="inlineStr">
        <x:is>
          <x:t xml:space="preserve">PV</x:t>
        </x:is>
      </x:c>
      <x:c r="C210" s="6" t="inlineStr">
        <x:is>
          <x:t xml:space="preserve">PV-011</x:t>
        </x:is>
      </x:c>
      <x:c r="D210" s="6" t="inlineStr">
        <x:is>
          <x:t xml:space="preserve">PV-011</x:t>
        </x:is>
      </x:c>
      <x:c r="E210" s="7" t="n">
        <x:v>7397992.43</x:v>
      </x:c>
      <x:c r="F210" s="7" t="n">
        <x:v>357303.64</x:v>
      </x:c>
      <x:c r="G210" s="7" t="n">
        <x:v>-23.5220532</x:v>
      </x:c>
      <x:c r="H210" s="7" t="n">
        <x:v>-46.3977489</x:v>
      </x:c>
      <x:c r="I210" s="6" t="n"/>
      <x:c r="J210" s="6" t="n"/>
      <x:c r="K210" s="6" t="n"/>
      <x:c r="L210" s="6" t="n"/>
    </x:row>
    <x:row r="211">
      <x:c r="A211" s="6" t="inlineStr">
        <x:is>
          <x:t xml:space="preserve">rce_barao_luis_de_arariba</x:t>
        </x:is>
      </x:c>
      <x:c r="B211" s="6" t="inlineStr">
        <x:is>
          <x:t xml:space="preserve">PV</x:t>
        </x:is>
      </x:c>
      <x:c r="C211" s="6" t="inlineStr">
        <x:is>
          <x:t xml:space="preserve">PV-012</x:t>
        </x:is>
      </x:c>
      <x:c r="D211" s="6" t="inlineStr">
        <x:is>
          <x:t xml:space="preserve">PV-012</x:t>
        </x:is>
      </x:c>
      <x:c r="E211" s="7" t="n">
        <x:v>7398016</x:v>
      </x:c>
      <x:c r="F211" s="7" t="n">
        <x:v>357320.43</x:v>
      </x:c>
      <x:c r="G211" s="7" t="n">
        <x:v>-23.5218418</x:v>
      </x:c>
      <x:c r="H211" s="7" t="n">
        <x:v>-46.3975822</x:v>
      </x:c>
      <x:c r="I211" s="6" t="n"/>
      <x:c r="J211" s="6" t="n"/>
      <x:c r="K211" s="6" t="n"/>
      <x:c r="L211" s="6" t="n"/>
    </x:row>
    <x:row r="212">
      <x:c r="A212" s="6" t="inlineStr">
        <x:is>
          <x:t xml:space="preserve">rce_barao_luis_de_arariba</x:t>
        </x:is>
      </x:c>
      <x:c r="B212" s="6" t="inlineStr">
        <x:is>
          <x:t xml:space="preserve">PV</x:t>
        </x:is>
      </x:c>
      <x:c r="C212" s="6" t="inlineStr">
        <x:is>
          <x:t xml:space="preserve">PV-013</x:t>
        </x:is>
      </x:c>
      <x:c r="D212" s="6" t="inlineStr">
        <x:is>
          <x:t xml:space="preserve">PV-013</x:t>
        </x:is>
      </x:c>
      <x:c r="E212" s="7" t="n">
        <x:v>7398029.61</x:v>
      </x:c>
      <x:c r="F212" s="7" t="n">
        <x:v>357297.6500000001</x:v>
      </x:c>
      <x:c r="G212" s="7" t="n">
        <x:v>-23.5217169</x:v>
      </x:c>
      <x:c r="H212" s="7" t="n">
        <x:v>-46.397804</x:v>
      </x:c>
      <x:c r="I212" s="6" t="n"/>
      <x:c r="J212" s="6" t="n"/>
      <x:c r="K212" s="6" t="n"/>
      <x:c r="L212" s="6" t="n"/>
    </x:row>
    <x:row r="213">
      <x:c r="A213" s="6" t="inlineStr">
        <x:is>
          <x:t xml:space="preserve">rce_barao_luis_de_arariba</x:t>
        </x:is>
      </x:c>
      <x:c r="B213" s="6" t="inlineStr">
        <x:is>
          <x:t xml:space="preserve">PV</x:t>
        </x:is>
      </x:c>
      <x:c r="C213" s="6" t="inlineStr">
        <x:is>
          <x:t xml:space="preserve">PV-014</x:t>
        </x:is>
      </x:c>
      <x:c r="D213" s="6" t="inlineStr">
        <x:is>
          <x:t xml:space="preserve">PV-014</x:t>
        </x:is>
      </x:c>
      <x:c r="E213" s="7" t="n">
        <x:v>7398029.32</x:v>
      </x:c>
      <x:c r="F213" s="7" t="n">
        <x:v>357298.85</x:v>
      </x:c>
      <x:c r="G213" s="7" t="n">
        <x:v>-23.5217196</x:v>
      </x:c>
      <x:c r="H213" s="7" t="n">
        <x:v>-46.3977922</x:v>
      </x:c>
      <x:c r="I213" s="6" t="n"/>
      <x:c r="J213" s="6" t="n"/>
      <x:c r="K213" s="6" t="n"/>
      <x:c r="L213" s="6" t="n"/>
    </x:row>
    <x:row r="214">
      <x:c r="A214" s="6" t="inlineStr">
        <x:is>
          <x:t xml:space="preserve">rce_barao_luis_de_arariba</x:t>
        </x:is>
      </x:c>
      <x:c r="B214" s="6" t="inlineStr">
        <x:is>
          <x:t xml:space="preserve">PV</x:t>
        </x:is>
      </x:c>
      <x:c r="C214" s="6" t="inlineStr">
        <x:is>
          <x:t xml:space="preserve">PV-015</x:t>
        </x:is>
      </x:c>
      <x:c r="D214" s="6" t="inlineStr">
        <x:is>
          <x:t xml:space="preserve">PV-015</x:t>
        </x:is>
      </x:c>
      <x:c r="E214" s="7" t="n">
        <x:v>7398043.006</x:v>
      </x:c>
      <x:c r="F214" s="7" t="n">
        <x:v>357276.807</x:v>
      </x:c>
      <x:c r="G214" s="7" t="n">
        <x:v>-23.5215941</x:v>
      </x:c>
      <x:c r="H214" s="7" t="n">
        <x:v>-46.3980068</x:v>
      </x:c>
      <x:c r="I214" s="6" t="n"/>
      <x:c r="J214" s="6" t="n"/>
      <x:c r="K214" s="6" t="n"/>
      <x:c r="L214" s="6" t="n"/>
    </x:row>
    <x:row r="215">
      <x:c r="A215" s="6" t="inlineStr">
        <x:is>
          <x:t xml:space="preserve">rce_barao_luis_de_arariba</x:t>
        </x:is>
      </x:c>
      <x:c r="B215" s="6" t="inlineStr">
        <x:is>
          <x:t xml:space="preserve">PV</x:t>
        </x:is>
      </x:c>
      <x:c r="C215" s="6" t="inlineStr">
        <x:is>
          <x:t xml:space="preserve">PT-001</x:t>
        </x:is>
      </x:c>
      <x:c r="D215" s="6" t="inlineStr">
        <x:is>
          <x:t xml:space="preserve">PT-001</x:t>
        </x:is>
      </x:c>
      <x:c r="E215" s="7" t="n">
        <x:v>7398372.251</x:v>
      </x:c>
      <x:c r="F215" s="7" t="n">
        <x:v>357107.154</x:v>
      </x:c>
      <x:c r="G215" s="7" t="n">
        <x:v>-23.5186061</x:v>
      </x:c>
      <x:c r="H215" s="7" t="n">
        <x:v>-46.3996368</x:v>
      </x:c>
      <x:c r="I215" s="6" t="n"/>
      <x:c r="J215" s="6" t="n"/>
      <x:c r="K215" s="6" t="n"/>
      <x:c r="L215" s="6" t="inlineStr">
        <x:is>
          <x:t xml:space="preserve">Ponto gerado automaticamente pela extremidade da rede.</x:t>
        </x:is>
      </x:c>
    </x:row>
    <x:row r="216">
      <x:c r="A216" s="6" t="inlineStr">
        <x:is>
          <x:t xml:space="preserve">rede_se_liga_na_rede_lourdes</x:t>
        </x:is>
      </x:c>
      <x:c r="B216" s="6" t="inlineStr">
        <x:is>
          <x:t xml:space="preserve">PV</x:t>
        </x:is>
      </x:c>
      <x:c r="C216" s="6" t="inlineStr">
        <x:is>
          <x:t xml:space="preserve">PT-001</x:t>
        </x:is>
      </x:c>
      <x:c r="D216" s="6" t="inlineStr">
        <x:is>
          <x:t xml:space="preserve">PT-001</x:t>
        </x:is>
      </x:c>
      <x:c r="E216" s="7" t="n">
        <x:v>7397310.4544</x:v>
      </x:c>
      <x:c r="F216" s="7" t="n">
        <x:v>358093.8902000003</x:v>
      </x:c>
      <x:c r="G216" s="7" t="n">
        <x:v>-23.5282808</x:v>
      </x:c>
      <x:c r="H216" s="7" t="n">
        <x:v>-46.3900746</x:v>
      </x:c>
      <x:c r="I216" s="6" t="n"/>
      <x:c r="J216" s="6" t="n"/>
      <x:c r="K216" s="6" t="n"/>
      <x:c r="L216" s="6" t="inlineStr">
        <x:is>
          <x:t xml:space="preserve">Ponto gerado automaticamente pela extremidade da rede.</x:t>
        </x:is>
      </x:c>
    </x:row>
    <x:row r="217">
      <x:c r="A217" s="6" t="inlineStr">
        <x:is>
          <x:t xml:space="preserve">rede_se_liga_na_rede_lourdes</x:t>
        </x:is>
      </x:c>
      <x:c r="B217" s="6" t="inlineStr">
        <x:is>
          <x:t xml:space="preserve">PV</x:t>
        </x:is>
      </x:c>
      <x:c r="C217" s="6" t="inlineStr">
        <x:is>
          <x:t xml:space="preserve">PT-002</x:t>
        </x:is>
      </x:c>
      <x:c r="D217" s="6" t="inlineStr">
        <x:is>
          <x:t xml:space="preserve">PT-002</x:t>
        </x:is>
      </x:c>
      <x:c r="E217" s="7" t="n">
        <x:v>7397175.412165041</x:v>
      </x:c>
      <x:c r="F217" s="7" t="n">
        <x:v>358017.083279582</x:v>
      </x:c>
      <x:c r="G217" s="7" t="n">
        <x:v>-23.5294936</x:v>
      </x:c>
      <x:c r="H217" s="7" t="n">
        <x:v>-46.3908396</x:v>
      </x:c>
      <x:c r="I217" s="6" t="n"/>
      <x:c r="J217" s="6" t="n"/>
      <x:c r="K217" s="6" t="n"/>
      <x:c r="L217" s="6" t="inlineStr">
        <x:is>
          <x:t xml:space="preserve">Ponto gerado automaticamente pela extremidade da rede.</x:t>
        </x:is>
      </x:c>
    </x:row>
    <x:row r="218">
      <x:c r="A218" s="6" t="inlineStr">
        <x:is>
          <x:t xml:space="preserve">ct_jardim_miriam_blocos_05_a_09</x:t>
        </x:is>
      </x:c>
      <x:c r="B218" s="6" t="inlineStr">
        <x:is>
          <x:t xml:space="preserve">PI</x:t>
        </x:is>
      </x:c>
      <x:c r="C218" s="6" t="inlineStr">
        <x:is>
          <x:t xml:space="preserve">PI-181</x:t>
        </x:is>
      </x:c>
      <x:c r="D218" s="6" t="inlineStr">
        <x:is>
          <x:t xml:space="preserve">PI-181</x:t>
        </x:is>
      </x:c>
      <x:c r="E218" s="7" t="n">
        <x:v>7398353.427047001</x:v>
      </x:c>
      <x:c r="F218" s="7" t="n">
        <x:v>357274.0772110001</x:v>
      </x:c>
      <x:c r="G218" s="7" t="n">
        <x:v>-23.5187907</x:v>
      </x:c>
      <x:c r="H218" s="7" t="n">
        <x:v>-46.3980039</x:v>
      </x:c>
      <x:c r="I218" s="7" t="n">
        <x:v>748.667</x:v>
      </x:c>
      <x:c r="J218" s="7" t="n">
        <x:v>747.2670000000001</x:v>
      </x:c>
      <x:c r="K218" s="7" t="n">
        <x:v>1.4</x:v>
      </x:c>
      <x:c r="L218" s="6" t="inlineStr">
        <x:is>
          <x:t xml:space="preserve">Conforme Projeto, considerar o PI 181 como 18.1, uma vez que o campo não aceita caracteres especiais.</x:t>
        </x:is>
      </x:c>
    </x:row>
    <x:row r="219">
      <x:c r="A219" s="6" t="inlineStr">
        <x:is>
          <x:t xml:space="preserve">ct_jardim_miriam_blocos_05_a_09</x:t>
        </x:is>
      </x:c>
      <x:c r="B219" s="6" t="inlineStr">
        <x:is>
          <x:t xml:space="preserve">PI</x:t>
        </x:is>
      </x:c>
      <x:c r="C219" s="6" t="inlineStr">
        <x:is>
          <x:t xml:space="preserve">PI-182</x:t>
        </x:is>
      </x:c>
      <x:c r="D219" s="6" t="inlineStr">
        <x:is>
          <x:t xml:space="preserve">PI-182</x:t>
        </x:is>
      </x:c>
      <x:c r="E219" s="7" t="n">
        <x:v>7398355.907696001</x:v>
      </x:c>
      <x:c r="F219" s="7" t="n">
        <x:v>357276.578473</x:v>
      </x:c>
      <x:c r="G219" s="7" t="n">
        <x:v>-23.5187685</x:v>
      </x:c>
      <x:c r="H219" s="7" t="n">
        <x:v>-46.3979792</x:v>
      </x:c>
      <x:c r="I219" s="7" t="n">
        <x:v>748.727</x:v>
      </x:c>
      <x:c r="J219" s="7" t="n">
        <x:v>747.407</x:v>
      </x:c>
      <x:c r="K219" s="7" t="n">
        <x:v>1.32</x:v>
      </x:c>
      <x:c r="L219" s="6" t="inlineStr">
        <x:is>
          <x:t xml:space="preserve">Conforme Projeto, considerar o PI 182 como 18.2, uma vez que o campo não aceita caracteres especiais.</x:t>
        </x:is>
      </x:c>
    </x:row>
    <x:row r="220">
      <x:c r="A220" s="6" t="inlineStr">
        <x:is>
          <x:t xml:space="preserve">ct_jardim_miriam_blocos_05_a_09</x:t>
        </x:is>
      </x:c>
      <x:c r="B220" s="6" t="inlineStr">
        <x:is>
          <x:t xml:space="preserve">PI</x:t>
        </x:is>
      </x:c>
      <x:c r="C220" s="6" t="inlineStr">
        <x:is>
          <x:t xml:space="preserve">PI-183</x:t>
        </x:is>
      </x:c>
      <x:c r="D220" s="6" t="inlineStr">
        <x:is>
          <x:t xml:space="preserve">PI-183</x:t>
        </x:is>
      </x:c>
      <x:c r="E220" s="7" t="n">
        <x:v>7398362.271408</x:v>
      </x:c>
      <x:c r="F220" s="7" t="n">
        <x:v>357274.341389</x:v>
      </x:c>
      <x:c r="G220" s="7" t="n">
        <x:v>-23.5187109</x:v>
      </x:c>
      <x:c r="H220" s="7" t="n">
        <x:v>-46.3980005</x:v>
      </x:c>
      <x:c r="I220" s="7" t="n">
        <x:v>748.742</x:v>
      </x:c>
      <x:c r="J220" s="7" t="n">
        <x:v>747.742</x:v>
      </x:c>
      <x:c r="K220" s="7" t="n">
        <x:v>1</x:v>
      </x:c>
      <x:c r="L220" s="6" t="inlineStr">
        <x:is>
          <x:t xml:space="preserve">Conforme projeto, considerar o PI 183 como 18.3, uma vez que o campo não aceita caracteres especiais.</x:t>
        </x:is>
      </x:c>
    </x:row>
    <x:row r="221">
      <x:c r="A221" s="6" t="inlineStr">
        <x:is>
          <x:t xml:space="preserve">ct_jardim_miriam_blocos_05_a_09</x:t>
        </x:is>
      </x:c>
      <x:c r="B221" s="6" t="inlineStr">
        <x:is>
          <x:t xml:space="preserve">PI</x:t>
        </x:is>
      </x:c>
      <x:c r="C221" s="6" t="inlineStr">
        <x:is>
          <x:t xml:space="preserve">PI-171</x:t>
        </x:is>
      </x:c>
      <x:c r="D221" s="6" t="inlineStr">
        <x:is>
          <x:t xml:space="preserve">PI-171</x:t>
        </x:is>
      </x:c>
      <x:c r="E221" s="7" t="n">
        <x:v>7398366.52422</x:v>
      </x:c>
      <x:c r="F221" s="7" t="n">
        <x:v>357265.226018</x:v>
      </x:c>
      <x:c r="G221" s="7" t="n">
        <x:v>-23.5186717</x:v>
      </x:c>
      <x:c r="H221" s="7" t="n">
        <x:v>-46.3980894</x:v>
      </x:c>
      <x:c r="I221" s="7" t="n">
        <x:v>748.672</x:v>
      </x:c>
      <x:c r="J221" s="7" t="n">
        <x:v>747.122</x:v>
      </x:c>
      <x:c r="K221" s="7" t="n">
        <x:v>1.55</x:v>
      </x:c>
      <x:c r="L221" s="6" t="inlineStr">
        <x:is>
          <x:t xml:space="preserve">Conforme Projeto, considerar o PI 171 como 17.1, uma vez que o campo não aceita caracteres especiais.</x:t>
        </x:is>
      </x:c>
    </x:row>
    <x:row r="222">
      <x:c r="A222" s="6" t="inlineStr">
        <x:is>
          <x:t xml:space="preserve">ct_jardim_miriam_blocos_05_a_09</x:t>
        </x:is>
      </x:c>
      <x:c r="B222" s="6" t="inlineStr">
        <x:is>
          <x:t xml:space="preserve">PI</x:t>
        </x:is>
      </x:c>
      <x:c r="C222" s="6" t="inlineStr">
        <x:is>
          <x:t xml:space="preserve">PI-34</x:t>
        </x:is>
      </x:c>
      <x:c r="D222" s="6" t="inlineStr">
        <x:is>
          <x:t xml:space="preserve">PI-34</x:t>
        </x:is>
      </x:c>
      <x:c r="E222" s="7" t="n">
        <x:v>7398471.220837</x:v>
      </x:c>
      <x:c r="F222" s="7" t="n">
        <x:v>357026.108818</x:v>
      </x:c>
      <x:c r="G222" s="7" t="n">
        <x:v>-23.5177052</x:v>
      </x:c>
      <x:c r="H222" s="7" t="n">
        <x:v>-46.400421</x:v>
      </x:c>
      <x:c r="I222" s="7" t="n">
        <x:v>745.804</x:v>
      </x:c>
      <x:c r="J222" s="7" t="n">
        <x:v>744.654</x:v>
      </x:c>
      <x:c r="K222" s="7" t="n">
        <x:v>1.15</x:v>
      </x:c>
      <x:c r="L222" s="6" t="n"/>
    </x:row>
    <x:row r="223">
      <x:c r="A223" s="6" t="inlineStr">
        <x:is>
          <x:t xml:space="preserve">ct_jardim_miriam_blocos_05_a_09</x:t>
        </x:is>
      </x:c>
      <x:c r="B223" s="6" t="inlineStr">
        <x:is>
          <x:t xml:space="preserve">PV</x:t>
        </x:is>
      </x:c>
      <x:c r="C223" s="6" t="inlineStr">
        <x:is>
          <x:t xml:space="preserve">PV-19</x:t>
        </x:is>
      </x:c>
      <x:c r="D223" s="6" t="inlineStr">
        <x:is>
          <x:t xml:space="preserve">PV-19</x:t>
        </x:is>
      </x:c>
      <x:c r="E223" s="7" t="n">
        <x:v>7398316.802585</x:v>
      </x:c>
      <x:c r="F223" s="7" t="n">
        <x:v>357305.13269</x:v>
      </x:c>
      <x:c r="G223" s="7" t="n">
        <x:v>-23.5191242</x:v>
      </x:c>
      <x:c r="H223" s="7" t="n">
        <x:v>-46.3977033</x:v>
      </x:c>
      <x:c r="I223" s="7" t="n">
        <x:v>750.827</x:v>
      </x:c>
      <x:c r="J223" s="7" t="n">
        <x:v>747.477</x:v>
      </x:c>
      <x:c r="K223" s="7" t="n">
        <x:v>3.35</x:v>
      </x:c>
      <x:c r="L223" s="6" t="n"/>
    </x:row>
    <x:row r="224">
      <x:c r="A224" s="6" t="inlineStr">
        <x:is>
          <x:t xml:space="preserve">ct_jardim_miriam_blocos_05_a_09</x:t>
        </x:is>
      </x:c>
      <x:c r="B224" s="6" t="inlineStr">
        <x:is>
          <x:t xml:space="preserve">PV</x:t>
        </x:is>
      </x:c>
      <x:c r="C224" s="6" t="inlineStr">
        <x:is>
          <x:t xml:space="preserve">PV-18</x:t>
        </x:is>
      </x:c>
      <x:c r="D224" s="6" t="inlineStr">
        <x:is>
          <x:t xml:space="preserve">PV-18</x:t>
        </x:is>
      </x:c>
      <x:c r="E224" s="7" t="n">
        <x:v>7398354.402708</x:v>
      </x:c>
      <x:c r="F224" s="7" t="n">
        <x:v>357275.138824</x:v>
      </x:c>
      <x:c r="G224" s="7" t="n">
        <x:v>-23.518782</x:v>
      </x:c>
      <x:c r="H224" s="7" t="n">
        <x:v>-46.3979934</x:v>
      </x:c>
      <x:c r="I224" s="7" t="n">
        <x:v>748.697</x:v>
      </x:c>
      <x:c r="J224" s="7" t="n">
        <x:v>745.817</x:v>
      </x:c>
      <x:c r="K224" s="7" t="n">
        <x:v>2.88</x:v>
      </x:c>
      <x:c r="L224" s="6" t="n"/>
    </x:row>
    <x:row r="225">
      <x:c r="A225" s="6" t="inlineStr">
        <x:is>
          <x:t xml:space="preserve">ct_jardim_miriam_blocos_05_a_09</x:t>
        </x:is>
      </x:c>
      <x:c r="B225" s="6" t="inlineStr">
        <x:is>
          <x:t xml:space="preserve">PV</x:t>
        </x:is>
      </x:c>
      <x:c r="C225" s="6" t="inlineStr">
        <x:is>
          <x:t xml:space="preserve">PV-17</x:t>
        </x:is>
      </x:c>
      <x:c r="D225" s="6" t="inlineStr">
        <x:is>
          <x:t xml:space="preserve">PV-17</x:t>
        </x:is>
      </x:c>
      <x:c r="E225" s="7" t="n">
        <x:v>7398372.815384</x:v>
      </x:c>
      <x:c r="F225" s="7" t="n">
        <x:v>357265.6938630001</x:v>
      </x:c>
      <x:c r="G225" s="7" t="n">
        <x:v>-23.5186149</x:v>
      </x:c>
      <x:c r="H225" s="7" t="n">
        <x:v>-46.3980842</x:v>
      </x:c>
      <x:c r="I225" s="7" t="n">
        <x:v>748.627</x:v>
      </x:c>
      <x:c r="J225" s="7" t="n">
        <x:v>745.577</x:v>
      </x:c>
      <x:c r="K225" s="7" t="n">
        <x:v>3.05</x:v>
      </x:c>
      <x:c r="L225" s="6" t="n"/>
    </x:row>
    <x:row r="226">
      <x:c r="A226" s="6" t="inlineStr">
        <x:is>
          <x:t xml:space="preserve">ct_jardim_miriam_blocos_05_a_09</x:t>
        </x:is>
      </x:c>
      <x:c r="B226" s="6" t="inlineStr">
        <x:is>
          <x:t xml:space="preserve">PV</x:t>
        </x:is>
      </x:c>
      <x:c r="C226" s="6" t="inlineStr">
        <x:is>
          <x:t xml:space="preserve">PV-16</x:t>
        </x:is>
      </x:c>
      <x:c r="D226" s="6" t="inlineStr">
        <x:is>
          <x:t xml:space="preserve">PV-16</x:t>
        </x:is>
      </x:c>
      <x:c r="E226" s="7" t="n">
        <x:v>7398392.71905</x:v>
      </x:c>
      <x:c r="F226" s="7" t="n">
        <x:v>357253.263328</x:v>
      </x:c>
      <x:c r="G226" s="7" t="n">
        <x:v>-23.5184341</x:v>
      </x:c>
      <x:c r="H226" s="7" t="n">
        <x:v>-46.398204</x:v>
      </x:c>
      <x:c r="I226" s="7" t="n">
        <x:v>750.167</x:v>
      </x:c>
      <x:c r="J226" s="7" t="n">
        <x:v>744.967</x:v>
      </x:c>
      <x:c r="K226" s="7" t="n">
        <x:v>5.2</x:v>
      </x:c>
      <x:c r="L226" s="6" t="n"/>
    </x:row>
    <x:row r="227">
      <x:c r="A227" s="6" t="inlineStr">
        <x:is>
          <x:t xml:space="preserve">ct_jardim_miriam_blocos_05_a_09</x:t>
        </x:is>
      </x:c>
      <x:c r="B227" s="6" t="inlineStr">
        <x:is>
          <x:t xml:space="preserve">PV</x:t>
        </x:is>
      </x:c>
      <x:c r="C227" s="6" t="inlineStr">
        <x:is>
          <x:t xml:space="preserve">PV-35</x:t>
        </x:is>
      </x:c>
      <x:c r="D227" s="6" t="inlineStr">
        <x:is>
          <x:t xml:space="preserve">PV-35</x:t>
        </x:is>
      </x:c>
      <x:c r="E227" s="7" t="n">
        <x:v>7398339.220496001</x:v>
      </x:c>
      <x:c r="F227" s="7" t="n">
        <x:v>357215.564694</x:v>
      </x:c>
      <x:c r="G227" s="7" t="n">
        <x:v>-23.5189139</x:v>
      </x:c>
      <x:c r="H227" s="7" t="n">
        <x:v>-46.3985783</x:v>
      </x:c>
      <x:c r="I227" s="7" t="n">
        <x:v>747.907</x:v>
      </x:c>
      <x:c r="J227" s="7" t="n">
        <x:v>744.907</x:v>
      </x:c>
      <x:c r="K227" s="7" t="n">
        <x:v>3</x:v>
      </x:c>
      <x:c r="L227" s="6" t="n"/>
    </x:row>
    <x:row r="228">
      <x:c r="A228" s="6" t="inlineStr">
        <x:is>
          <x:t xml:space="preserve">ct_jardim_miriam_blocos_05_a_09</x:t>
        </x:is>
      </x:c>
      <x:c r="B228" s="6" t="inlineStr">
        <x:is>
          <x:t xml:space="preserve">PV</x:t>
        </x:is>
      </x:c>
      <x:c r="C228" s="6" t="inlineStr">
        <x:is>
          <x:t xml:space="preserve">PV-14</x:t>
        </x:is>
      </x:c>
      <x:c r="D228" s="6" t="inlineStr">
        <x:is>
          <x:t xml:space="preserve">PV-14</x:t>
        </x:is>
      </x:c>
      <x:c r="E228" s="7" t="n">
        <x:v>7398371.922433</x:v>
      </x:c>
      <x:c r="F228" s="7" t="n">
        <x:v>357199.636764</x:v>
      </x:c>
      <x:c r="G228" s="7" t="n">
        <x:v>-23.5186172</x:v>
      </x:c>
      <x:c r="H228" s="7" t="n">
        <x:v>-46.3987311</x:v>
      </x:c>
      <x:c r="I228" s="7" t="n">
        <x:v>747.782</x:v>
      </x:c>
      <x:c r="J228" s="7" t="n">
        <x:v>744.6319999999999</x:v>
      </x:c>
      <x:c r="K228" s="7" t="n">
        <x:v>3.15</x:v>
      </x:c>
      <x:c r="L228" s="6" t="n"/>
    </x:row>
    <x:row r="229">
      <x:c r="A229" s="6" t="inlineStr">
        <x:is>
          <x:t xml:space="preserve">ct_jardim_miriam_blocos_05_a_09</x:t>
        </x:is>
      </x:c>
      <x:c r="B229" s="6" t="inlineStr">
        <x:is>
          <x:t xml:space="preserve">PV</x:t>
        </x:is>
      </x:c>
      <x:c r="C229" s="6" t="inlineStr">
        <x:is>
          <x:t xml:space="preserve">PV-12</x:t>
        </x:is>
      </x:c>
      <x:c r="D229" s="6" t="inlineStr">
        <x:is>
          <x:t xml:space="preserve">PV-12</x:t>
        </x:is>
      </x:c>
      <x:c r="E229" s="7" t="n">
        <x:v>7398410.688275</x:v>
      </x:c>
      <x:c r="F229" s="7" t="n">
        <x:v>357160.4377030001</x:v>
      </x:c>
      <x:c r="G229" s="7" t="n">
        <x:v>-23.5182636</x:v>
      </x:c>
      <x:c r="H229" s="7" t="n">
        <x:v>-46.3991113</x:v>
      </x:c>
      <x:c r="I229" s="7" t="n">
        <x:v>747.082</x:v>
      </x:c>
      <x:c r="J229" s="7" t="n">
        <x:v>743.8819999999999</x:v>
      </x:c>
      <x:c r="K229" s="7" t="n">
        <x:v>3.2</x:v>
      </x:c>
      <x:c r="L229" s="6" t="n"/>
    </x:row>
    <x:row r="230">
      <x:c r="A230" s="6" t="inlineStr">
        <x:is>
          <x:t xml:space="preserve">ct_jardim_miriam_blocos_05_a_09</x:t>
        </x:is>
      </x:c>
      <x:c r="B230" s="6" t="inlineStr">
        <x:is>
          <x:t xml:space="preserve">PV</x:t>
        </x:is>
      </x:c>
      <x:c r="C230" s="6" t="inlineStr">
        <x:is>
          <x:t xml:space="preserve">PV-111</x:t>
        </x:is>
      </x:c>
      <x:c r="D230" s="6" t="inlineStr">
        <x:is>
          <x:t xml:space="preserve">PV-111</x:t>
        </x:is>
      </x:c>
      <x:c r="E230" s="7" t="n">
        <x:v>7398391.070993</x:v>
      </x:c>
      <x:c r="F230" s="7" t="n">
        <x:v>357131.505645</x:v>
      </x:c>
      <x:c r="G230" s="7" t="n">
        <x:v>-23.5184382</x:v>
      </x:c>
      <x:c r="H230" s="7" t="n">
        <x:v>-46.3993965</x:v>
      </x:c>
      <x:c r="I230" s="7" t="n">
        <x:v>746.562</x:v>
      </x:c>
      <x:c r="J230" s="7" t="n">
        <x:v>743.7619999999999</x:v>
      </x:c>
      <x:c r="K230" s="7" t="n">
        <x:v>2.8</x:v>
      </x:c>
      <x:c r="L230" s="6" t="inlineStr">
        <x:is>
          <x:t xml:space="preserve">Conforme projeto, considerar o PV 111 como 11.1, uma vez que o campo não aceita caracteres especiais.</x:t>
        </x:is>
      </x:c>
    </x:row>
    <x:row r="231">
      <x:c r="A231" s="6" t="inlineStr">
        <x:is>
          <x:t xml:space="preserve">ct_jardim_miriam_blocos_05_a_09</x:t>
        </x:is>
      </x:c>
      <x:c r="B231" s="6" t="inlineStr">
        <x:is>
          <x:t xml:space="preserve">PV</x:t>
        </x:is>
      </x:c>
      <x:c r="C231" s="6" t="inlineStr">
        <x:is>
          <x:t xml:space="preserve">PV-11</x:t>
        </x:is>
      </x:c>
      <x:c r="D231" s="6" t="inlineStr">
        <x:is>
          <x:t xml:space="preserve">PV-11</x:t>
        </x:is>
      </x:c>
      <x:c r="E231" s="7" t="n">
        <x:v>7398371.998064</x:v>
      </x:c>
      <x:c r="F231" s="7" t="n">
        <x:v>357107.126</x:v>
      </x:c>
      <x:c r="G231" s="7" t="n">
        <x:v>-23.5186083</x:v>
      </x:c>
      <x:c r="H231" s="7" t="n">
        <x:v>-46.3996371</x:v>
      </x:c>
      <x:c r="I231" s="7" t="n">
        <x:v>746.592</x:v>
      </x:c>
      <x:c r="J231" s="7" t="n">
        <x:v>743.342</x:v>
      </x:c>
      <x:c r="K231" s="7" t="n">
        <x:v>3.25</x:v>
      </x:c>
      <x:c r="L231" s="6" t="n"/>
    </x:row>
    <x:row r="232">
      <x:c r="A232" s="6" t="inlineStr">
        <x:is>
          <x:t xml:space="preserve">ct_jardim_miriam_blocos_05_a_09</x:t>
        </x:is>
      </x:c>
      <x:c r="B232" s="6" t="inlineStr">
        <x:is>
          <x:t xml:space="preserve">PV</x:t>
        </x:is>
      </x:c>
      <x:c r="C232" s="6" t="inlineStr">
        <x:is>
          <x:t xml:space="preserve">PV-26</x:t>
        </x:is>
      </x:c>
      <x:c r="D232" s="6" t="inlineStr">
        <x:is>
          <x:t xml:space="preserve">PV-26</x:t>
        </x:is>
      </x:c>
      <x:c r="E232" s="7" t="n">
        <x:v>7398333.697702001</x:v>
      </x:c>
      <x:c r="F232" s="7" t="n">
        <x:v>357494.733362</x:v>
      </x:c>
      <x:c r="G232" s="7" t="n">
        <x:v>-23.5189883</x:v>
      </x:c>
      <x:c r="H232" s="7" t="n">
        <x:v>-46.395845</x:v>
      </x:c>
      <x:c r="I232" s="7" t="n">
        <x:v>754.86</x:v>
      </x:c>
      <x:c r="J232" s="7" t="n">
        <x:v>751.85</x:v>
      </x:c>
      <x:c r="K232" s="7" t="n">
        <x:v>3.01</x:v>
      </x:c>
      <x:c r="L232" s="6" t="n"/>
    </x:row>
    <x:row r="233">
      <x:c r="A233" s="6" t="inlineStr">
        <x:is>
          <x:t xml:space="preserve">ct_jardim_miriam_blocos_05_a_09</x:t>
        </x:is>
      </x:c>
      <x:c r="B233" s="6" t="inlineStr">
        <x:is>
          <x:t xml:space="preserve">PV</x:t>
        </x:is>
      </x:c>
      <x:c r="C233" s="6" t="inlineStr">
        <x:is>
          <x:t xml:space="preserve">PV-27</x:t>
        </x:is>
      </x:c>
      <x:c r="D233" s="6" t="inlineStr">
        <x:is>
          <x:t xml:space="preserve">PV-27</x:t>
        </x:is>
      </x:c>
      <x:c r="E233" s="7" t="n">
        <x:v>7398355.636542</x:v>
      </x:c>
      <x:c r="F233" s="7" t="n">
        <x:v>357537.3394920001</x:v>
      </x:c>
      <x:c r="G233" s="7" t="n">
        <x:v>-23.5187939</x:v>
      </x:c>
      <x:c r="H233" s="7" t="n">
        <x:v>-46.3954257</x:v>
      </x:c>
      <x:c r="I233" s="7" t="n">
        <x:v>756.617</x:v>
      </x:c>
      <x:c r="J233" s="7" t="n">
        <x:v>753.467</x:v>
      </x:c>
      <x:c r="K233" s="7" t="n">
        <x:v>3.15</x:v>
      </x:c>
      <x:c r="L233" s="6" t="n"/>
    </x:row>
    <x:row r="234">
      <x:c r="A234" s="6" t="inlineStr">
        <x:is>
          <x:t xml:space="preserve">ct_jardim_miriam_blocos_05_a_09</x:t>
        </x:is>
      </x:c>
      <x:c r="B234" s="6" t="inlineStr">
        <x:is>
          <x:t xml:space="preserve">PV</x:t>
        </x:is>
      </x:c>
      <x:c r="C234" s="6" t="inlineStr">
        <x:is>
          <x:t xml:space="preserve">PV-48</x:t>
        </x:is>
      </x:c>
      <x:c r="D234" s="6" t="inlineStr">
        <x:is>
          <x:t xml:space="preserve">PV-48</x:t>
        </x:is>
      </x:c>
      <x:c r="E234" s="7" t="n">
        <x:v>7398401.732354</x:v>
      </x:c>
      <x:c r="F234" s="7" t="n">
        <x:v>357777.23367</x:v>
      </x:c>
      <x:c r="G234" s="7" t="n">
        <x:v>-23.5183987</x:v>
      </x:c>
      <x:c r="H234" s="7" t="n">
        <x:v>-46.393072</x:v>
      </x:c>
      <x:c r="I234" s="7" t="n">
        <x:v>761.91</x:v>
      </x:c>
      <x:c r="J234" s="7" t="n">
        <x:v>759.66</x:v>
      </x:c>
      <x:c r="K234" s="7" t="n">
        <x:v>2.25</x:v>
      </x:c>
      <x:c r="L234" s="6" t="n"/>
    </x:row>
    <x:row r="235">
      <x:c r="A235" s="6" t="inlineStr">
        <x:is>
          <x:t xml:space="preserve">ct_jardim_miriam_blocos_05_a_09</x:t>
        </x:is>
      </x:c>
      <x:c r="B235" s="6" t="inlineStr">
        <x:is>
          <x:t xml:space="preserve">PV</x:t>
        </x:is>
      </x:c>
      <x:c r="C235" s="6" t="inlineStr">
        <x:is>
          <x:t xml:space="preserve">PV-49</x:t>
        </x:is>
      </x:c>
      <x:c r="D235" s="6" t="inlineStr">
        <x:is>
          <x:t xml:space="preserve">PV-49</x:t>
        </x:is>
      </x:c>
      <x:c r="E235" s="7" t="n">
        <x:v>7398407.456194</x:v>
      </x:c>
      <x:c r="F235" s="7" t="n">
        <x:v>357848.234406</x:v>
      </x:c>
      <x:c r="G235" s="7" t="n">
        <x:v>-23.5183532</x:v>
      </x:c>
      <x:c r="H235" s="7" t="n">
        <x:v>-46.3923762</x:v>
      </x:c>
      <x:c r="I235" s="7" t="n">
        <x:v>764.457</x:v>
      </x:c>
      <x:c r="J235" s="7" t="n">
        <x:v>760.957</x:v>
      </x:c>
      <x:c r="K235" s="7" t="n">
        <x:v>3.5</x:v>
      </x:c>
      <x:c r="L235" s="6" t="n"/>
    </x:row>
    <x:row r="236">
      <x:c r="A236" s="6" t="inlineStr">
        <x:is>
          <x:t xml:space="preserve">ct_jardim_miriam_blocos_05_a_09</x:t>
        </x:is>
      </x:c>
      <x:c r="B236" s="6" t="inlineStr">
        <x:is>
          <x:t xml:space="preserve">PV</x:t>
        </x:is>
      </x:c>
      <x:c r="C236" s="6" t="inlineStr">
        <x:is>
          <x:t xml:space="preserve">PV-491</x:t>
        </x:is>
      </x:c>
      <x:c r="D236" s="6" t="inlineStr">
        <x:is>
          <x:t xml:space="preserve">PV-491</x:t>
        </x:is>
      </x:c>
      <x:c r="E236" s="7" t="n">
        <x:v>7398438.247983</x:v>
      </x:c>
      <x:c r="F236" s="7" t="n">
        <x:v>357847.895379</x:v>
      </x:c>
      <x:c r="G236" s="7" t="n">
        <x:v>-23.5180751</x:v>
      </x:c>
      <x:c r="H236" s="7" t="n">
        <x:v>-46.3923766</x:v>
      </x:c>
      <x:c r="I236" s="7" t="n">
        <x:v>763.752</x:v>
      </x:c>
      <x:c r="J236" s="7" t="n">
        <x:v>761.45</x:v>
      </x:c>
      <x:c r="K236" s="7" t="n">
        <x:v>2.3</x:v>
      </x:c>
      <x:c r="L236" s="6" t="inlineStr">
        <x:is>
          <x:t xml:space="preserve">Conforme projeto, considerar o PV 491 como 49.1, uma vez que o campo não aceita caracteres especiais.</x:t>
        </x:is>
      </x:c>
    </x:row>
    <x:row r="237">
      <x:c r="A237" s="6" t="inlineStr">
        <x:is>
          <x:t xml:space="preserve">ct_jardim_miriam_blocos_05_a_09</x:t>
        </x:is>
      </x:c>
      <x:c r="B237" s="6" t="inlineStr">
        <x:is>
          <x:t xml:space="preserve">PV</x:t>
        </x:is>
      </x:c>
      <x:c r="C237" s="6" t="inlineStr">
        <x:is>
          <x:t xml:space="preserve">PV-4</x:t>
        </x:is>
      </x:c>
      <x:c r="D237" s="6" t="inlineStr">
        <x:is>
          <x:t xml:space="preserve">PV-4</x:t>
        </x:is>
      </x:c>
      <x:c r="E237" s="7" t="n">
        <x:v>7398584.482090409</x:v>
      </x:c>
      <x:c r="F237" s="7" t="n">
        <x:v>356890.1827641679</x:v>
      </x:c>
      <x:c r="G237" s="7" t="n">
        <x:v>-23.5166705</x:v>
      </x:c>
      <x:c r="H237" s="7" t="n">
        <x:v>-46.4017412</x:v>
      </x:c>
      <x:c r="I237" s="7" t="n">
        <x:v>744.6420000000001</x:v>
      </x:c>
      <x:c r="J237" s="7" t="n">
        <x:v>741.482</x:v>
      </x:c>
      <x:c r="K237" s="7" t="n">
        <x:v>3.16</x:v>
      </x:c>
      <x:c r="L237" s="6" t="n"/>
    </x:row>
    <x:row r="238">
      <x:c r="A238" s="6" t="inlineStr">
        <x:is>
          <x:t xml:space="preserve">ct_jardim_miriam_blocos_05_a_09</x:t>
        </x:is>
      </x:c>
      <x:c r="B238" s="6" t="inlineStr">
        <x:is>
          <x:t xml:space="preserve">PV</x:t>
        </x:is>
      </x:c>
      <x:c r="C238" s="6" t="inlineStr">
        <x:is>
          <x:t xml:space="preserve">PV-5</x:t>
        </x:is>
      </x:c>
      <x:c r="D238" s="6" t="inlineStr">
        <x:is>
          <x:t xml:space="preserve">PV-5</x:t>
        </x:is>
      </x:c>
      <x:c r="E238" s="7" t="n">
        <x:v>7398536.748053989</x:v>
      </x:c>
      <x:c r="F238" s="7" t="n">
        <x:v>356933.519134</x:v>
      </x:c>
      <x:c r="G238" s="7" t="n">
        <x:v>-23.5171053</x:v>
      </x:c>
      <x:c r="H238" s="7" t="n">
        <x:v>-46.4013214</x:v>
      </x:c>
      <x:c r="I238" s="7" t="n">
        <x:v>745.205</x:v>
      </x:c>
      <x:c r="J238" s="7" t="n">
        <x:v>742.005</x:v>
      </x:c>
      <x:c r="K238" s="7" t="n">
        <x:v>3.15</x:v>
      </x:c>
      <x:c r="L238" s="6" t="n"/>
    </x:row>
    <x:row r="239">
      <x:c r="A239" s="6" t="inlineStr">
        <x:is>
          <x:t xml:space="preserve">ct_jardim_miriam_blocos_05_a_09</x:t>
        </x:is>
      </x:c>
      <x:c r="B239" s="6" t="inlineStr">
        <x:is>
          <x:t xml:space="preserve">PV</x:t>
        </x:is>
      </x:c>
      <x:c r="C239" s="6" t="inlineStr">
        <x:is>
          <x:t xml:space="preserve">PV-2</x:t>
        </x:is>
      </x:c>
      <x:c r="D239" s="6" t="inlineStr">
        <x:is>
          <x:t xml:space="preserve">PV-2</x:t>
        </x:is>
      </x:c>
      <x:c r="E239" s="7" t="n">
        <x:v>7398658.595058002</x:v>
      </x:c>
      <x:c r="F239" s="7" t="n">
        <x:v>356836.153523</x:v>
      </x:c>
      <x:c r="G239" s="7" t="n">
        <x:v>-23.5159964</x:v>
      </x:c>
      <x:c r="H239" s="7" t="n">
        <x:v>-46.4022632</x:v>
      </x:c>
      <x:c r="I239" s="7" t="n">
        <x:v>744.345</x:v>
      </x:c>
      <x:c r="J239" s="7" t="n">
        <x:v>740.845</x:v>
      </x:c>
      <x:c r="K239" s="7" t="n">
        <x:v>3.5</x:v>
      </x:c>
      <x:c r="L239" s="6" t="n"/>
    </x:row>
    <x:row r="240">
      <x:c r="A240" s="6" t="inlineStr">
        <x:is>
          <x:t xml:space="preserve">ct_jardim_miriam_blocos_05_a_09</x:t>
        </x:is>
      </x:c>
      <x:c r="B240" s="6" t="inlineStr">
        <x:is>
          <x:t xml:space="preserve">PV</x:t>
        </x:is>
      </x:c>
      <x:c r="C240" s="6" t="inlineStr">
        <x:is>
          <x:t xml:space="preserve">PV-6</x:t>
        </x:is>
      </x:c>
      <x:c r="D240" s="6" t="inlineStr">
        <x:is>
          <x:t xml:space="preserve">PV-6</x:t>
        </x:is>
      </x:c>
      <x:c r="E240" s="7" t="n">
        <x:v>7398486.166611998</x:v>
      </x:c>
      <x:c r="F240" s="7" t="n">
        <x:v>356989.38522</x:v>
      </x:c>
      <x:c r="G240" s="7" t="n">
        <x:v>-23.517567</x:v>
      </x:c>
      <x:c r="H240" s="7" t="n">
        <x:v>-46.4007792</x:v>
      </x:c>
      <x:c r="I240" s="7" t="n">
        <x:v>745.694</x:v>
      </x:c>
      <x:c r="J240" s="7" t="n">
        <x:v>742.414</x:v>
      </x:c>
      <x:c r="K240" s="7" t="n">
        <x:v>3.28</x:v>
      </x:c>
      <x:c r="L240" s="6" t="n"/>
    </x:row>
    <x:row r="241">
      <x:c r="A241" s="6" t="inlineStr">
        <x:is>
          <x:t xml:space="preserve">ct_jardim_miriam_blocos_05_a_09</x:t>
        </x:is>
      </x:c>
      <x:c r="B241" s="6" t="inlineStr">
        <x:is>
          <x:t xml:space="preserve">PV</x:t>
        </x:is>
      </x:c>
      <x:c r="C241" s="6" t="inlineStr">
        <x:is>
          <x:t xml:space="preserve">PV-7</x:t>
        </x:is>
      </x:c>
      <x:c r="D241" s="6" t="inlineStr">
        <x:is>
          <x:t xml:space="preserve">PV-7</x:t>
        </x:is>
      </x:c>
      <x:c r="E241" s="7" t="n">
        <x:v>7398418.595024001</x:v>
      </x:c>
      <x:c r="F241" s="7" t="n">
        <x:v>357045.3570540008</x:v>
      </x:c>
      <x:c r="G241" s="7" t="n">
        <x:v>-23.5181821</x:v>
      </x:c>
      <x:c r="H241" s="7" t="n">
        <x:v>-46.4002375</x:v>
      </x:c>
      <x:c r="I241" s="7" t="n">
        <x:v>746.039</x:v>
      </x:c>
      <x:c r="J241" s="7" t="n">
        <x:v>742.5890000000001</x:v>
      </x:c>
      <x:c r="K241" s="7" t="n">
        <x:v>3.45</x:v>
      </x:c>
      <x:c r="L241" s="6" t="n"/>
    </x:row>
    <x:row r="242">
      <x:c r="A242" s="6" t="inlineStr">
        <x:is>
          <x:t xml:space="preserve">ct_jardim_miriam_blocos_05_a_09</x:t>
        </x:is>
      </x:c>
      <x:c r="B242" s="6" t="inlineStr">
        <x:is>
          <x:t xml:space="preserve">PV</x:t>
        </x:is>
      </x:c>
      <x:c r="C242" s="6" t="inlineStr">
        <x:is>
          <x:t xml:space="preserve">PV-33</x:t>
        </x:is>
      </x:c>
      <x:c r="D242" s="6" t="inlineStr">
        <x:is>
          <x:t xml:space="preserve">PV-33</x:t>
        </x:is>
      </x:c>
      <x:c r="E242" s="7" t="n">
        <x:v>7398424.710041999</x:v>
      </x:c>
      <x:c r="F242" s="7" t="n">
        <x:v>357064.100437</x:v>
      </x:c>
      <x:c r="G242" s="7" t="n">
        <x:v>-23.5181285</x:v>
      </x:c>
      <x:c r="H242" s="7" t="n">
        <x:v>-46.4000534</x:v>
      </x:c>
      <x:c r="I242" s="7" t="n">
        <x:v>746.42</x:v>
      </x:c>
      <x:c r="J242" s="7" t="n">
        <x:v>743.87</x:v>
      </x:c>
      <x:c r="K242" s="7" t="n">
        <x:v>2.55</x:v>
      </x:c>
      <x:c r="L242" s="6" t="n"/>
    </x:row>
    <x:row r="243">
      <x:c r="A243" s="6" t="inlineStr">
        <x:is>
          <x:t xml:space="preserve">ct_jardim_miriam_blocos_05_a_09</x:t>
        </x:is>
      </x:c>
      <x:c r="B243" s="6" t="inlineStr">
        <x:is>
          <x:t xml:space="preserve">PV</x:t>
        </x:is>
      </x:c>
      <x:c r="C243" s="6" t="inlineStr">
        <x:is>
          <x:t xml:space="preserve">PV-8</x:t>
        </x:is>
      </x:c>
      <x:c r="D243" s="6" t="inlineStr">
        <x:is>
          <x:t xml:space="preserve">PV-8</x:t>
        </x:is>
      </x:c>
      <x:c r="E243" s="7" t="n">
        <x:v>7398377.492847998</x:v>
      </x:c>
      <x:c r="F243" s="7" t="n">
        <x:v>357078.101891</x:v>
      </x:c>
      <x:c r="G243" s="7" t="n">
        <x:v>-23.5185562</x:v>
      </x:c>
      <x:c r="H243" s="7" t="n">
        <x:v>-46.3999208</x:v>
      </x:c>
      <x:c r="I243" s="7" t="n">
        <x:v>746.627</x:v>
      </x:c>
      <x:c r="J243" s="7" t="n">
        <x:v>743.177</x:v>
      </x:c>
      <x:c r="K243" s="7" t="n">
        <x:v>3.45</x:v>
      </x:c>
      <x:c r="L243" s="6" t="n"/>
    </x:row>
    <x:row r="244">
      <x:c r="A244" s="6" t="inlineStr">
        <x:is>
          <x:t xml:space="preserve">ct_jardim_miriam_blocos_05_a_09</x:t>
        </x:is>
      </x:c>
      <x:c r="B244" s="6" t="inlineStr">
        <x:is>
          <x:t xml:space="preserve">PV</x:t>
        </x:is>
      </x:c>
      <x:c r="C244" s="6" t="inlineStr">
        <x:is>
          <x:t xml:space="preserve">PV-9</x:t>
        </x:is>
      </x:c>
      <x:c r="D244" s="6" t="inlineStr">
        <x:is>
          <x:t xml:space="preserve">PV-9</x:t>
        </x:is>
      </x:c>
      <x:c r="E244" s="7" t="n">
        <x:v>7398385.181587</x:v>
      </x:c>
      <x:c r="F244" s="7" t="n">
        <x:v>357097.274349</x:v>
      </x:c>
      <x:c r="G244" s="7" t="n">
        <x:v>-23.5184884</x:v>
      </x:c>
      <x:c r="H244" s="7" t="n">
        <x:v>-46.3997323</x:v>
      </x:c>
      <x:c r="I244" s="7" t="n">
        <x:v>746.572</x:v>
      </x:c>
      <x:c r="J244" s="7" t="n">
        <x:v>743.322</x:v>
      </x:c>
      <x:c r="K244" s="7" t="n">
        <x:v>3.25</x:v>
      </x:c>
      <x:c r="L244" s="6" t="n"/>
    </x:row>
    <x:row r="245">
      <x:c r="A245" s="6" t="inlineStr">
        <x:is>
          <x:t xml:space="preserve">ct_jardim_miriam_blocos_05_a_09</x:t>
        </x:is>
      </x:c>
      <x:c r="B245" s="6" t="inlineStr">
        <x:is>
          <x:t xml:space="preserve">PV</x:t>
        </x:is>
      </x:c>
      <x:c r="C245" s="6" t="inlineStr">
        <x:is>
          <x:t xml:space="preserve">PV-20</x:t>
        </x:is>
      </x:c>
      <x:c r="D245" s="6" t="inlineStr">
        <x:is>
          <x:t xml:space="preserve">PV-20</x:t>
        </x:is>
      </x:c>
      <x:c r="E245" s="7" t="n">
        <x:v>7398276.380173953</x:v>
      </x:c>
      <x:c r="F245" s="7" t="n">
        <x:v>357339.9786428868</x:v>
      </x:c>
      <x:c r="G245" s="7" t="n">
        <x:v>-23.5194923</x:v>
      </x:c>
      <x:c r="H245" s="7" t="n">
        <x:v>-46.3973659</x:v>
      </x:c>
      <x:c r="I245" s="7" t="n">
        <x:v>755.605</x:v>
      </x:c>
      <x:c r="J245" s="7" t="n">
        <x:v>747.9450000000001</x:v>
      </x:c>
      <x:c r="K245" s="7" t="n">
        <x:v>7.66</x:v>
      </x:c>
      <x:c r="L245" s="6" t="n"/>
    </x:row>
    <x:row r="246">
      <x:c r="A246" s="6" t="inlineStr">
        <x:is>
          <x:t xml:space="preserve">ct_jardim_miriam_blocos_05_a_09</x:t>
        </x:is>
      </x:c>
      <x:c r="B246" s="6" t="inlineStr">
        <x:is>
          <x:t xml:space="preserve">PV</x:t>
        </x:is>
      </x:c>
      <x:c r="C246" s="6" t="inlineStr">
        <x:is>
          <x:t xml:space="preserve">PV-21</x:t>
        </x:is>
      </x:c>
      <x:c r="D246" s="6" t="inlineStr">
        <x:is>
          <x:t xml:space="preserve">PV-21</x:t>
        </x:is>
      </x:c>
      <x:c r="E246" s="7" t="n">
        <x:v>7398311.442221999</x:v>
      </x:c>
      <x:c r="F246" s="7" t="n">
        <x:v>357383.364805</x:v>
      </x:c>
      <x:c r="G246" s="7" t="n">
        <x:v>-23.5191795</x:v>
      </x:c>
      <x:c r="H246" s="7" t="n">
        <x:v>-46.3969377</x:v>
      </x:c>
      <x:c r="I246" s="7" t="n">
        <x:v>752.785</x:v>
      </x:c>
      <x:c r="J246" s="7" t="n">
        <x:v>748.325</x:v>
      </x:c>
      <x:c r="K246" s="7" t="n">
        <x:v>4.46</x:v>
      </x:c>
      <x:c r="L246" s="6" t="n"/>
    </x:row>
    <x:row r="247">
      <x:c r="A247" s="6" t="inlineStr">
        <x:is>
          <x:t xml:space="preserve">ct_jardim_miriam_blocos_05_a_09</x:t>
        </x:is>
      </x:c>
      <x:c r="B247" s="6" t="inlineStr">
        <x:is>
          <x:t xml:space="preserve">PV</x:t>
        </x:is>
      </x:c>
      <x:c r="C247" s="6" t="inlineStr">
        <x:is>
          <x:t xml:space="preserve">PV-22</x:t>
        </x:is>
      </x:c>
      <x:c r="D247" s="6" t="inlineStr">
        <x:is>
          <x:t xml:space="preserve">PV-22</x:t>
        </x:is>
      </x:c>
      <x:c r="E247" s="7" t="n">
        <x:v>7398336.930848</x:v>
      </x:c>
      <x:c r="F247" s="7" t="n">
        <x:v>357414.3518560001</x:v>
      </x:c>
      <x:c r="G247" s="7" t="n">
        <x:v>-23.518952</x:v>
      </x:c>
      <x:c r="H247" s="7" t="n">
        <x:v>-46.3966318</x:v>
      </x:c>
      <x:c r="I247" s="7" t="n">
        <x:v>752.2</x:v>
      </x:c>
      <x:c r="J247" s="7" t="n">
        <x:v>748.95</x:v>
      </x:c>
      <x:c r="K247" s="7" t="n">
        <x:v>3.25</x:v>
      </x:c>
      <x:c r="L247" s="6" t="n"/>
    </x:row>
    <x:row r="248">
      <x:c r="A248" s="6" t="inlineStr">
        <x:is>
          <x:t xml:space="preserve">ct_jardim_miriam_blocos_05_a_09</x:t>
        </x:is>
      </x:c>
      <x:c r="B248" s="6" t="inlineStr">
        <x:is>
          <x:t xml:space="preserve">PV</x:t>
        </x:is>
      </x:c>
      <x:c r="C248" s="6" t="inlineStr">
        <x:is>
          <x:t xml:space="preserve">PV-23</x:t>
        </x:is>
      </x:c>
      <x:c r="D248" s="6" t="inlineStr">
        <x:is>
          <x:t xml:space="preserve">PV-23</x:t>
        </x:is>
      </x:c>
      <x:c r="E248" s="7" t="n">
        <x:v>7398315.962881</x:v>
      </x:c>
      <x:c r="F248" s="7" t="n">
        <x:v>357450.432424</x:v>
      </x:c>
      <x:c r="G248" s="7" t="n">
        <x:v>-23.5191445</x:v>
      </x:c>
      <x:c r="H248" s="7" t="n">
        <x:v>-46.3962805</x:v>
      </x:c>
      <x:c r="I248" s="7" t="n">
        <x:v>752.9400000000001</x:v>
      </x:c>
      <x:c r="J248" s="7" t="n">
        <x:v>750.24</x:v>
      </x:c>
      <x:c r="K248" s="7" t="n">
        <x:v>2.7</x:v>
      </x:c>
      <x:c r="L248" s="6" t="n"/>
    </x:row>
    <x:row r="249">
      <x:c r="A249" s="6" t="inlineStr">
        <x:is>
          <x:t xml:space="preserve">ct_jardim_miriam_blocos_05_a_09</x:t>
        </x:is>
      </x:c>
      <x:c r="B249" s="6" t="inlineStr">
        <x:is>
          <x:t xml:space="preserve">PV</x:t>
        </x:is>
      </x:c>
      <x:c r="C249" s="6" t="inlineStr">
        <x:is>
          <x:t xml:space="preserve">PV-25</x:t>
        </x:is>
      </x:c>
      <x:c r="D249" s="6" t="inlineStr">
        <x:is>
          <x:t xml:space="preserve">PV-25</x:t>
        </x:is>
      </x:c>
      <x:c r="E249" s="7" t="n">
        <x:v>7398318.967</x:v>
      </x:c>
      <x:c r="F249" s="7" t="n">
        <x:v>357469.363</x:v>
      </x:c>
      <x:c r="G249" s="7" t="n">
        <x:v>-23.5191191</x:v>
      </x:c>
      <x:c r="H249" s="7" t="n">
        <x:v>-46.3960948</x:v>
      </x:c>
      <x:c r="I249" s="7" t="n">
        <x:v>753.95</x:v>
      </x:c>
      <x:c r="J249" s="7" t="n">
        <x:v>750.9</x:v>
      </x:c>
      <x:c r="K249" s="7" t="n">
        <x:v>3.05</x:v>
      </x:c>
      <x:c r="L249" s="6" t="n"/>
    </x:row>
    <x:row r="250">
      <x:c r="A250" s="6" t="inlineStr">
        <x:is>
          <x:t xml:space="preserve">ct_jardim_miriam_blocos_05_a_09</x:t>
        </x:is>
      </x:c>
      <x:c r="B250" s="6" t="inlineStr">
        <x:is>
          <x:t xml:space="preserve">PV</x:t>
        </x:is>
      </x:c>
      <x:c r="C250" s="6" t="inlineStr">
        <x:is>
          <x:t xml:space="preserve">PV-39</x:t>
        </x:is>
      </x:c>
      <x:c r="D250" s="6" t="inlineStr">
        <x:is>
          <x:t xml:space="preserve">PV-39</x:t>
        </x:is>
      </x:c>
      <x:c r="E250" s="7" t="n">
        <x:v>7398300.231452</x:v>
      </x:c>
      <x:c r="F250" s="7" t="n">
        <x:v>357479.1680880001</x:v>
      </x:c>
      <x:c r="G250" s="7" t="n">
        <x:v>-23.5192891</x:v>
      </x:c>
      <x:c r="H250" s="7" t="n">
        <x:v>-46.3960006</x:v>
      </x:c>
      <x:c r="I250" s="7" t="n">
        <x:v>754.557</x:v>
      </x:c>
      <x:c r="J250" s="7" t="n">
        <x:v>752.417</x:v>
      </x:c>
      <x:c r="K250" s="7" t="n">
        <x:v>2.14</x:v>
      </x:c>
      <x:c r="L250" s="6" t="n"/>
    </x:row>
    <x:row r="251">
      <x:c r="A251" s="6" t="inlineStr">
        <x:is>
          <x:t xml:space="preserve">ct_jardim_miriam_blocos_05_a_09</x:t>
        </x:is>
      </x:c>
      <x:c r="B251" s="6" t="inlineStr">
        <x:is>
          <x:t xml:space="preserve">PV</x:t>
        </x:is>
      </x:c>
      <x:c r="C251" s="6" t="inlineStr">
        <x:is>
          <x:t xml:space="preserve">PV-44</x:t>
        </x:is>
      </x:c>
      <x:c r="D251" s="6" t="inlineStr">
        <x:is>
          <x:t xml:space="preserve">PV-44</x:t>
        </x:is>
      </x:c>
      <x:c r="E251" s="7" t="n">
        <x:v>7398323.269200999</x:v>
      </x:c>
      <x:c r="F251" s="7" t="n">
        <x:v>357516.7681920027</x:v>
      </x:c>
      <x:c r="G251" s="7" t="n">
        <x:v>-23.5190844</x:v>
      </x:c>
      <x:c r="H251" s="7" t="n">
        <x:v>-46.3956302</x:v>
      </x:c>
      <x:c r="I251" s="7" t="n">
        <x:v>756.207</x:v>
      </x:c>
      <x:c r="J251" s="7" t="n">
        <x:v>752.207</x:v>
      </x:c>
      <x:c r="K251" s="7" t="n">
        <x:v>4</x:v>
      </x:c>
      <x:c r="L251" s="6" t="n"/>
    </x:row>
    <x:row r="252">
      <x:c r="A252" s="6" t="inlineStr">
        <x:is>
          <x:t xml:space="preserve">ct_jardim_miriam_blocos_05_a_09</x:t>
        </x:is>
      </x:c>
      <x:c r="B252" s="6" t="inlineStr">
        <x:is>
          <x:t xml:space="preserve">PV</x:t>
        </x:is>
      </x:c>
      <x:c r="C252" s="6" t="inlineStr">
        <x:is>
          <x:t xml:space="preserve">PV-30</x:t>
        </x:is>
      </x:c>
      <x:c r="D252" s="6" t="inlineStr">
        <x:is>
          <x:t xml:space="preserve">PV-30</x:t>
        </x:is>
      </x:c>
      <x:c r="E252" s="7" t="n">
        <x:v>7398358.441214999</x:v>
      </x:c>
      <x:c r="F252" s="7" t="n">
        <x:v>357576.744543</x:v>
      </x:c>
      <x:c r="G252" s="7" t="n">
        <x:v>-23.518772</x:v>
      </x:c>
      <x:c r="H252" s="7" t="n">
        <x:v>-46.3950395</x:v>
      </x:c>
      <x:c r="I252" s="7" t="n">
        <x:v>757.558</x:v>
      </x:c>
      <x:c r="J252" s="7" t="n">
        <x:v>753.818</x:v>
      </x:c>
      <x:c r="K252" s="7" t="n">
        <x:v>3.74</x:v>
      </x:c>
      <x:c r="L252" s="6" t="n"/>
    </x:row>
    <x:row r="253">
      <x:c r="A253" s="6" t="inlineStr">
        <x:is>
          <x:t xml:space="preserve">ct_jardim_miriam_blocos_05_a_09</x:t>
        </x:is>
      </x:c>
      <x:c r="B253" s="6" t="inlineStr">
        <x:is>
          <x:t xml:space="preserve">PV</x:t>
        </x:is>
      </x:c>
      <x:c r="C253" s="6" t="inlineStr">
        <x:is>
          <x:t xml:space="preserve">PV-47</x:t>
        </x:is>
      </x:c>
      <x:c r="D253" s="6" t="inlineStr">
        <x:is>
          <x:t xml:space="preserve">PV-47</x:t>
        </x:is>
      </x:c>
      <x:c r="E253" s="7" t="n">
        <x:v>7398376.672073999</x:v>
      </x:c>
      <x:c r="F253" s="7" t="n">
        <x:v>357726.689319</x:v>
      </x:c>
      <x:c r="G253" s="7" t="n">
        <x:v>-23.5186206</x:v>
      </x:c>
      <x:c r="H253" s="7" t="n">
        <x:v>-46.3935694</x:v>
      </x:c>
      <x:c r="I253" s="7" t="n">
        <x:v>761.269</x:v>
      </x:c>
      <x:c r="J253" s="7" t="n">
        <x:v>759.149</x:v>
      </x:c>
      <x:c r="K253" s="7" t="n">
        <x:v>2.12</x:v>
      </x:c>
      <x:c r="L253" s="6" t="n"/>
    </x:row>
    <x:row r="254">
      <x:c r="A254" s="6" t="inlineStr">
        <x:is>
          <x:t xml:space="preserve">ct_jardim_miriam_blocos_05_a_09</x:t>
        </x:is>
      </x:c>
      <x:c r="B254" s="6" t="inlineStr">
        <x:is>
          <x:t xml:space="preserve">PV</x:t>
        </x:is>
      </x:c>
      <x:c r="C254" s="6" t="inlineStr">
        <x:is>
          <x:t xml:space="preserve">PV-43</x:t>
        </x:is>
      </x:c>
      <x:c r="D254" s="6" t="inlineStr">
        <x:is>
          <x:t xml:space="preserve">PV-43</x:t>
        </x:is>
      </x:c>
      <x:c r="E254" s="7" t="n">
        <x:v>7398344.262341002</x:v>
      </x:c>
      <x:c r="F254" s="7" t="n">
        <x:v>357572.2186610001</x:v>
      </x:c>
      <x:c r="G254" s="7" t="n">
        <x:v>-23.5188997</x:v>
      </x:c>
      <x:c r="H254" s="7" t="n">
        <x:v>-46.3950852</x:v>
      </x:c>
      <x:c r="I254" s="7" t="n">
        <x:v>757.572</x:v>
      </x:c>
      <x:c r="J254" s="7" t="n">
        <x:v>754.1420000000001</x:v>
      </x:c>
      <x:c r="K254" s="7" t="n">
        <x:v>3.43</x:v>
      </x:c>
      <x:c r="L254" s="6" t="n"/>
    </x:row>
    <x:row r="255">
      <x:c r="A255" s="6" t="inlineStr">
        <x:is>
          <x:t xml:space="preserve">ct_jardim_miriam_blocos_05_a_09</x:t>
        </x:is>
      </x:c>
      <x:c r="B255" s="6" t="inlineStr">
        <x:is>
          <x:t xml:space="preserve">PV</x:t>
        </x:is>
      </x:c>
      <x:c r="C255" s="6" t="inlineStr">
        <x:is>
          <x:t xml:space="preserve">PT-001</x:t>
        </x:is>
      </x:c>
      <x:c r="D255" s="6" t="inlineStr">
        <x:is>
          <x:t xml:space="preserve">PT-001</x:t>
        </x:is>
      </x:c>
      <x:c r="E255" s="7" t="n">
        <x:v>7398353.833078</x:v>
      </x:c>
      <x:c r="F255" s="7" t="n">
        <x:v>357711.789116</x:v>
      </x:c>
      <x:c r="G255" s="7" t="n">
        <x:v>-23.5188255</x:v>
      </x:c>
      <x:c r="H255" s="7" t="n">
        <x:v>-46.3937175</x:v>
      </x:c>
      <x:c r="I255" s="6" t="n"/>
      <x:c r="J255" s="6" t="n"/>
      <x:c r="K255" s="6" t="n"/>
      <x:c r="L255" s="6" t="inlineStr">
        <x:is>
          <x:t xml:space="preserve">Ponto gerado automaticamente pela extremidade da rede.</x:t>
        </x:is>
      </x:c>
    </x:row>
    <x:row r="256">
      <x:c r="A256" s="6" t="inlineStr">
        <x:is>
          <x:t xml:space="preserve">ct_jardim_miriam_blocos_05_a_09</x:t>
        </x:is>
      </x:c>
      <x:c r="B256" s="6" t="inlineStr">
        <x:is>
          <x:t xml:space="preserve">PI</x:t>
        </x:is>
      </x:c>
      <x:c r="C256" s="6" t="inlineStr">
        <x:is>
          <x:t xml:space="preserve">PI-62</x:t>
        </x:is>
      </x:c>
      <x:c r="D256" s="6" t="inlineStr">
        <x:is>
          <x:t xml:space="preserve">PI-62</x:t>
        </x:is>
      </x:c>
      <x:c r="E256" s="7" t="n">
        <x:v>7398449.755358</x:v>
      </x:c>
      <x:c r="F256" s="7" t="n">
        <x:v>358036.78116</x:v>
      </x:c>
      <x:c r="G256" s="7" t="n">
        <x:v>-23.5179878</x:v>
      </x:c>
      <x:c r="H256" s="7" t="n">
        <x:v>-46.3905258</x:v>
      </x:c>
      <x:c r="I256" s="7" t="n">
        <x:v>771.29</x:v>
      </x:c>
      <x:c r="J256" s="7" t="n">
        <x:v>769.9299999999999</x:v>
      </x:c>
      <x:c r="K256" s="7" t="n">
        <x:v>1.36</x:v>
      </x:c>
      <x:c r="L256" s="6" t="n"/>
    </x:row>
    <x:row r="257">
      <x:c r="A257" s="6" t="inlineStr">
        <x:is>
          <x:t xml:space="preserve">ct_jardim_miriam_blocos_05_a_09</x:t>
        </x:is>
      </x:c>
      <x:c r="B257" s="6" t="inlineStr">
        <x:is>
          <x:t xml:space="preserve">PI</x:t>
        </x:is>
      </x:c>
      <x:c r="C257" s="6" t="inlineStr">
        <x:is>
          <x:t xml:space="preserve">PI-61</x:t>
        </x:is>
      </x:c>
      <x:c r="D257" s="6" t="inlineStr">
        <x:is>
          <x:t xml:space="preserve">PI-61</x:t>
        </x:is>
      </x:c>
      <x:c r="E257" s="7" t="n">
        <x:v>7398440.860417</x:v>
      </x:c>
      <x:c r="F257" s="7" t="n">
        <x:v>357971.157013</x:v>
      </x:c>
      <x:c r="G257" s="7" t="n">
        <x:v>-23.5180623</x:v>
      </x:c>
      <x:c r="H257" s="7" t="n">
        <x:v>-46.3911693</x:v>
      </x:c>
      <x:c r="I257" s="7" t="n">
        <x:v>768.013</x:v>
      </x:c>
      <x:c r="J257" s="7" t="n">
        <x:v>766.563</x:v>
      </x:c>
      <x:c r="K257" s="7" t="n">
        <x:v>1.45</x:v>
      </x:c>
      <x:c r="L257" s="6" t="n"/>
    </x:row>
    <x:row r="258">
      <x:c r="A258" s="6" t="inlineStr">
        <x:is>
          <x:t xml:space="preserve">ct_jardim_miriam_blocos_05_a_09</x:t>
        </x:is>
      </x:c>
      <x:c r="B258" s="6" t="inlineStr">
        <x:is>
          <x:t xml:space="preserve">PI</x:t>
        </x:is>
      </x:c>
      <x:c r="C258" s="6" t="inlineStr">
        <x:is>
          <x:t xml:space="preserve">PI-641</x:t>
        </x:is>
      </x:c>
      <x:c r="D258" s="6" t="inlineStr">
        <x:is>
          <x:t xml:space="preserve">PI-641</x:t>
        </x:is>
      </x:c>
      <x:c r="E258" s="7" t="n">
        <x:v>7398506.698460001</x:v>
      </x:c>
      <x:c r="F258" s="7" t="n">
        <x:v>358035.3396</x:v>
      </x:c>
      <x:c r="G258" s="7" t="n">
        <x:v>-23.5174734</x:v>
      </x:c>
      <x:c r="H258" s="7" t="n">
        <x:v>-46.3905345</x:v>
      </x:c>
      <x:c r="I258" s="7" t="n">
        <x:v>775.278</x:v>
      </x:c>
      <x:c r="J258" s="7" t="n">
        <x:v>774.278</x:v>
      </x:c>
      <x:c r="K258" s="7" t="n">
        <x:v>1</x:v>
      </x:c>
      <x:c r="L258" s="6" t="inlineStr">
        <x:is>
          <x:t xml:space="preserve">Conforme projeto, considerar o número do PI como 64.1, uma vez que o campo não aceita caracteres especiais.</x:t>
        </x:is>
      </x:c>
    </x:row>
    <x:row r="259">
      <x:c r="A259" s="6" t="inlineStr">
        <x:is>
          <x:t xml:space="preserve">ct_jardim_miriam_blocos_05_a_09</x:t>
        </x:is>
      </x:c>
      <x:c r="B259" s="6" t="inlineStr">
        <x:is>
          <x:t xml:space="preserve">PI</x:t>
        </x:is>
      </x:c>
      <x:c r="C259" s="6" t="inlineStr">
        <x:is>
          <x:t xml:space="preserve">PI-64</x:t>
        </x:is>
      </x:c>
      <x:c r="D259" s="6" t="inlineStr">
        <x:is>
          <x:t xml:space="preserve">PI-64</x:t>
        </x:is>
      </x:c>
      <x:c r="E259" s="7" t="n">
        <x:v>7398501.15109</x:v>
      </x:c>
      <x:c r="F259" s="7" t="n">
        <x:v>357995.98077</x:v>
      </x:c>
      <x:c r="G259" s="7" t="n">
        <x:v>-23.5175201</x:v>
      </x:c>
      <x:c r="H259" s="7" t="n">
        <x:v>-46.3909205</x:v>
      </x:c>
      <x:c r="I259" s="7" t="n">
        <x:v>772.918</x:v>
      </x:c>
      <x:c r="J259" s="7" t="n">
        <x:v>771.998</x:v>
      </x:c>
      <x:c r="K259" s="7" t="n">
        <x:v>0.92</x:v>
      </x:c>
      <x:c r="L259" s="6" t="n"/>
    </x:row>
    <x:row r="260">
      <x:c r="A260" s="6" t="inlineStr">
        <x:is>
          <x:t xml:space="preserve">ct_jardim_miriam_blocos_05_a_09</x:t>
        </x:is>
      </x:c>
      <x:c r="B260" s="6" t="inlineStr">
        <x:is>
          <x:t xml:space="preserve">PV</x:t>
        </x:is>
      </x:c>
      <x:c r="C260" s="6" t="inlineStr">
        <x:is>
          <x:t xml:space="preserve">PV-50</x:t>
        </x:is>
      </x:c>
      <x:c r="D260" s="6" t="inlineStr">
        <x:is>
          <x:t xml:space="preserve">PV-50</x:t>
        </x:is>
      </x:c>
      <x:c r="E260" s="7" t="n">
        <x:v>7398411.047126</x:v>
      </x:c>
      <x:c r="F260" s="7" t="n">
        <x:v>357873.966441</x:v>
      </x:c>
      <x:c r="G260" s="7" t="n">
        <x:v>-23.518323</x:v>
      </x:c>
      <x:c r="H260" s="7" t="n">
        <x:v>-46.3921239</x:v>
      </x:c>
      <x:c r="I260" s="7" t="n">
        <x:v>765.702</x:v>
      </x:c>
      <x:c r="J260" s="7" t="n">
        <x:v>761.122</x:v>
      </x:c>
      <x:c r="K260" s="7" t="n">
        <x:v>4.58</x:v>
      </x:c>
      <x:c r="L260" s="6" t="n"/>
    </x:row>
    <x:row r="261">
      <x:c r="A261" s="6" t="inlineStr">
        <x:is>
          <x:t xml:space="preserve">ct_jardim_miriam_blocos_05_a_09</x:t>
        </x:is>
      </x:c>
      <x:c r="B261" s="6" t="inlineStr">
        <x:is>
          <x:t xml:space="preserve">PV</x:t>
        </x:is>
      </x:c>
      <x:c r="C261" s="6" t="inlineStr">
        <x:is>
          <x:t xml:space="preserve">PV-64</x:t>
        </x:is>
      </x:c>
      <x:c r="D261" s="6" t="inlineStr">
        <x:is>
          <x:t xml:space="preserve">PV-64</x:t>
        </x:is>
      </x:c>
      <x:c r="E261" s="7" t="n">
        <x:v>7398493.885561999</x:v>
      </x:c>
      <x:c r="F261" s="7" t="n">
        <x:v>357948.666471</x:v>
      </x:c>
      <x:c r="G261" s="7" t="n">
        <x:v>-23.5175815</x:v>
      </x:c>
      <x:c r="H261" s="7" t="n">
        <x:v>-46.3913845</x:v>
      </x:c>
      <x:c r="I261" s="7" t="n">
        <x:v>772.088</x:v>
      </x:c>
      <x:c r="J261" s="7" t="n">
        <x:v>769.428</x:v>
      </x:c>
      <x:c r="K261" s="7" t="n">
        <x:v>2.66</x:v>
      </x:c>
      <x:c r="L261" s="6" t="n"/>
    </x:row>
    <x:row r="262">
      <x:c r="A262" s="6" t="inlineStr">
        <x:is>
          <x:t xml:space="preserve">ct_jardim_miriam_blocos_05_a_09</x:t>
        </x:is>
      </x:c>
      <x:c r="B262" s="6" t="inlineStr">
        <x:is>
          <x:t xml:space="preserve">PV</x:t>
        </x:is>
      </x:c>
      <x:c r="C262" s="6" t="inlineStr">
        <x:is>
          <x:t xml:space="preserve">PV-52</x:t>
        </x:is>
      </x:c>
      <x:c r="D262" s="6" t="inlineStr">
        <x:is>
          <x:t xml:space="preserve">PV-52</x:t>
        </x:is>
      </x:c>
      <x:c r="E262" s="7" t="n">
        <x:v>7398439.500494999</x:v>
      </x:c>
      <x:c r="F262" s="7" t="n">
        <x:v>357942.060199</x:v>
      </x:c>
      <x:c r="G262" s="7" t="n">
        <x:v>-23.5180721</x:v>
      </x:c>
      <x:c r="H262" s="7" t="n">
        <x:v>-46.3914544</x:v>
      </x:c>
      <x:c r="I262" s="7" t="n">
        <x:v>767.002</x:v>
      </x:c>
      <x:c r="J262" s="7" t="n">
        <x:v>762.542</x:v>
      </x:c>
      <x:c r="K262" s="7" t="n">
        <x:v>4.46</x:v>
      </x:c>
      <x:c r="L262" s="6" t="n"/>
    </x:row>
    <x:row r="263">
      <x:c r="A263" s="6" t="inlineStr">
        <x:is>
          <x:t xml:space="preserve">ct_jardim_miriam_blocos_05_a_09</x:t>
        </x:is>
      </x:c>
      <x:c r="B263" s="6" t="inlineStr">
        <x:is>
          <x:t xml:space="preserve">PV</x:t>
        </x:is>
      </x:c>
      <x:c r="C263" s="6" t="inlineStr">
        <x:is>
          <x:t xml:space="preserve">PV-51</x:t>
        </x:is>
      </x:c>
      <x:c r="D263" s="6" t="inlineStr">
        <x:is>
          <x:t xml:space="preserve">PV-51</x:t>
        </x:is>
      </x:c>
      <x:c r="E263" s="7" t="n">
        <x:v>7398418.472817999</x:v>
      </x:c>
      <x:c r="F263" s="7" t="n">
        <x:v>357941.9466550001</x:v>
      </x:c>
      <x:c r="G263" s="7" t="n">
        <x:v>-23.5182619</x:v>
      </x:c>
      <x:c r="H263" s="7" t="n">
        <x:v>-46.3914575</x:v>
      </x:c>
      <x:c r="I263" s="7" t="n">
        <x:v>765.7089999999999</x:v>
      </x:c>
      <x:c r="J263" s="7" t="n">
        <x:v>761.779</x:v>
      </x:c>
      <x:c r="K263" s="7" t="n">
        <x:v>3.93</x:v>
      </x:c>
      <x:c r="L263" s="6" t="n"/>
    </x:row>
    <x:row r="264">
      <x:c r="A264" s="6" t="inlineStr">
        <x:is>
          <x:t xml:space="preserve">ct_jardim_miriam_blocos_05_a_09</x:t>
        </x:is>
      </x:c>
      <x:c r="B264" s="6" t="inlineStr">
        <x:is>
          <x:t xml:space="preserve">PV</x:t>
        </x:is>
      </x:c>
      <x:c r="C264" s="6" t="inlineStr">
        <x:is>
          <x:t xml:space="preserve">PV-59</x:t>
        </x:is>
      </x:c>
      <x:c r="D264" s="6" t="inlineStr">
        <x:is>
          <x:t xml:space="preserve">PV-59</x:t>
        </x:is>
      </x:c>
      <x:c r="E264" s="7" t="n">
        <x:v>7398552.548289999</x:v>
      </x:c>
      <x:c r="F264" s="7" t="n">
        <x:v>358037.42057</x:v>
      </x:c>
      <x:c r="G264" s="7" t="n">
        <x:v>-23.5170596</x:v>
      </x:c>
      <x:c r="H264" s="7" t="n">
        <x:v>-46.3905098</x:v>
      </x:c>
      <x:c r="I264" s="7" t="n">
        <x:v>777.4160000000001</x:v>
      </x:c>
      <x:c r="J264" s="7" t="n">
        <x:v>775.616</x:v>
      </x:c>
      <x:c r="K264" s="7" t="n">
        <x:v>1.8</x:v>
      </x:c>
      <x:c r="L264" s="6" t="n"/>
    </x:row>
    <x:row r="265">
      <x:c r="A265" s="6" t="inlineStr">
        <x:is>
          <x:t xml:space="preserve">ct_jardim_miriam_blocos_05_a_09</x:t>
        </x:is>
      </x:c>
      <x:c r="B265" s="6" t="inlineStr">
        <x:is>
          <x:t xml:space="preserve">PV</x:t>
        </x:is>
      </x:c>
      <x:c r="C265" s="6" t="inlineStr">
        <x:is>
          <x:t xml:space="preserve">PV-54</x:t>
        </x:is>
      </x:c>
      <x:c r="D265" s="6" t="inlineStr">
        <x:is>
          <x:t xml:space="preserve">PV-54</x:t>
        </x:is>
      </x:c>
      <x:c r="E265" s="7" t="n">
        <x:v>7398488.384991001</x:v>
      </x:c>
      <x:c r="F265" s="7" t="n">
        <x:v>357949.1659320001</x:v>
      </x:c>
      <x:c r="G265" s="7" t="n">
        <x:v>-23.5176313</x:v>
      </x:c>
      <x:c r="H265" s="7" t="n">
        <x:v>-46.3913801</x:v>
      </x:c>
      <x:c r="I265" s="7" t="n">
        <x:v>771.3049999999999</x:v>
      </x:c>
      <x:c r="J265" s="7" t="n">
        <x:v>768.005</x:v>
      </x:c>
      <x:c r="K265" s="7" t="n">
        <x:v>3.3</x:v>
      </x:c>
      <x:c r="L265" s="6" t="n"/>
    </x:row>
    <x:row r="266">
      <x:c r="A266" s="6" t="inlineStr">
        <x:is>
          <x:t xml:space="preserve">ct_jardim_miriam_blocos_05_a_09</x:t>
        </x:is>
      </x:c>
      <x:c r="B266" s="6" t="inlineStr">
        <x:is>
          <x:t xml:space="preserve">PV</x:t>
        </x:is>
      </x:c>
      <x:c r="C266" s="6" t="inlineStr">
        <x:is>
          <x:t xml:space="preserve">PV-56</x:t>
        </x:is>
      </x:c>
      <x:c r="D266" s="6" t="inlineStr">
        <x:is>
          <x:t xml:space="preserve">PV-56</x:t>
        </x:is>
      </x:c>
      <x:c r="E266" s="7" t="n">
        <x:v>7398508.078757997</x:v>
      </x:c>
      <x:c r="F266" s="7" t="n">
        <x:v>358032.7712140021</x:v>
      </x:c>
      <x:c r="G266" s="7" t="n">
        <x:v>-23.5174607</x:v>
      </x:c>
      <x:c r="H266" s="7" t="n">
        <x:v>-46.3905595</x:v>
      </x:c>
      <x:c r="I266" s="7" t="n">
        <x:v>774.966</x:v>
      </x:c>
      <x:c r="J266" s="7" t="n">
        <x:v>773.626</x:v>
      </x:c>
      <x:c r="K266" s="7" t="n">
        <x:v>1.34</x:v>
      </x:c>
      <x:c r="L266" s="6" t="n"/>
    </x:row>
    <x:row r="267">
      <x:c r="A267" s="6" t="inlineStr">
        <x:is>
          <x:t xml:space="preserve">ct_jardim_miriam_blocos_05_a_09</x:t>
        </x:is>
      </x:c>
      <x:c r="B267" s="6" t="inlineStr">
        <x:is>
          <x:t xml:space="preserve">PV</x:t>
        </x:is>
      </x:c>
      <x:c r="C267" s="6" t="inlineStr">
        <x:is>
          <x:t xml:space="preserve">PV-57</x:t>
        </x:is>
      </x:c>
      <x:c r="D267" s="6" t="inlineStr">
        <x:is>
          <x:t xml:space="preserve">PV-57</x:t>
        </x:is>
      </x:c>
      <x:c r="E267" s="7" t="n">
        <x:v>7398510.831309051</x:v>
      </x:c>
      <x:c r="F267" s="7" t="n">
        <x:v>358038.7450500305</x:v>
      </x:c>
      <x:c r="G267" s="7" t="n">
        <x:v>-23.5174364</x:v>
      </x:c>
      <x:c r="H267" s="7" t="n">
        <x:v>-46.3905008</x:v>
      </x:c>
      <x:c r="I267" s="7" t="n">
        <x:v>775.36</x:v>
      </x:c>
      <x:c r="J267" s="7" t="n">
        <x:v>774.0700000000001</x:v>
      </x:c>
      <x:c r="K267" s="7" t="n">
        <x:v>1.29</x:v>
      </x:c>
      <x:c r="L267" s="6" t="n"/>
    </x:row>
    <x:row r="268">
      <x:c r="A268" s="6" t="inlineStr">
        <x:is>
          <x:t xml:space="preserve">ct_jardim_miriam_blocos_05_a_09</x:t>
        </x:is>
      </x:c>
      <x:c r="B268" s="6" t="inlineStr">
        <x:is>
          <x:t xml:space="preserve">PV</x:t>
        </x:is>
      </x:c>
      <x:c r="C268" s="6" t="inlineStr">
        <x:is>
          <x:t xml:space="preserve">PV-55</x:t>
        </x:is>
      </x:c>
      <x:c r="D268" s="6" t="inlineStr">
        <x:is>
          <x:t xml:space="preserve">PV-55</x:t>
        </x:is>
      </x:c>
      <x:c r="E268" s="7" t="n">
        <x:v>7398503.662510001</x:v>
      </x:c>
      <x:c r="F268" s="7" t="n">
        <x:v>358001.445</x:v>
      </x:c>
      <x:c r="G268" s="7" t="n">
        <x:v>-23.5174979</x:v>
      </x:c>
      <x:c r="H268" s="7" t="n">
        <x:v>-46.3908667</x:v>
      </x:c>
      <x:c r="I268" s="7" t="n">
        <x:v>773.434</x:v>
      </x:c>
      <x:c r="J268" s="7" t="n">
        <x:v>770.704</x:v>
      </x:c>
      <x:c r="K268" s="7" t="n">
        <x:v>2.73</x:v>
      </x:c>
      <x:c r="L268" s="6" t="n"/>
    </x:row>
    <x:row r="269">
      <x:c r="A269" s="6" t="inlineStr">
        <x:is>
          <x:t xml:space="preserve">ct_jardim_miriam_blocos_05_a_09</x:t>
        </x:is>
      </x:c>
      <x:c r="B269" s="6" t="inlineStr">
        <x:is>
          <x:t xml:space="preserve">PV</x:t>
        </x:is>
      </x:c>
      <x:c r="C269" s="6" t="inlineStr">
        <x:is>
          <x:t xml:space="preserve">PT-001</x:t>
        </x:is>
      </x:c>
      <x:c r="D269" s="6" t="inlineStr">
        <x:is>
          <x:t xml:space="preserve">PT-001</x:t>
        </x:is>
      </x:c>
      <x:c r="E269" s="7" t="n">
        <x:v>7398407.456194</x:v>
      </x:c>
      <x:c r="F269" s="7" t="n">
        <x:v>357848.234406</x:v>
      </x:c>
      <x:c r="G269" s="7" t="n">
        <x:v>-23.5183532</x:v>
      </x:c>
      <x:c r="H269" s="7" t="n">
        <x:v>-46.3923762</x:v>
      </x:c>
      <x:c r="I269" s="6" t="n"/>
      <x:c r="J269" s="6" t="n"/>
      <x:c r="K269" s="6" t="n"/>
      <x:c r="L269" s="6" t="inlineStr">
        <x:is>
          <x:t xml:space="preserve">Ponto gerado automaticamente pela extremidade da rede.</x:t>
        </x:is>
      </x:c>
    </x:row>
    <x:row r="270">
      <x:c r="A270" s="6" t="inlineStr">
        <x:is>
          <x:t xml:space="preserve">cts_doroteia</x:t>
        </x:is>
      </x:c>
      <x:c r="B270" s="6" t="inlineStr">
        <x:is>
          <x:t xml:space="preserve">PI</x:t>
        </x:is>
      </x:c>
      <x:c r="C270" s="6" t="inlineStr">
        <x:is>
          <x:t xml:space="preserve">PI-81</x:t>
        </x:is>
      </x:c>
      <x:c r="D270" s="6" t="inlineStr">
        <x:is>
          <x:t xml:space="preserve">PI-81</x:t>
        </x:is>
      </x:c>
      <x:c r="E270" s="7" t="n">
        <x:v>7398612.205001</x:v>
      </x:c>
      <x:c r="F270" s="7" t="n">
        <x:v>357867.1840910001</x:v>
      </x:c>
      <x:c r="G270" s="7" t="n">
        <x:v>-23.516506</x:v>
      </x:c>
      <x:c r="H270" s="7" t="n">
        <x:v>-46.3921712</x:v>
      </x:c>
      <x:c r="I270" s="7" t="n">
        <x:v>768.33</x:v>
      </x:c>
      <x:c r="J270" s="7" t="n">
        <x:v>766.5700000000001</x:v>
      </x:c>
      <x:c r="K270" s="7" t="n">
        <x:v>1.76</x:v>
      </x:c>
      <x:c r="L270" s="6" t="inlineStr">
        <x:is>
          <x:t xml:space="preserve">Conforme projeto, considerar o numero do PI como 17.1 pois o campo não aceita caracteres especiais.</x:t>
        </x:is>
      </x:c>
    </x:row>
    <x:row r="271">
      <x:c r="A271" s="6" t="inlineStr">
        <x:is>
          <x:t xml:space="preserve">cts_doroteia</x:t>
        </x:is>
      </x:c>
      <x:c r="B271" s="6" t="inlineStr">
        <x:is>
          <x:t xml:space="preserve">PV</x:t>
        </x:is>
      </x:c>
      <x:c r="C271" s="6" t="inlineStr">
        <x:is>
          <x:t xml:space="preserve">PV-6</x:t>
        </x:is>
      </x:c>
      <x:c r="D271" s="6" t="inlineStr">
        <x:is>
          <x:t xml:space="preserve">PV-6</x:t>
        </x:is>
      </x:c>
      <x:c r="E271" s="7" t="n">
        <x:v>7398599.330261999</x:v>
      </x:c>
      <x:c r="F271" s="7" t="n">
        <x:v>357907.2037540001</x:v>
      </x:c>
      <x:c r="G271" s="7" t="n">
        <x:v>-23.5166257</x:v>
      </x:c>
      <x:c r="H271" s="7" t="n">
        <x:v>-46.3917805</x:v>
      </x:c>
      <x:c r="I271" s="7" t="n">
        <x:v>770.228</x:v>
      </x:c>
      <x:c r="J271" s="7" t="n">
        <x:v>766.048</x:v>
      </x:c>
      <x:c r="K271" s="7" t="n">
        <x:v>4.18</x:v>
      </x:c>
      <x:c r="L271" s="6" t="n"/>
    </x:row>
    <x:row r="272">
      <x:c r="A272" s="6" t="inlineStr">
        <x:is>
          <x:t xml:space="preserve">cts_doroteia</x:t>
        </x:is>
      </x:c>
      <x:c r="B272" s="6" t="inlineStr">
        <x:is>
          <x:t xml:space="preserve">PV</x:t>
        </x:is>
      </x:c>
      <x:c r="C272" s="6" t="inlineStr">
        <x:is>
          <x:t xml:space="preserve">PV-19</x:t>
        </x:is>
      </x:c>
      <x:c r="D272" s="6" t="inlineStr">
        <x:is>
          <x:t xml:space="preserve">PV-19</x:t>
        </x:is>
      </x:c>
      <x:c r="E272" s="7" t="n">
        <x:v>7398781.374566</x:v>
      </x:c>
      <x:c r="F272" s="7" t="n">
        <x:v>357813.698223</x:v>
      </x:c>
      <x:c r="G272" s="7" t="n">
        <x:v>-23.5149736</x:v>
      </x:c>
      <x:c r="H272" s="7" t="n">
        <x:v>-46.3926789</x:v>
      </x:c>
      <x:c r="I272" s="7" t="n">
        <x:v>777.3390000000001</x:v>
      </x:c>
      <x:c r="J272" s="7" t="n">
        <x:v>775.739</x:v>
      </x:c>
      <x:c r="K272" s="7" t="n">
        <x:v>1.6</x:v>
      </x:c>
      <x:c r="L272" s="6" t="n"/>
    </x:row>
    <x:row r="273">
      <x:c r="A273" s="6" t="inlineStr">
        <x:is>
          <x:t xml:space="preserve">cts_doroteia</x:t>
        </x:is>
      </x:c>
      <x:c r="B273" s="6" t="inlineStr">
        <x:is>
          <x:t xml:space="preserve">PV</x:t>
        </x:is>
      </x:c>
      <x:c r="C273" s="6" t="inlineStr">
        <x:is>
          <x:t xml:space="preserve">PV-12</x:t>
        </x:is>
      </x:c>
      <x:c r="D273" s="6" t="inlineStr">
        <x:is>
          <x:t xml:space="preserve">PV-12</x:t>
        </x:is>
      </x:c>
      <x:c r="E273" s="7" t="n">
        <x:v>7398774.63742</x:v>
      </x:c>
      <x:c r="F273" s="7" t="n">
        <x:v>357838.689673</x:v>
      </x:c>
      <x:c r="G273" s="7" t="n">
        <x:v>-23.5150367</x:v>
      </x:c>
      <x:c r="H273" s="7" t="n">
        <x:v>-46.3924348</x:v>
      </x:c>
      <x:c r="I273" s="7" t="n">
        <x:v>773.327</x:v>
      </x:c>
      <x:c r="J273" s="7" t="n">
        <x:v>770.727</x:v>
      </x:c>
      <x:c r="K273" s="7" t="n">
        <x:v>2.6</x:v>
      </x:c>
      <x:c r="L273" s="6" t="n"/>
    </x:row>
    <x:row r="274">
      <x:c r="A274" s="6" t="inlineStr">
        <x:is>
          <x:t xml:space="preserve">cts_doroteia</x:t>
        </x:is>
      </x:c>
      <x:c r="B274" s="6" t="inlineStr">
        <x:is>
          <x:t xml:space="preserve">PV</x:t>
        </x:is>
      </x:c>
      <x:c r="C274" s="6" t="inlineStr">
        <x:is>
          <x:t xml:space="preserve">PV-9</x:t>
        </x:is>
      </x:c>
      <x:c r="D274" s="6" t="inlineStr">
        <x:is>
          <x:t xml:space="preserve">PV-9</x:t>
        </x:is>
      </x:c>
      <x:c r="E274" s="7" t="n">
        <x:v>7398657.145019001</x:v>
      </x:c>
      <x:c r="F274" s="7" t="n">
        <x:v>357875.3508010001</x:v>
      </x:c>
      <x:c r="G274" s="7" t="n">
        <x:v>-23.5161009</x:v>
      </x:c>
      <x:c r="H274" s="7" t="n">
        <x:v>-46.392087</x:v>
      </x:c>
      <x:c r="I274" s="7" t="n">
        <x:v>771.634</x:v>
      </x:c>
      <x:c r="J274" s="7" t="n">
        <x:v>766.924</x:v>
      </x:c>
      <x:c r="K274" s="7" t="n">
        <x:v>4.71</x:v>
      </x:c>
      <x:c r="L274" s="6" t="n"/>
    </x:row>
    <x:row r="275">
      <x:c r="A275" s="6" t="inlineStr">
        <x:is>
          <x:t xml:space="preserve">cts_doroteia</x:t>
        </x:is>
      </x:c>
      <x:c r="B275" s="6" t="inlineStr">
        <x:is>
          <x:t xml:space="preserve">PV</x:t>
        </x:is>
      </x:c>
      <x:c r="C275" s="6" t="inlineStr">
        <x:is>
          <x:t xml:space="preserve">PV-10</x:t>
        </x:is>
      </x:c>
      <x:c r="D275" s="6" t="inlineStr">
        <x:is>
          <x:t xml:space="preserve">PV-10</x:t>
        </x:is>
      </x:c>
      <x:c r="E275" s="7" t="n">
        <x:v>7398715.026984</x:v>
      </x:c>
      <x:c r="F275" s="7" t="n">
        <x:v>357865.517187</x:v>
      </x:c>
      <x:c r="G275" s="7" t="n">
        <x:v>-23.5155773</x:v>
      </x:c>
      <x:c r="H275" s="7" t="n">
        <x:v>-46.3921778</x:v>
      </x:c>
      <x:c r="I275" s="7" t="n">
        <x:v>772.314</x:v>
      </x:c>
      <x:c r="J275" s="7" t="n">
        <x:v>767.564</x:v>
      </x:c>
      <x:c r="K275" s="7" t="n">
        <x:v>4.75</x:v>
      </x:c>
      <x:c r="L275" s="6" t="n"/>
    </x:row>
    <x:row r="276">
      <x:c r="A276" s="6" t="inlineStr">
        <x:is>
          <x:t xml:space="preserve">cts_doroteia</x:t>
        </x:is>
      </x:c>
      <x:c r="B276" s="6" t="inlineStr">
        <x:is>
          <x:t xml:space="preserve">PV</x:t>
        </x:is>
      </x:c>
      <x:c r="C276" s="6" t="inlineStr">
        <x:is>
          <x:t xml:space="preserve">PV-8</x:t>
        </x:is>
      </x:c>
      <x:c r="D276" s="6" t="inlineStr">
        <x:is>
          <x:t xml:space="preserve">PV-8</x:t>
        </x:is>
      </x:c>
      <x:c r="E276" s="7" t="n">
        <x:v>7398609.736809</x:v>
      </x:c>
      <x:c r="F276" s="7" t="n">
        <x:v>357867.239515</x:v>
      </x:c>
      <x:c r="G276" s="7" t="n">
        <x:v>-23.5165283</x:v>
      </x:c>
      <x:c r="H276" s="7" t="n">
        <x:v>-46.3921709</x:v>
      </x:c>
      <x:c r="I276" s="7" t="n">
        <x:v>768.225</x:v>
      </x:c>
      <x:c r="J276" s="7" t="n">
        <x:v>766.255</x:v>
      </x:c>
      <x:c r="K276" s="7" t="n">
        <x:v>1.97</x:v>
      </x:c>
      <x:c r="L276" s="6" t="n"/>
    </x:row>
    <x:row r="277">
      <x:c r="A277" s="6" t="inlineStr">
        <x:is>
          <x:t xml:space="preserve">cts_doroteia</x:t>
        </x:is>
      </x:c>
      <x:c r="B277" s="6" t="inlineStr">
        <x:is>
          <x:t xml:space="preserve">PV</x:t>
        </x:is>
      </x:c>
      <x:c r="C277" s="6" t="inlineStr">
        <x:is>
          <x:t xml:space="preserve">PV-3</x:t>
        </x:is>
      </x:c>
      <x:c r="D277" s="6" t="inlineStr">
        <x:is>
          <x:t xml:space="preserve">PV-3</x:t>
        </x:is>
      </x:c>
      <x:c r="E277" s="7" t="n">
        <x:v>7398423.539489</x:v>
      </x:c>
      <x:c r="F277" s="7" t="n">
        <x:v>357876.5475010001</x:v>
      </x:c>
      <x:c r="G277" s="7" t="n">
        <x:v>-23.5182105</x:v>
      </x:c>
      <x:c r="H277" s="7" t="n">
        <x:v>-46.3920974</x:v>
      </x:c>
      <x:c r="I277" s="7" t="n">
        <x:v>763.299</x:v>
      </x:c>
      <x:c r="J277" s="7" t="n">
        <x:v>761.449</x:v>
      </x:c>
      <x:c r="K277" s="7" t="n">
        <x:v>1.85</x:v>
      </x:c>
      <x:c r="L277" s="6" t="n"/>
    </x:row>
    <x:row r="278">
      <x:c r="A278" s="6" t="inlineStr">
        <x:is>
          <x:t xml:space="preserve">cts_doroteia</x:t>
        </x:is>
      </x:c>
      <x:c r="B278" s="6" t="inlineStr">
        <x:is>
          <x:t xml:space="preserve">PV</x:t>
        </x:is>
      </x:c>
      <x:c r="C278" s="6" t="inlineStr">
        <x:is>
          <x:t xml:space="preserve">PV-4</x:t>
        </x:is>
      </x:c>
      <x:c r="D278" s="6" t="inlineStr">
        <x:is>
          <x:t xml:space="preserve">PV-4</x:t>
        </x:is>
      </x:c>
      <x:c r="E278" s="7" t="n">
        <x:v>7398500.670877908</x:v>
      </x:c>
      <x:c r="F278" s="7" t="n">
        <x:v>357890.5132374133</x:v>
      </x:c>
      <x:c r="G278" s="7" t="n">
        <x:v>-23.5175152</x:v>
      </x:c>
      <x:c r="H278" s="7" t="n">
        <x:v>-46.3919533</x:v>
      </x:c>
      <x:c r="I278" s="7" t="n">
        <x:v>770.598</x:v>
      </x:c>
      <x:c r="J278" s="7" t="n">
        <x:v>765.318</x:v>
      </x:c>
      <x:c r="K278" s="7" t="n">
        <x:v>5.28</x:v>
      </x:c>
      <x:c r="L278" s="6" t="n"/>
    </x:row>
    <x:row r="279">
      <x:c r="A279" s="6" t="inlineStr">
        <x:is>
          <x:t xml:space="preserve">cts_jardim_lourdes</x:t>
        </x:is>
      </x:c>
      <x:c r="B279" s="6" t="inlineStr">
        <x:is>
          <x:t xml:space="preserve">PV</x:t>
        </x:is>
      </x:c>
      <x:c r="C279" s="6" t="inlineStr">
        <x:is>
          <x:t xml:space="preserve">PV-14</x:t>
        </x:is>
      </x:c>
      <x:c r="D279" s="6" t="inlineStr">
        <x:is>
          <x:t xml:space="preserve">PV-14</x:t>
        </x:is>
      </x:c>
      <x:c r="E279" s="7" t="n">
        <x:v>7397511.721550001</x:v>
      </x:c>
      <x:c r="F279" s="7" t="n">
        <x:v>358310.1589742948</x:v>
      </x:c>
      <x:c r="G279" s="7" t="n">
        <x:v>-23.5264823</x:v>
      </x:c>
      <x:c r="H279" s="7" t="n">
        <x:v>-46.3879375</x:v>
      </x:c>
      <x:c r="I279" s="7" t="n">
        <x:v>773.799</x:v>
      </x:c>
      <x:c r="J279" s="7" t="n">
        <x:v>769.829</x:v>
      </x:c>
      <x:c r="K279" s="7" t="n">
        <x:v>3.97</x:v>
      </x:c>
      <x:c r="L279" s="6" t="n"/>
    </x:row>
    <x:row r="280">
      <x:c r="A280" s="6" t="inlineStr">
        <x:is>
          <x:t xml:space="preserve">cts_jardim_lourdes</x:t>
        </x:is>
      </x:c>
      <x:c r="B280" s="6" t="inlineStr">
        <x:is>
          <x:t xml:space="preserve">PV</x:t>
        </x:is>
      </x:c>
      <x:c r="C280" s="6" t="inlineStr">
        <x:is>
          <x:t xml:space="preserve">PV-10</x:t>
        </x:is>
      </x:c>
      <x:c r="D280" s="6" t="inlineStr">
        <x:is>
          <x:t xml:space="preserve">PV-10</x:t>
        </x:is>
      </x:c>
      <x:c r="E280" s="7" t="n">
        <x:v>7397410.686200004</x:v>
      </x:c>
      <x:c r="F280" s="7" t="n">
        <x:v>358193.2085000002</x:v>
      </x:c>
      <x:c r="G280" s="7" t="n">
        <x:v>-23.5273844</x:v>
      </x:c>
      <x:c r="H280" s="7" t="n">
        <x:v>-46.3890924</x:v>
      </x:c>
      <x:c r="I280" s="7" t="n">
        <x:v>769.301</x:v>
      </x:c>
      <x:c r="J280" s="7" t="n">
        <x:v>766.171</x:v>
      </x:c>
      <x:c r="K280" s="7" t="n">
        <x:v>3.13</x:v>
      </x:c>
      <x:c r="L280" s="6" t="n"/>
    </x:row>
    <x:row r="281">
      <x:c r="A281" s="6" t="inlineStr">
        <x:is>
          <x:t xml:space="preserve">cts_jardim_lourdes</x:t>
        </x:is>
      </x:c>
      <x:c r="B281" s="6" t="inlineStr">
        <x:is>
          <x:t xml:space="preserve">PV</x:t>
        </x:is>
      </x:c>
      <x:c r="C281" s="6" t="inlineStr">
        <x:is>
          <x:t xml:space="preserve">PV-8</x:t>
        </x:is>
      </x:c>
      <x:c r="D281" s="6" t="inlineStr">
        <x:is>
          <x:t xml:space="preserve">PV-8</x:t>
        </x:is>
      </x:c>
      <x:c r="E281" s="7" t="n">
        <x:v>7397351.621910001</x:v>
      </x:c>
      <x:c r="F281" s="7" t="n">
        <x:v>358154.1925799999</x:v>
      </x:c>
      <x:c r="G281" s="7" t="n">
        <x:v>-23.5279144</x:v>
      </x:c>
      <x:c r="H281" s="7" t="n">
        <x:v>-46.3894801</x:v>
      </x:c>
      <x:c r="I281" s="7" t="n">
        <x:v>769.934</x:v>
      </x:c>
      <x:c r="J281" s="7" t="n">
        <x:v>765.354</x:v>
      </x:c>
      <x:c r="K281" s="7" t="n">
        <x:v>4.58</x:v>
      </x:c>
      <x:c r="L281" s="6" t="n"/>
    </x:row>
    <x:row r="282">
      <x:c r="A282" s="6" t="inlineStr">
        <x:is>
          <x:t xml:space="preserve">cts_jardim_lourdes</x:t>
        </x:is>
      </x:c>
      <x:c r="B282" s="6" t="inlineStr">
        <x:is>
          <x:t xml:space="preserve">PV</x:t>
        </x:is>
      </x:c>
      <x:c r="C282" s="6" t="inlineStr">
        <x:is>
          <x:t xml:space="preserve">PV-7</x:t>
        </x:is>
      </x:c>
      <x:c r="D282" s="6" t="inlineStr">
        <x:is>
          <x:t xml:space="preserve">PV-7</x:t>
        </x:is>
      </x:c>
      <x:c r="E282" s="7" t="n">
        <x:v>7397297.01094</x:v>
      </x:c>
      <x:c r="F282" s="7" t="n">
        <x:v>358117.2734799999</x:v>
      </x:c>
      <x:c r="G282" s="7" t="n">
        <x:v>-23.5284043</x:v>
      </x:c>
      <x:c r="H282" s="7" t="n">
        <x:v>-46.3898469</x:v>
      </x:c>
      <x:c r="I282" s="7" t="n">
        <x:v>769.103</x:v>
      </x:c>
      <x:c r="J282" s="7" t="n">
        <x:v>764.473</x:v>
      </x:c>
      <x:c r="K282" s="7" t="n">
        <x:v>4.63</x:v>
      </x:c>
      <x:c r="L282" s="6" t="n"/>
    </x:row>
    <x:row r="283">
      <x:c r="A283" s="6" t="inlineStr">
        <x:is>
          <x:t xml:space="preserve">cts_jardim_lourdes</x:t>
        </x:is>
      </x:c>
      <x:c r="B283" s="6" t="inlineStr">
        <x:is>
          <x:t xml:space="preserve">PV</x:t>
        </x:is>
      </x:c>
      <x:c r="C283" s="6" t="inlineStr">
        <x:is>
          <x:t xml:space="preserve">PV-6</x:t>
        </x:is>
      </x:c>
      <x:c r="D283" s="6" t="inlineStr">
        <x:is>
          <x:t xml:space="preserve">PV-6</x:t>
        </x:is>
      </x:c>
      <x:c r="E283" s="7" t="n">
        <x:v>7397230.539180001</x:v>
      </x:c>
      <x:c r="F283" s="7" t="n">
        <x:v>358078.35797</x:v>
      </x:c>
      <x:c r="G283" s="7" t="n">
        <x:v>-23.5290011</x:v>
      </x:c>
      <x:c r="H283" s="7" t="n">
        <x:v>-46.3902343</x:v>
      </x:c>
      <x:c r="I283" s="7" t="n">
        <x:v>768.5119999999999</x:v>
      </x:c>
      <x:c r="J283" s="7" t="n">
        <x:v>763.732</x:v>
      </x:c>
      <x:c r="K283" s="7" t="n">
        <x:v>4.78</x:v>
      </x:c>
      <x:c r="L283" s="6" t="n"/>
    </x:row>
    <x:row r="284">
      <x:c r="A284" s="6" t="inlineStr">
        <x:is>
          <x:t xml:space="preserve">cts_jardim_lourdes</x:t>
        </x:is>
      </x:c>
      <x:c r="B284" s="6" t="inlineStr">
        <x:is>
          <x:t xml:space="preserve">PV</x:t>
        </x:is>
      </x:c>
      <x:c r="C284" s="6" t="inlineStr">
        <x:is>
          <x:t xml:space="preserve">PV-5</x:t>
        </x:is>
      </x:c>
      <x:c r="D284" s="6" t="inlineStr">
        <x:is>
          <x:t xml:space="preserve">PV-5</x:t>
        </x:is>
      </x:c>
      <x:c r="E284" s="7" t="n">
        <x:v>7397167.228880002</x:v>
      </x:c>
      <x:c r="F284" s="7" t="n">
        <x:v>358040.3107499991</x:v>
      </x:c>
      <x:c r="G284" s="7" t="n">
        <x:v>-23.5295695</x:v>
      </x:c>
      <x:c r="H284" s="7" t="n">
        <x:v>-46.3906129</x:v>
      </x:c>
      <x:c r="I284" s="7" t="n">
        <x:v>767.5069999999999</x:v>
      </x:c>
      <x:c r="J284" s="7" t="n">
        <x:v>762.847</x:v>
      </x:c>
      <x:c r="K284" s="7" t="n">
        <x:v>4.66</x:v>
      </x:c>
      <x:c r="L284" s="6" t="n"/>
    </x:row>
    <x:row r="285">
      <x:c r="A285" s="6" t="inlineStr">
        <x:is>
          <x:t xml:space="preserve">cts_jardim_lourdes</x:t>
        </x:is>
      </x:c>
      <x:c r="B285" s="6" t="inlineStr">
        <x:is>
          <x:t xml:space="preserve">PV</x:t>
        </x:is>
      </x:c>
      <x:c r="C285" s="6" t="inlineStr">
        <x:is>
          <x:t xml:space="preserve">PV-3</x:t>
        </x:is>
      </x:c>
      <x:c r="D285" s="6" t="inlineStr">
        <x:is>
          <x:t xml:space="preserve">PV-3</x:t>
        </x:is>
      </x:c>
      <x:c r="E285" s="7" t="n">
        <x:v>7397138.1182</x:v>
      </x:c>
      <x:c r="F285" s="7" t="n">
        <x:v>357960.24171</x:v>
      </x:c>
      <x:c r="G285" s="7" t="n">
        <x:v>-23.5298254</x:v>
      </x:c>
      <x:c r="H285" s="7" t="n">
        <x:v>-46.3913999</x:v>
      </x:c>
      <x:c r="I285" s="7" t="n">
        <x:v>761.739</x:v>
      </x:c>
      <x:c r="J285" s="7" t="n">
        <x:v>757.309</x:v>
      </x:c>
      <x:c r="K285" s="7" t="n">
        <x:v>4.43</x:v>
      </x:c>
      <x:c r="L285" s="6" t="n"/>
    </x:row>
    <x:row r="286">
      <x:c r="A286" s="6" t="inlineStr">
        <x:is>
          <x:t xml:space="preserve">cts_jardim_lourdes</x:t>
        </x:is>
      </x:c>
      <x:c r="B286" s="6" t="inlineStr">
        <x:is>
          <x:t xml:space="preserve">PV</x:t>
        </x:is>
      </x:c>
      <x:c r="C286" s="6" t="inlineStr">
        <x:is>
          <x:t xml:space="preserve">PV-2</x:t>
        </x:is>
      </x:c>
      <x:c r="D286" s="6" t="inlineStr">
        <x:is>
          <x:t xml:space="preserve">PV-2</x:t>
        </x:is>
      </x:c>
      <x:c r="E286" s="7" t="n">
        <x:v>7397107.896449999</x:v>
      </x:c>
      <x:c r="F286" s="7" t="n">
        <x:v>357926.34695</x:v>
      </x:c>
      <x:c r="G286" s="7" t="n">
        <x:v>-23.5300953</x:v>
      </x:c>
      <x:c r="H286" s="7" t="n">
        <x:v>-46.3917347</x:v>
      </x:c>
      <x:c r="I286" s="7" t="n">
        <x:v>760.9299999999999</x:v>
      </x:c>
      <x:c r="J286" s="7" t="n">
        <x:v>756.5</x:v>
      </x:c>
      <x:c r="K286" s="7" t="n">
        <x:v>4.43</x:v>
      </x:c>
      <x:c r="L286" s="6" t="inlineStr">
        <x:is>
          <x:t xml:space="preserve">Conforme projeto, considerar o número do PV como 2A, uma vez que o campo não aceita caracteres alfanuméricos.</x:t>
        </x:is>
      </x:c>
    </x:row>
    <x:row r="287">
      <x:c r="A287" s="6" t="inlineStr">
        <x:is>
          <x:t xml:space="preserve">cts_jardim_lourdes</x:t>
        </x:is>
      </x:c>
      <x:c r="B287" s="6" t="inlineStr">
        <x:is>
          <x:t xml:space="preserve">PV</x:t>
        </x:is>
      </x:c>
      <x:c r="C287" s="6" t="inlineStr">
        <x:is>
          <x:t xml:space="preserve">PV-121</x:t>
        </x:is>
      </x:c>
      <x:c r="D287" s="6" t="inlineStr">
        <x:is>
          <x:t xml:space="preserve">PV-121</x:t>
        </x:is>
      </x:c>
      <x:c r="E287" s="7" t="n">
        <x:v>7397454.6122</x:v>
      </x:c>
      <x:c r="F287" s="7" t="n">
        <x:v>358245.67226</x:v>
      </x:c>
      <x:c r="G287" s="7" t="n">
        <x:v>-23.5269923</x:v>
      </x:c>
      <x:c r="H287" s="7" t="n">
        <x:v>-46.3885745</x:v>
      </x:c>
      <x:c r="I287" s="7" t="n">
        <x:v>770.515</x:v>
      </x:c>
      <x:c r="J287" s="7" t="n">
        <x:v>768.665</x:v>
      </x:c>
      <x:c r="K287" s="7" t="n">
        <x:v>1.85</x:v>
      </x:c>
      <x:c r="L287" s="6" t="inlineStr">
        <x:is>
          <x:t xml:space="preserve">Conforme projeto, considerar o número do PV como 12.1, uma vez que o campo não aceita caracteres espeiciais.</x:t>
        </x:is>
      </x:c>
    </x:row>
    <x:row r="288">
      <x:c r="A288" s="6" t="inlineStr">
        <x:is>
          <x:t xml:space="preserve">cts_jardim_lourdes</x:t>
        </x:is>
      </x:c>
      <x:c r="B288" s="6" t="inlineStr">
        <x:is>
          <x:t xml:space="preserve">PV</x:t>
        </x:is>
      </x:c>
      <x:c r="C288" s="6" t="inlineStr">
        <x:is>
          <x:t xml:space="preserve">PV-17</x:t>
        </x:is>
      </x:c>
      <x:c r="D288" s="6" t="inlineStr">
        <x:is>
          <x:t xml:space="preserve">PV-17</x:t>
        </x:is>
      </x:c>
      <x:c r="E288" s="7" t="n">
        <x:v>7397504.89053</x:v>
      </x:c>
      <x:c r="F288" s="7" t="n">
        <x:v>358390.16473</x:v>
      </x:c>
      <x:c r="G288" s="7" t="n">
        <x:v>-23.5265509</x:v>
      </x:c>
      <x:c r="H288" s="7" t="n">
        <x:v>-46.3871546</x:v>
      </x:c>
      <x:c r="I288" s="7" t="n">
        <x:v>778.644</x:v>
      </x:c>
      <x:c r="J288" s="7" t="n">
        <x:v>772.114</x:v>
      </x:c>
      <x:c r="K288" s="7" t="n">
        <x:v>6.53</x:v>
      </x:c>
      <x:c r="L288" s="6" t="n"/>
    </x:row>
    <x:row r="289">
      <x:c r="A289" s="6" t="inlineStr">
        <x:is>
          <x:t xml:space="preserve">cts_jardim_lourdes</x:t>
        </x:is>
      </x:c>
      <x:c r="B289" s="6" t="inlineStr">
        <x:is>
          <x:t xml:space="preserve">PV</x:t>
        </x:is>
      </x:c>
      <x:c r="C289" s="6" t="inlineStr">
        <x:is>
          <x:t xml:space="preserve">PV-20</x:t>
        </x:is>
      </x:c>
      <x:c r="D289" s="6" t="inlineStr">
        <x:is>
          <x:t xml:space="preserve">PV-20</x:t>
        </x:is>
      </x:c>
      <x:c r="E289" s="7" t="n">
        <x:v>7397567.875910001</x:v>
      </x:c>
      <x:c r="F289" s="7" t="n">
        <x:v>358466.88928</x:v>
      </x:c>
      <x:c r="G289" s="7" t="n">
        <x:v>-23.5259889</x:v>
      </x:c>
      <x:c r="H289" s="7" t="n">
        <x:v>-46.3863973</x:v>
      </x:c>
      <x:c r="I289" s="7" t="n">
        <x:v>780.6</x:v>
      </x:c>
      <x:c r="J289" s="7" t="n">
        <x:v>774.52</x:v>
      </x:c>
      <x:c r="K289" s="7" t="n">
        <x:v>6.08</x:v>
      </x:c>
      <x:c r="L289" s="6" t="n"/>
    </x:row>
    <x:row r="290">
      <x:c r="A290" s="6" t="inlineStr">
        <x:is>
          <x:t xml:space="preserve">cts_jardim_lourdes</x:t>
        </x:is>
      </x:c>
      <x:c r="B290" s="6" t="inlineStr">
        <x:is>
          <x:t xml:space="preserve">PV</x:t>
        </x:is>
      </x:c>
      <x:c r="C290" s="6" t="inlineStr">
        <x:is>
          <x:t xml:space="preserve">PV-251</x:t>
        </x:is>
      </x:c>
      <x:c r="D290" s="6" t="inlineStr">
        <x:is>
          <x:t xml:space="preserve">PV-251</x:t>
        </x:is>
      </x:c>
      <x:c r="E290" s="7" t="n">
        <x:v>7397620.28758</x:v>
      </x:c>
      <x:c r="F290" s="7" t="n">
        <x:v>358445.50736</x:v>
      </x:c>
      <x:c r="G290" s="7" t="n">
        <x:v>-23.5255137</x:v>
      </x:c>
      <x:c r="H290" s="7" t="n">
        <x:v>-46.3866017</x:v>
      </x:c>
      <x:c r="I290" s="7" t="n">
        <x:v>784.378</x:v>
      </x:c>
      <x:c r="J290" s="7" t="n">
        <x:v>782.778</x:v>
      </x:c>
      <x:c r="K290" s="7" t="n">
        <x:v>1.6</x:v>
      </x:c>
      <x:c r="L290" s="6" t="n"/>
    </x:row>
    <x:row r="291">
      <x:c r="A291" s="6" t="inlineStr">
        <x:is>
          <x:t xml:space="preserve">cts_jardim_lourdes</x:t>
        </x:is>
      </x:c>
      <x:c r="B291" s="6" t="inlineStr">
        <x:is>
          <x:t xml:space="preserve">PV</x:t>
        </x:is>
      </x:c>
      <x:c r="C291" s="6" t="inlineStr">
        <x:is>
          <x:t xml:space="preserve">PV-25</x:t>
        </x:is>
      </x:c>
      <x:c r="D291" s="6" t="inlineStr">
        <x:is>
          <x:t xml:space="preserve">PV-25</x:t>
        </x:is>
      </x:c>
      <x:c r="E291" s="7" t="n">
        <x:v>7397624.936139999</x:v>
      </x:c>
      <x:c r="F291" s="7" t="n">
        <x:v>358447.34342</x:v>
      </x:c>
      <x:c r="G291" s="7" t="n">
        <x:v>-23.5254719</x:v>
      </x:c>
      <x:c r="H291" s="7" t="n">
        <x:v>-46.3865833</x:v>
      </x:c>
      <x:c r="I291" s="7" t="n">
        <x:v>784.4640000000001</x:v>
      </x:c>
      <x:c r="J291" s="7" t="n">
        <x:v>782.314</x:v>
      </x:c>
      <x:c r="K291" s="7" t="n">
        <x:v>2.15</x:v>
      </x:c>
      <x:c r="L291" s="6" t="n"/>
    </x:row>
    <x:row r="292">
      <x:c r="A292" s="6" t="inlineStr">
        <x:is>
          <x:t xml:space="preserve">cts_jardim_lourdes</x:t>
        </x:is>
      </x:c>
      <x:c r="B292" s="6" t="inlineStr">
        <x:is>
          <x:t xml:space="preserve">PV</x:t>
        </x:is>
      </x:c>
      <x:c r="C292" s="6" t="inlineStr">
        <x:is>
          <x:t xml:space="preserve">PV-24</x:t>
        </x:is>
      </x:c>
      <x:c r="D292" s="6" t="inlineStr">
        <x:is>
          <x:t xml:space="preserve">PV-24</x:t>
        </x:is>
      </x:c>
      <x:c r="E292" s="7" t="n">
        <x:v>7397643.97226</x:v>
      </x:c>
      <x:c r="F292" s="7" t="n">
        <x:v>358474.77754</x:v>
      </x:c>
      <x:c r="G292" s="7" t="n">
        <x:v>-23.5253024</x:v>
      </x:c>
      <x:c r="H292" s="7" t="n">
        <x:v>-46.3863128</x:v>
      </x:c>
      <x:c r="I292" s="7" t="n">
        <x:v>780.308</x:v>
      </x:c>
      <x:c r="J292" s="7" t="n">
        <x:v>779.448</x:v>
      </x:c>
      <x:c r="K292" s="7" t="n">
        <x:v>0.86</x:v>
      </x:c>
      <x:c r="L292" s="6" t="n"/>
    </x:row>
    <x:row r="293">
      <x:c r="A293" s="6" t="inlineStr">
        <x:is>
          <x:t xml:space="preserve">cts_jardim_lourdes</x:t>
        </x:is>
      </x:c>
      <x:c r="B293" s="6" t="inlineStr">
        <x:is>
          <x:t xml:space="preserve">PV</x:t>
        </x:is>
      </x:c>
      <x:c r="C293" s="6" t="inlineStr">
        <x:is>
          <x:t xml:space="preserve">PV-23</x:t>
        </x:is>
      </x:c>
      <x:c r="D293" s="6" t="inlineStr">
        <x:is>
          <x:t xml:space="preserve">PV-23</x:t>
        </x:is>
      </x:c>
      <x:c r="E293" s="7" t="n">
        <x:v>7397651.6052</x:v>
      </x:c>
      <x:c r="F293" s="7" t="n">
        <x:v>358484.8769700001</x:v>
      </x:c>
      <x:c r="G293" s="7" t="n">
        <x:v>-23.5252343</x:v>
      </x:c>
      <x:c r="H293" s="7" t="n">
        <x:v>-46.3862132</x:v>
      </x:c>
      <x:c r="I293" s="7" t="n">
        <x:v>780.809</x:v>
      </x:c>
      <x:c r="J293" s="7" t="n">
        <x:v>778.659</x:v>
      </x:c>
      <x:c r="K293" s="7" t="n">
        <x:v>2.15</x:v>
      </x:c>
      <x:c r="L293" s="6" t="n"/>
    </x:row>
    <x:row r="294">
      <x:c r="A294" s="6" t="inlineStr">
        <x:is>
          <x:t xml:space="preserve">cts_jardim_lourdes</x:t>
        </x:is>
      </x:c>
      <x:c r="B294" s="6" t="inlineStr">
        <x:is>
          <x:t xml:space="preserve">PV</x:t>
        </x:is>
      </x:c>
      <x:c r="C294" s="6" t="inlineStr">
        <x:is>
          <x:t xml:space="preserve">PV-13</x:t>
        </x:is>
      </x:c>
      <x:c r="D294" s="6" t="inlineStr">
        <x:is>
          <x:t xml:space="preserve">PV-13</x:t>
        </x:is>
      </x:c>
      <x:c r="E294" s="7" t="n">
        <x:v>7397469.101770001</x:v>
      </x:c>
      <x:c r="F294" s="7" t="n">
        <x:v>358259.9910699995</x:v>
      </x:c>
      <x:c r="G294" s="7" t="n">
        <x:v>-23.5268627</x:v>
      </x:c>
      <x:c r="H294" s="7" t="n">
        <x:v>-46.3884329</x:v>
      </x:c>
      <x:c r="I294" s="7" t="n">
        <x:v>770.9349999999999</x:v>
      </x:c>
      <x:c r="J294" s="7" t="n">
        <x:v>767.535</x:v>
      </x:c>
      <x:c r="K294" s="7" t="n">
        <x:v>3.4</x:v>
      </x:c>
      <x:c r="L294" s="6" t="n"/>
    </x:row>
    <x:row r="295">
      <x:c r="A295" s="6" t="inlineStr">
        <x:is>
          <x:t xml:space="preserve">cts_jardim_lourdes</x:t>
        </x:is>
      </x:c>
      <x:c r="B295" s="6" t="inlineStr">
        <x:is>
          <x:t xml:space="preserve">PV</x:t>
        </x:is>
      </x:c>
      <x:c r="C295" s="6" t="inlineStr">
        <x:is>
          <x:t xml:space="preserve">PV-4</x:t>
        </x:is>
      </x:c>
      <x:c r="D295" s="6" t="inlineStr">
        <x:is>
          <x:t xml:space="preserve">PV-4</x:t>
        </x:is>
      </x:c>
      <x:c r="E295" s="7" t="n">
        <x:v>7397176.456689927</x:v>
      </x:c>
      <x:c r="F295" s="7" t="n">
        <x:v>358017.8493598967</x:v>
      </x:c>
      <x:c r="G295" s="7" t="n">
        <x:v>-23.5294842</x:v>
      </x:c>
      <x:c r="H295" s="7" t="n">
        <x:v>-46.390832</x:v>
      </x:c>
      <x:c r="I295" s="7" t="n">
        <x:v>763.638</x:v>
      </x:c>
      <x:c r="J295" s="7" t="n">
        <x:v>758.818</x:v>
      </x:c>
      <x:c r="K295" s="7" t="n">
        <x:v>4.82</x:v>
      </x:c>
      <x:c r="L295" s="6" t="n"/>
    </x:row>
    <x:row r="296">
      <x:c r="A296" s="6" t="inlineStr">
        <x:is>
          <x:t xml:space="preserve">cts_jardim_lourdes</x:t>
        </x:is>
      </x:c>
      <x:c r="B296" s="6" t="inlineStr">
        <x:is>
          <x:t xml:space="preserve">PV</x:t>
        </x:is>
      </x:c>
      <x:c r="C296" s="6" t="inlineStr">
        <x:is>
          <x:t xml:space="preserve">PV-41</x:t>
        </x:is>
      </x:c>
      <x:c r="D296" s="6" t="inlineStr">
        <x:is>
          <x:t xml:space="preserve">PV-41</x:t>
        </x:is>
      </x:c>
      <x:c r="E296" s="7" t="n">
        <x:v>7397188.2795</x:v>
      </x:c>
      <x:c r="F296" s="7" t="n">
        <x:v>358024.4217</x:v>
      </x:c>
      <x:c r="G296" s="7" t="n">
        <x:v>-23.529378</x:v>
      </x:c>
      <x:c r="H296" s="7" t="n">
        <x:v>-46.3907665</x:v>
      </x:c>
      <x:c r="I296" s="7" t="n">
        <x:v>762.213</x:v>
      </x:c>
      <x:c r="J296" s="7" t="n">
        <x:v>759.823</x:v>
      </x:c>
      <x:c r="K296" s="7" t="n">
        <x:v>2.39</x:v>
      </x:c>
      <x:c r="L296" s="6" t="inlineStr">
        <x:is>
          <x:t xml:space="preserve">Conforme projeto, considerar o número do PV como 4.1, uma vez que o campo não aceita caracteres especiais.</x:t>
        </x:is>
      </x:c>
    </x:row>
    <x:row r="297">
      <x:c r="A297" s="6" t="inlineStr">
        <x:is>
          <x:t xml:space="preserve">cts_jardim_lourdes</x:t>
        </x:is>
      </x:c>
      <x:c r="B297" s="6" t="inlineStr">
        <x:is>
          <x:t xml:space="preserve">PV</x:t>
        </x:is>
      </x:c>
      <x:c r="C297" s="6" t="inlineStr">
        <x:is>
          <x:t xml:space="preserve">PV-12</x:t>
        </x:is>
      </x:c>
      <x:c r="D297" s="6" t="inlineStr">
        <x:is>
          <x:t xml:space="preserve">PV-12</x:t>
        </x:is>
      </x:c>
      <x:c r="E297" s="7" t="n">
        <x:v>7397446.933592221</x:v>
      </x:c>
      <x:c r="F297" s="7" t="n">
        <x:v>358235.2990100909</x:v>
      </x:c>
      <x:c r="G297" s="7" t="n">
        <x:v>-23.5270608</x:v>
      </x:c>
      <x:c r="H297" s="7" t="n">
        <x:v>-46.3886768</x:v>
      </x:c>
      <x:c r="I297" s="7" t="n">
        <x:v>770.0170000000001</x:v>
      </x:c>
      <x:c r="J297" s="7" t="n">
        <x:v>766.807</x:v>
      </x:c>
      <x:c r="K297" s="7" t="n">
        <x:v>3.21</x:v>
      </x:c>
      <x:c r="L297" s="6" t="n"/>
    </x:row>
    <x:row r="298">
      <x:c r="A298" s="6" t="inlineStr">
        <x:is>
          <x:t xml:space="preserve">cts_jardim_lourdes</x:t>
        </x:is>
      </x:c>
      <x:c r="B298" s="6" t="inlineStr">
        <x:is>
          <x:t xml:space="preserve">PV</x:t>
        </x:is>
      </x:c>
      <x:c r="C298" s="6" t="inlineStr">
        <x:is>
          <x:t xml:space="preserve">PV-21</x:t>
        </x:is>
      </x:c>
      <x:c r="D298" s="6" t="inlineStr">
        <x:is>
          <x:t xml:space="preserve">PV-21</x:t>
        </x:is>
      </x:c>
      <x:c r="E298" s="7" t="n">
        <x:v>7397631.022628994</x:v>
      </x:c>
      <x:c r="F298" s="7" t="n">
        <x:v>358510.1596317278</x:v>
      </x:c>
      <x:c r="G298" s="7" t="n">
        <x:v>-23.5254224</x:v>
      </x:c>
      <x:c r="H298" s="7" t="n">
        <x:v>-46.3859675</x:v>
      </x:c>
      <x:c r="I298" s="7" t="n">
        <x:v>782.383</x:v>
      </x:c>
      <x:c r="J298" s="7" t="n">
        <x:v>776.683</x:v>
      </x:c>
      <x:c r="K298" s="7" t="n">
        <x:v>5.7</x:v>
      </x:c>
      <x:c r="L298" s="6" t="n"/>
    </x:row>
    <x:row r="299">
      <x:c r="A299" s="6" t="inlineStr">
        <x:is>
          <x:t xml:space="preserve">cts_jardim_lourdes</x:t>
        </x:is>
      </x:c>
      <x:c r="B299" s="6" t="inlineStr">
        <x:is>
          <x:t xml:space="preserve">PV</x:t>
        </x:is>
      </x:c>
      <x:c r="C299" s="6" t="inlineStr">
        <x:is>
          <x:t xml:space="preserve">PT-001</x:t>
        </x:is>
      </x:c>
      <x:c r="D299" s="6" t="inlineStr">
        <x:is>
          <x:t xml:space="preserve">PT-001</x:t>
        </x:is>
      </x:c>
      <x:c r="E299" s="7" t="n">
        <x:v>7397075.247974937</x:v>
      </x:c>
      <x:c r="F299" s="7" t="n">
        <x:v>357881.2343928794</x:v>
      </x:c>
      <x:c r="G299" s="7" t="n">
        <x:v>-23.5303862</x:v>
      </x:c>
      <x:c r="H299" s="7" t="n">
        <x:v>-46.3921796</x:v>
      </x:c>
      <x:c r="I299" s="6" t="n"/>
      <x:c r="J299" s="6" t="n"/>
      <x:c r="K299" s="6" t="n"/>
      <x:c r="L299" s="6" t="inlineStr">
        <x:is>
          <x:t xml:space="preserve">Ponto gerado automaticamente pela extremidade da rede.</x:t>
        </x:is>
      </x:c>
    </x:row>
    <x:row r="300">
      <x:c r="A300" s="6" t="inlineStr">
        <x:is>
          <x:t xml:space="preserve">cts_mar_de_coral</x:t>
        </x:is>
      </x:c>
      <x:c r="B300" s="6" t="inlineStr">
        <x:is>
          <x:t xml:space="preserve">PV</x:t>
        </x:is>
      </x:c>
      <x:c r="C300" s="6" t="inlineStr">
        <x:is>
          <x:t xml:space="preserve">PV-4</x:t>
        </x:is>
      </x:c>
      <x:c r="D300" s="6" t="inlineStr">
        <x:is>
          <x:t xml:space="preserve">PV-4</x:t>
        </x:is>
      </x:c>
      <x:c r="E300" s="7" t="n">
        <x:v>7397739.360612681</x:v>
      </x:c>
      <x:c r="F300" s="7" t="n">
        <x:v>357455.7700576161</x:v>
      </x:c>
      <x:c r="G300" s="7" t="n">
        <x:v>-23.5243518</x:v>
      </x:c>
      <x:c r="H300" s="7" t="n">
        <x:v>-46.3962832</x:v>
      </x:c>
      <x:c r="I300" s="7" t="n">
        <x:v>756.8200000000001</x:v>
      </x:c>
      <x:c r="J300" s="7" t="n">
        <x:v>749.89</x:v>
      </x:c>
      <x:c r="K300" s="7" t="n">
        <x:v>6.93</x:v>
      </x:c>
      <x:c r="L300" s="6" t="n"/>
    </x:row>
    <x:row r="301">
      <x:c r="A301" s="6" t="inlineStr">
        <x:is>
          <x:t xml:space="preserve">cts_mar_de_coral</x:t>
        </x:is>
      </x:c>
      <x:c r="B301" s="6" t="inlineStr">
        <x:is>
          <x:t xml:space="preserve">PV</x:t>
        </x:is>
      </x:c>
      <x:c r="C301" s="6" t="inlineStr">
        <x:is>
          <x:t xml:space="preserve">PV-8</x:t>
        </x:is>
      </x:c>
      <x:c r="D301" s="6" t="inlineStr">
        <x:is>
          <x:t xml:space="preserve">PV-8</x:t>
        </x:is>
      </x:c>
      <x:c r="E301" s="7" t="n">
        <x:v>7397735.167019999</x:v>
      </x:c>
      <x:c r="F301" s="7" t="n">
        <x:v>357518.1863300001</x:v>
      </x:c>
      <x:c r="G301" s="7" t="n">
        <x:v>-23.5243952</x:v>
      </x:c>
      <x:c r="H301" s="7" t="n">
        <x:v>-46.3956723</x:v>
      </x:c>
      <x:c r="I301" s="7" t="n">
        <x:v>758.891</x:v>
      </x:c>
      <x:c r="J301" s="7" t="n">
        <x:v>754.741</x:v>
      </x:c>
      <x:c r="K301" s="7" t="n">
        <x:v>4.15</x:v>
      </x:c>
      <x:c r="L301" s="6" t="n"/>
    </x:row>
    <x:row r="302">
      <x:c r="A302" s="6" t="inlineStr">
        <x:is>
          <x:t xml:space="preserve">cts_mar_de_coral</x:t>
        </x:is>
      </x:c>
      <x:c r="B302" s="6" t="inlineStr">
        <x:is>
          <x:t xml:space="preserve">PV</x:t>
        </x:is>
      </x:c>
      <x:c r="C302" s="6" t="inlineStr">
        <x:is>
          <x:t xml:space="preserve">PV-9</x:t>
        </x:is>
      </x:c>
      <x:c r="D302" s="6" t="inlineStr">
        <x:is>
          <x:t xml:space="preserve">PV-9</x:t>
        </x:is>
      </x:c>
      <x:c r="E302" s="7" t="n">
        <x:v>7397761.554793613</x:v>
      </x:c>
      <x:c r="F302" s="7" t="n">
        <x:v>357573.7646894771</x:v>
      </x:c>
      <x:c r="G302" s="7" t="n">
        <x:v>-23.5241618</x:v>
      </x:c>
      <x:c r="H302" s="7" t="n">
        <x:v>-46.3951255</x:v>
      </x:c>
      <x:c r="I302" s="7" t="n">
        <x:v>761.0940000000001</x:v>
      </x:c>
      <x:c r="J302" s="7" t="n">
        <x:v>755.574</x:v>
      </x:c>
      <x:c r="K302" s="7" t="n">
        <x:v>5.52</x:v>
      </x:c>
      <x:c r="L302" s="6" t="n"/>
    </x:row>
    <x:row r="303">
      <x:c r="A303" s="6" t="inlineStr">
        <x:is>
          <x:t xml:space="preserve">cts_mar_de_coral</x:t>
        </x:is>
      </x:c>
      <x:c r="B303" s="6" t="inlineStr">
        <x:is>
          <x:t xml:space="preserve">PV</x:t>
        </x:is>
      </x:c>
      <x:c r="C303" s="6" t="inlineStr">
        <x:is>
          <x:t xml:space="preserve">PV-13</x:t>
        </x:is>
      </x:c>
      <x:c r="D303" s="6" t="inlineStr">
        <x:is>
          <x:t xml:space="preserve">PV-13</x:t>
        </x:is>
      </x:c>
      <x:c r="E303" s="7" t="n">
        <x:v>7397737.518150001</x:v>
      </x:c>
      <x:c r="F303" s="7" t="n">
        <x:v>357646.9293499994</x:v>
      </x:c>
      <x:c r="G303" s="7" t="n">
        <x:v>-23.5243852</x:v>
      </x:c>
      <x:c r="H303" s="7" t="n">
        <x:v>-46.3944113</x:v>
      </x:c>
      <x:c r="I303" s="7" t="n">
        <x:v>758.601</x:v>
      </x:c>
      <x:c r="J303" s="7" t="n">
        <x:v>756.721</x:v>
      </x:c>
      <x:c r="K303" s="7" t="n">
        <x:v>1.88</x:v>
      </x:c>
      <x:c r="L303" s="6" t="n"/>
    </x:row>
    <x:row r="304">
      <x:c r="A304" s="6" t="inlineStr">
        <x:is>
          <x:t xml:space="preserve">cts_mar_de_coral</x:t>
        </x:is>
      </x:c>
      <x:c r="B304" s="6" t="inlineStr">
        <x:is>
          <x:t xml:space="preserve">PV</x:t>
        </x:is>
      </x:c>
      <x:c r="C304" s="6" t="inlineStr">
        <x:is>
          <x:t xml:space="preserve">PV-15</x:t>
        </x:is>
      </x:c>
      <x:c r="D304" s="6" t="inlineStr">
        <x:is>
          <x:t xml:space="preserve">PV-15</x:t>
        </x:is>
      </x:c>
      <x:c r="E304" s="7" t="n">
        <x:v>7397755.49001</x:v>
      </x:c>
      <x:c r="F304" s="7" t="n">
        <x:v>357692.85793</x:v>
      </x:c>
      <x:c r="G304" s="7" t="n">
        <x:v>-23.524227</x:v>
      </x:c>
      <x:c r="H304" s="7" t="n">
        <x:v>-46.3939598</x:v>
      </x:c>
      <x:c r="I304" s="7" t="n">
        <x:v>760.621</x:v>
      </x:c>
      <x:c r="J304" s="7" t="n">
        <x:v>758.551</x:v>
      </x:c>
      <x:c r="K304" s="7" t="n">
        <x:v>2.07</x:v>
      </x:c>
      <x:c r="L304" s="6" t="n"/>
    </x:row>
    <x:row r="305">
      <x:c r="A305" s="6" t="inlineStr">
        <x:is>
          <x:t xml:space="preserve">cts_mar_de_coral</x:t>
        </x:is>
      </x:c>
      <x:c r="B305" s="6" t="inlineStr">
        <x:is>
          <x:t xml:space="preserve">PV</x:t>
        </x:is>
      </x:c>
      <x:c r="C305" s="6" t="inlineStr">
        <x:is>
          <x:t xml:space="preserve">PV-1</x:t>
        </x:is>
      </x:c>
      <x:c r="D305" s="6" t="inlineStr">
        <x:is>
          <x:t xml:space="preserve">PV-1</x:t>
        </x:is>
      </x:c>
      <x:c r="E305" s="7" t="n">
        <x:v>7397700.935486445</x:v>
      </x:c>
      <x:c r="F305" s="7" t="n">
        <x:v>357313.3492810899</x:v>
      </x:c>
      <x:c r="G305" s="7" t="n">
        <x:v>-23.5246863</x:v>
      </x:c>
      <x:c r="H305" s="7" t="n">
        <x:v>-46.3976816</x:v>
      </x:c>
      <x:c r="I305" s="7" t="n">
        <x:v>750.893</x:v>
      </x:c>
      <x:c r="J305" s="7" t="n">
        <x:v>747.9829999999999</x:v>
      </x:c>
      <x:c r="K305" s="7" t="n">
        <x:v>2.91</x:v>
      </x:c>
      <x:c r="L305" s="6" t="n"/>
    </x:row>
    <x:row r="306">
      <x:c r="A306" s="6" t="inlineStr">
        <x:is>
          <x:t xml:space="preserve">cts_mar_de_coral</x:t>
        </x:is>
      </x:c>
      <x:c r="B306" s="6" t="inlineStr">
        <x:is>
          <x:t xml:space="preserve">PV</x:t>
        </x:is>
      </x:c>
      <x:c r="C306" s="6" t="inlineStr">
        <x:is>
          <x:t xml:space="preserve">PV-12</x:t>
        </x:is>
      </x:c>
      <x:c r="D306" s="6" t="inlineStr">
        <x:is>
          <x:t xml:space="preserve">PV-12</x:t>
        </x:is>
      </x:c>
      <x:c r="E306" s="7" t="n">
        <x:v>7397731.821199999</x:v>
      </x:c>
      <x:c r="F306" s="7" t="n">
        <x:v>357624.26185</x:v>
      </x:c>
      <x:c r="G306" s="7" t="n">
        <x:v>-23.5244347</x:v>
      </x:c>
      <x:c r="H306" s="7" t="n">
        <x:v>-46.3946338</x:v>
      </x:c>
      <x:c r="I306" s="7" t="n">
        <x:v>758.4640000000001</x:v>
      </x:c>
      <x:c r="J306" s="7" t="n">
        <x:v>756.544</x:v>
      </x:c>
      <x:c r="K306" s="7" t="n">
        <x:v>1.91</x:v>
      </x:c>
      <x:c r="L306" s="6" t="n"/>
    </x:row>
    <x:row r="307">
      <x:c r="A307" s="6" t="inlineStr">
        <x:is>
          <x:t xml:space="preserve">cts_mar_de_coral</x:t>
        </x:is>
      </x:c>
      <x:c r="B307" s="6" t="inlineStr">
        <x:is>
          <x:t xml:space="preserve">PV</x:t>
        </x:is>
      </x:c>
      <x:c r="C307" s="6" t="inlineStr">
        <x:is>
          <x:t xml:space="preserve">PV-33</x:t>
        </x:is>
      </x:c>
      <x:c r="D307" s="6" t="inlineStr">
        <x:is>
          <x:t xml:space="preserve">PV-33</x:t>
        </x:is>
      </x:c>
      <x:c r="E307" s="7" t="n">
        <x:v>7397868.31019</x:v>
      </x:c>
      <x:c r="F307" s="7" t="n">
        <x:v>357978.6427600002</x:v>
      </x:c>
      <x:c r="G307" s="7" t="n">
        <x:v>-23.5232332</x:v>
      </x:c>
      <x:c r="H307" s="7" t="n">
        <x:v>-46.3911503</x:v>
      </x:c>
      <x:c r="I307" s="7" t="n">
        <x:v>769.9589999999999</x:v>
      </x:c>
      <x:c r="J307" s="7" t="n">
        <x:v>765.909</x:v>
      </x:c>
      <x:c r="K307" s="7" t="n">
        <x:v>4.05</x:v>
      </x:c>
      <x:c r="L307" s="6" t="n"/>
    </x:row>
    <x:row r="308">
      <x:c r="A308" s="6" t="inlineStr">
        <x:is>
          <x:t xml:space="preserve">cts_mar_de_coral</x:t>
        </x:is>
      </x:c>
      <x:c r="B308" s="6" t="inlineStr">
        <x:is>
          <x:t xml:space="preserve">PV</x:t>
        </x:is>
      </x:c>
      <x:c r="C308" s="6" t="inlineStr">
        <x:is>
          <x:t xml:space="preserve">PV-40</x:t>
        </x:is>
      </x:c>
      <x:c r="D308" s="6" t="inlineStr">
        <x:is>
          <x:t xml:space="preserve">PV-40</x:t>
        </x:is>
      </x:c>
      <x:c r="E308" s="7" t="n">
        <x:v>7397855.152189999</x:v>
      </x:c>
      <x:c r="F308" s="7" t="n">
        <x:v>358083.41719</x:v>
      </x:c>
      <x:c r="G308" s="7" t="n">
        <x:v>-23.5233612</x:v>
      </x:c>
      <x:c r="H308" s="7" t="n">
        <x:v>-46.3901255</x:v>
      </x:c>
      <x:c r="I308" s="7" t="n">
        <x:v>774.5700000000001</x:v>
      </x:c>
      <x:c r="J308" s="7" t="n">
        <x:v>771.0700000000001</x:v>
      </x:c>
      <x:c r="K308" s="7" t="n">
        <x:v>3.5</x:v>
      </x:c>
      <x:c r="L308" s="6" t="n"/>
    </x:row>
    <x:row r="309">
      <x:c r="A309" s="6" t="inlineStr">
        <x:is>
          <x:t xml:space="preserve">cts_mar_de_coral</x:t>
        </x:is>
      </x:c>
      <x:c r="B309" s="6" t="inlineStr">
        <x:is>
          <x:t xml:space="preserve">PV</x:t>
        </x:is>
      </x:c>
      <x:c r="C309" s="6" t="inlineStr">
        <x:is>
          <x:t xml:space="preserve">PV-46</x:t>
        </x:is>
      </x:c>
      <x:c r="D309" s="6" t="inlineStr">
        <x:is>
          <x:t xml:space="preserve">PV-46</x:t>
        </x:is>
      </x:c>
      <x:c r="E309" s="7" t="n">
        <x:v>7397896.556569999</x:v>
      </x:c>
      <x:c r="F309" s="7" t="n">
        <x:v>358165.5838800003</x:v>
      </x:c>
      <x:c r="G309" s="7" t="n">
        <x:v>-23.5229945</x:v>
      </x:c>
      <x:c r="H309" s="7" t="n">
        <x:v>-46.3893169</x:v>
      </x:c>
      <x:c r="I309" s="7" t="n">
        <x:v>785.991</x:v>
      </x:c>
      <x:c r="J309" s="7" t="n">
        <x:v>784.241</x:v>
      </x:c>
      <x:c r="K309" s="7" t="n">
        <x:v>1.75</x:v>
      </x:c>
      <x:c r="L309" s="6" t="n"/>
    </x:row>
    <x:row r="310">
      <x:c r="A310" s="6" t="inlineStr">
        <x:is>
          <x:t xml:space="preserve">cts_mar_de_coral</x:t>
        </x:is>
      </x:c>
      <x:c r="B310" s="6" t="inlineStr">
        <x:is>
          <x:t xml:space="preserve">PV</x:t>
        </x:is>
      </x:c>
      <x:c r="C310" s="6" t="inlineStr">
        <x:is>
          <x:t xml:space="preserve">PV-23</x:t>
        </x:is>
      </x:c>
      <x:c r="D310" s="6" t="inlineStr">
        <x:is>
          <x:t xml:space="preserve">PV-23</x:t>
        </x:is>
      </x:c>
      <x:c r="E310" s="7" t="n">
        <x:v>7397813.623360001</x:v>
      </x:c>
      <x:c r="F310" s="7" t="n">
        <x:v>357845.2808700006</x:v>
      </x:c>
      <x:c r="G310" s="7" t="n">
        <x:v>-23.5237154</x:v>
      </x:c>
      <x:c r="H310" s="7" t="n">
        <x:v>-46.3924615</x:v>
      </x:c>
      <x:c r="I310" s="7" t="n">
        <x:v>765.806</x:v>
      </x:c>
      <x:c r="J310" s="7" t="n">
        <x:v>762.9160000000001</x:v>
      </x:c>
      <x:c r="K310" s="7" t="n">
        <x:v>2.89</x:v>
      </x:c>
      <x:c r="L310" s="6" t="n"/>
    </x:row>
    <x:row r="311">
      <x:c r="A311" s="6" t="inlineStr">
        <x:is>
          <x:t xml:space="preserve">cts_mar_de_coral</x:t>
        </x:is>
      </x:c>
      <x:c r="B311" s="6" t="inlineStr">
        <x:is>
          <x:t xml:space="preserve">PV</x:t>
        </x:is>
      </x:c>
      <x:c r="C311" s="6" t="inlineStr">
        <x:is>
          <x:t xml:space="preserve">PV-22</x:t>
        </x:is>
      </x:c>
      <x:c r="D311" s="6" t="inlineStr">
        <x:is>
          <x:t xml:space="preserve">PV-22</x:t>
        </x:is>
      </x:c>
      <x:c r="E311" s="7" t="n">
        <x:v>7397810.315330001</x:v>
      </x:c>
      <x:c r="F311" s="7" t="n">
        <x:v>357797.6473200001</x:v>
      </x:c>
      <x:c r="G311" s="7" t="n">
        <x:v>-23.5237411</x:v>
      </x:c>
      <x:c r="H311" s="7" t="n">
        <x:v>-46.3929283</x:v>
      </x:c>
      <x:c r="I311" s="7" t="n">
        <x:v>763.982</x:v>
      </x:c>
      <x:c r="J311" s="7" t="n">
        <x:v>761.772</x:v>
      </x:c>
      <x:c r="K311" s="7" t="n">
        <x:v>2.21</x:v>
      </x:c>
      <x:c r="L311" s="6" t="inlineStr">
        <x:is>
          <x:t xml:space="preserve">Conforme projeto, considerar o número do PV como 22A, uma vez que o campo não aceita caracteres espeicias.</x:t>
        </x:is>
      </x:c>
    </x:row>
    <x:row r="312">
      <x:c r="A312" s="6" t="inlineStr">
        <x:is>
          <x:t xml:space="preserve">cts_mar_de_coral</x:t>
        </x:is>
      </x:c>
      <x:c r="B312" s="6" t="inlineStr">
        <x:is>
          <x:t xml:space="preserve">PV</x:t>
        </x:is>
      </x:c>
      <x:c r="C312" s="6" t="inlineStr">
        <x:is>
          <x:t xml:space="preserve">PV-2</x:t>
        </x:is>
      </x:c>
      <x:c r="D312" s="6" t="inlineStr">
        <x:is>
          <x:t xml:space="preserve">PV-2</x:t>
        </x:is>
      </x:c>
      <x:c r="E312" s="7" t="n">
        <x:v>7397708.927655239</x:v>
      </x:c>
      <x:c r="F312" s="7" t="n">
        <x:v>357338.7134913576</x:v>
      </x:c>
      <x:c r="G312" s="7" t="n">
        <x:v>-23.5246163</x:v>
      </x:c>
      <x:c r="H312" s="7" t="n">
        <x:v>-46.3974324</x:v>
      </x:c>
      <x:c r="I312" s="7" t="n">
        <x:v>751.648</x:v>
      </x:c>
      <x:c r="J312" s="7" t="n">
        <x:v>747.9880000000001</x:v>
      </x:c>
      <x:c r="K312" s="7" t="n">
        <x:v>3.66</x:v>
      </x:c>
      <x:c r="L312" s="6" t="n"/>
    </x:row>
    <x:row r="313">
      <x:c r="A313" s="6" t="inlineStr">
        <x:is>
          <x:t xml:space="preserve">cts_mar_de_coral</x:t>
        </x:is>
      </x:c>
      <x:c r="B313" s="6" t="inlineStr">
        <x:is>
          <x:t xml:space="preserve">PV</x:t>
        </x:is>
      </x:c>
      <x:c r="C313" s="6" t="inlineStr">
        <x:is>
          <x:t xml:space="preserve">PV-3</x:t>
        </x:is>
      </x:c>
      <x:c r="D313" s="6" t="inlineStr">
        <x:is>
          <x:t xml:space="preserve">PV-3</x:t>
        </x:is>
      </x:c>
      <x:c r="E313" s="7" t="n">
        <x:v>7397723.002480001</x:v>
      </x:c>
      <x:c r="F313" s="7" t="n">
        <x:v>357392.20386</x:v>
      </x:c>
      <x:c r="G313" s="7" t="n">
        <x:v>-23.5244939</x:v>
      </x:c>
      <x:c r="H313" s="7" t="n">
        <x:v>-46.3969072</x:v>
      </x:c>
      <x:c r="I313" s="7" t="n">
        <x:v>753.3630000000001</x:v>
      </x:c>
      <x:c r="J313" s="7" t="n">
        <x:v>749.353</x:v>
      </x:c>
      <x:c r="K313" s="7" t="n">
        <x:v>4.01</x:v>
      </x:c>
      <x:c r="L313" s="6" t="n"/>
    </x:row>
    <x:row r="314">
      <x:c r="A314" s="6" t="inlineStr">
        <x:is>
          <x:t xml:space="preserve">cts_mar_de_coral</x:t>
        </x:is>
      </x:c>
      <x:c r="B314" s="6" t="inlineStr">
        <x:is>
          <x:t xml:space="preserve">PV</x:t>
        </x:is>
      </x:c>
      <x:c r="C314" s="6" t="inlineStr">
        <x:is>
          <x:t xml:space="preserve">PV-51</x:t>
        </x:is>
      </x:c>
      <x:c r="D314" s="6" t="inlineStr">
        <x:is>
          <x:t xml:space="preserve">PV-51</x:t>
        </x:is>
      </x:c>
      <x:c r="E314" s="7" t="n">
        <x:v>7397690.86041</x:v>
      </x:c>
      <x:c r="F314" s="7" t="n">
        <x:v>357473.7872</x:v>
      </x:c>
      <x:c r="G314" s="7" t="n">
        <x:v>-23.5247914</x:v>
      </x:c>
      <x:c r="H314" s="7" t="n">
        <x:v>-46.3961113</x:v>
      </x:c>
      <x:c r="I314" s="7" t="n">
        <x:v>755.336</x:v>
      </x:c>
      <x:c r="J314" s="7" t="n">
        <x:v>752.686</x:v>
      </x:c>
      <x:c r="K314" s="7" t="n">
        <x:v>2.65</x:v>
      </x:c>
      <x:c r="L314" s="6" t="inlineStr">
        <x:is>
          <x:t xml:space="preserve">Conforme projeto, considerar o número do PV como 5.1, uma vez que o campo não aceita caracteres espeicias.</x:t>
        </x:is>
      </x:c>
    </x:row>
    <x:row r="315">
      <x:c r="A315" s="6" t="inlineStr">
        <x:is>
          <x:t xml:space="preserve">cts_mar_de_coral</x:t>
        </x:is>
      </x:c>
      <x:c r="B315" s="6" t="inlineStr">
        <x:is>
          <x:t xml:space="preserve">PV</x:t>
        </x:is>
      </x:c>
      <x:c r="C315" s="6" t="inlineStr">
        <x:is>
          <x:t xml:space="preserve">PV-10</x:t>
        </x:is>
      </x:c>
      <x:c r="D315" s="6" t="inlineStr">
        <x:is>
          <x:t xml:space="preserve">PV-10</x:t>
        </x:is>
      </x:c>
      <x:c r="E315" s="7" t="n">
        <x:v>7397731.805055516</x:v>
      </x:c>
      <x:c r="F315" s="7" t="n">
        <x:v>357595.2829519113</x:v>
      </x:c>
      <x:c r="G315" s="7" t="n">
        <x:v>-23.5244323</x:v>
      </x:c>
      <x:c r="H315" s="7" t="n">
        <x:v>-46.3949176</x:v>
      </x:c>
      <x:c r="I315" s="7" t="n">
        <x:v>759.48</x:v>
      </x:c>
      <x:c r="J315" s="7" t="n">
        <x:v>755.72</x:v>
      </x:c>
      <x:c r="K315" s="7" t="n">
        <x:v>3.76</x:v>
      </x:c>
      <x:c r="L315" s="6" t="n"/>
    </x:row>
    <x:row r="316">
      <x:c r="A316" s="6" t="inlineStr">
        <x:is>
          <x:t xml:space="preserve">cts_mar_de_coral</x:t>
        </x:is>
      </x:c>
      <x:c r="B316" s="6" t="inlineStr">
        <x:is>
          <x:t xml:space="preserve">PV</x:t>
        </x:is>
      </x:c>
      <x:c r="C316" s="6" t="inlineStr">
        <x:is>
          <x:t xml:space="preserve">PV-16</x:t>
        </x:is>
      </x:c>
      <x:c r="D316" s="6" t="inlineStr">
        <x:is>
          <x:t xml:space="preserve">PV-16</x:t>
        </x:is>
      </x:c>
      <x:c r="E316" s="7" t="n">
        <x:v>7397766.254139996</x:v>
      </x:c>
      <x:c r="F316" s="7" t="n">
        <x:v>357725.3290799943</x:v>
      </x:c>
      <x:c r="G316" s="7" t="n">
        <x:v>-23.5241326</x:v>
      </x:c>
      <x:c r="H316" s="7" t="n">
        <x:v>-46.3936408</x:v>
      </x:c>
      <x:c r="I316" s="7" t="n">
        <x:v>762.023</x:v>
      </x:c>
      <x:c r="J316" s="7" t="n">
        <x:v>759.533</x:v>
      </x:c>
      <x:c r="K316" s="7" t="n">
        <x:v>2.49</x:v>
      </x:c>
      <x:c r="L316" s="6" t="n"/>
    </x:row>
    <x:row r="317">
      <x:c r="A317" s="6" t="inlineStr">
        <x:is>
          <x:t xml:space="preserve">cts_mar_de_coral</x:t>
        </x:is>
      </x:c>
      <x:c r="B317" s="6" t="inlineStr">
        <x:is>
          <x:t xml:space="preserve">PV</x:t>
        </x:is>
      </x:c>
      <x:c r="C317" s="6" t="inlineStr">
        <x:is>
          <x:t xml:space="preserve">PV-19</x:t>
        </x:is>
      </x:c>
      <x:c r="D317" s="6" t="inlineStr">
        <x:is>
          <x:t xml:space="preserve">PV-19</x:t>
        </x:is>
      </x:c>
      <x:c r="E317" s="7" t="n">
        <x:v>7397788.565856973</x:v>
      </x:c>
      <x:c r="F317" s="7" t="n">
        <x:v>357764.491395558</x:v>
      </x:c>
      <x:c r="G317" s="7" t="n">
        <x:v>-23.5239346</x:v>
      </x:c>
      <x:c r="H317" s="7" t="n">
        <x:v>-46.3932551</x:v>
      </x:c>
      <x:c r="I317" s="7" t="n">
        <x:v>763.374</x:v>
      </x:c>
      <x:c r="J317" s="7" t="n">
        <x:v>760.434</x:v>
      </x:c>
      <x:c r="K317" s="7" t="n">
        <x:v>2.94</x:v>
      </x:c>
      <x:c r="L317" s="6" t="n"/>
    </x:row>
    <x:row r="318">
      <x:c r="A318" s="6" t="inlineStr">
        <x:is>
          <x:t xml:space="preserve">cts_mar_de_coral</x:t>
        </x:is>
      </x:c>
      <x:c r="B318" s="6" t="inlineStr">
        <x:is>
          <x:t xml:space="preserve">PV</x:t>
        </x:is>
      </x:c>
      <x:c r="C318" s="6" t="inlineStr">
        <x:is>
          <x:t xml:space="preserve">PV-191</x:t>
        </x:is>
      </x:c>
      <x:c r="D318" s="6" t="inlineStr">
        <x:is>
          <x:t xml:space="preserve">PV-191</x:t>
        </x:is>
      </x:c>
      <x:c r="E318" s="7" t="n">
        <x:v>7397796.020757182</x:v>
      </x:c>
      <x:c r="F318" s="7" t="n">
        <x:v>357764.3016658616</x:v>
      </x:c>
      <x:c r="G318" s="7" t="n">
        <x:v>-23.5238672</x:v>
      </x:c>
      <x:c r="H318" s="7" t="n">
        <x:v>-46.3932563</x:v>
      </x:c>
      <x:c r="I318" s="7" t="n">
        <x:v>763.273</x:v>
      </x:c>
      <x:c r="J318" s="7" t="n">
        <x:v>760.923</x:v>
      </x:c>
      <x:c r="K318" s="7" t="n">
        <x:v>2.35</x:v>
      </x:c>
      <x:c r="L318" s="6" t="inlineStr">
        <x:is>
          <x:t xml:space="preserve">Conforme projeto, considerar o número do PV como 16.1, uma vez que o campo não aceita caracteres espeicias.</x:t>
        </x:is>
      </x:c>
    </x:row>
    <x:row r="319">
      <x:c r="A319" s="6" t="inlineStr">
        <x:is>
          <x:t xml:space="preserve">cts_mar_de_coral</x:t>
        </x:is>
      </x:c>
      <x:c r="B319" s="6" t="inlineStr">
        <x:is>
          <x:t xml:space="preserve">PV</x:t>
        </x:is>
      </x:c>
      <x:c r="C319" s="6" t="inlineStr">
        <x:is>
          <x:t xml:space="preserve">PV-22</x:t>
        </x:is>
      </x:c>
      <x:c r="D319" s="6" t="inlineStr">
        <x:is>
          <x:t xml:space="preserve">PV-22</x:t>
        </x:is>
      </x:c>
      <x:c r="E319" s="7" t="n">
        <x:v>7397799.275710001</x:v>
      </x:c>
      <x:c r="F319" s="7" t="n">
        <x:v>357796.38582</x:v>
      </x:c>
      <x:c r="G319" s="7" t="n">
        <x:v>-23.5238407</x:v>
      </x:c>
      <x:c r="H319" s="7" t="n">
        <x:v>-46.3929417</x:v>
      </x:c>
      <x:c r="I319" s="7" t="n">
        <x:v>764.458</x:v>
      </x:c>
      <x:c r="J319" s="7" t="n">
        <x:v>761.168</x:v>
      </x:c>
      <x:c r="K319" s="7" t="n">
        <x:v>3.29</x:v>
      </x:c>
      <x:c r="L319" s="6" t="n"/>
    </x:row>
    <x:row r="320">
      <x:c r="A320" s="6" t="inlineStr">
        <x:is>
          <x:t xml:space="preserve">cts_mar_de_coral</x:t>
        </x:is>
      </x:c>
      <x:c r="B320" s="6" t="inlineStr">
        <x:is>
          <x:t xml:space="preserve">PV</x:t>
        </x:is>
      </x:c>
      <x:c r="C320" s="6" t="inlineStr">
        <x:is>
          <x:t xml:space="preserve">PV-25</x:t>
        </x:is>
      </x:c>
      <x:c r="D320" s="6" t="inlineStr">
        <x:is>
          <x:t xml:space="preserve">PV-25</x:t>
        </x:is>
      </x:c>
      <x:c r="E320" s="7" t="n">
        <x:v>7397825.786010001</x:v>
      </x:c>
      <x:c r="F320" s="7" t="n">
        <x:v>357872.83312</x:v>
      </x:c>
      <x:c r="G320" s="7" t="n">
        <x:v>-23.523608</x:v>
      </x:c>
      <x:c r="H320" s="7" t="n">
        <x:v>-46.3921906</x:v>
      </x:c>
      <x:c r="I320" s="7" t="n">
        <x:v>766.913</x:v>
      </x:c>
      <x:c r="J320" s="7" t="n">
        <x:v>763.1130000000001</x:v>
      </x:c>
      <x:c r="K320" s="7" t="n">
        <x:v>3.8</x:v>
      </x:c>
      <x:c r="L320" s="6" t="n"/>
    </x:row>
    <x:row r="321">
      <x:c r="A321" s="6" t="inlineStr">
        <x:is>
          <x:t xml:space="preserve">cts_mar_de_coral</x:t>
        </x:is>
      </x:c>
      <x:c r="B321" s="6" t="inlineStr">
        <x:is>
          <x:t xml:space="preserve">PV</x:t>
        </x:is>
      </x:c>
      <x:c r="C321" s="6" t="inlineStr">
        <x:is>
          <x:t xml:space="preserve">PV-30</x:t>
        </x:is>
      </x:c>
      <x:c r="D321" s="6" t="inlineStr">
        <x:is>
          <x:t xml:space="preserve">PV-30</x:t>
        </x:is>
      </x:c>
      <x:c r="E321" s="7" t="n">
        <x:v>7397858.937630001</x:v>
      </x:c>
      <x:c r="F321" s="7" t="n">
        <x:v>357930.81818</x:v>
      </x:c>
      <x:c r="G321" s="7" t="n">
        <x:v>-23.5233137</x:v>
      </x:c>
      <x:c r="H321" s="7" t="n">
        <x:v>-46.3916196</x:v>
      </x:c>
      <x:c r="I321" s="7" t="n">
        <x:v>768.511</x:v>
      </x:c>
      <x:c r="J321" s="7" t="n">
        <x:v>764.571</x:v>
      </x:c>
      <x:c r="K321" s="7" t="n">
        <x:v>3.94</x:v>
      </x:c>
      <x:c r="L321" s="6" t="n"/>
    </x:row>
    <x:row r="322">
      <x:c r="A322" s="6" t="inlineStr">
        <x:is>
          <x:t xml:space="preserve">cts_mar_de_coral</x:t>
        </x:is>
      </x:c>
      <x:c r="B322" s="6" t="inlineStr">
        <x:is>
          <x:t xml:space="preserve">PV</x:t>
        </x:is>
      </x:c>
      <x:c r="C322" s="6" t="inlineStr">
        <x:is>
          <x:t xml:space="preserve">PV-36</x:t>
        </x:is>
      </x:c>
      <x:c r="D322" s="6" t="inlineStr">
        <x:is>
          <x:t xml:space="preserve">PV-36</x:t>
        </x:is>
      </x:c>
      <x:c r="E322" s="7" t="n">
        <x:v>7397879.109249999</x:v>
      </x:c>
      <x:c r="F322" s="7" t="n">
        <x:v>358027.1434500001</x:v>
      </x:c>
      <x:c r="G322" s="7" t="n">
        <x:v>-23.5231399</x:v>
      </x:c>
      <x:c r="H322" s="7" t="n">
        <x:v>-46.3906743</x:v>
      </x:c>
      <x:c r="I322" s="7" t="n">
        <x:v>771.734</x:v>
      </x:c>
      <x:c r="J322" s="7" t="n">
        <x:v>767.484</x:v>
      </x:c>
      <x:c r="K322" s="7" t="n">
        <x:v>4.25</x:v>
      </x:c>
      <x:c r="L322" s="6" t="n"/>
    </x:row>
    <x:row r="323">
      <x:c r="A323" s="6" t="inlineStr">
        <x:is>
          <x:t xml:space="preserve">cts_mar_de_coral</x:t>
        </x:is>
      </x:c>
      <x:c r="B323" s="6" t="inlineStr">
        <x:is>
          <x:t xml:space="preserve">PV</x:t>
        </x:is>
      </x:c>
      <x:c r="C323" s="6" t="inlineStr">
        <x:is>
          <x:t xml:space="preserve">PV-41</x:t>
        </x:is>
      </x:c>
      <x:c r="D323" s="6" t="inlineStr">
        <x:is>
          <x:t xml:space="preserve">PV-41</x:t>
        </x:is>
      </x:c>
      <x:c r="E323" s="7" t="n">
        <x:v>7397848.97245</x:v>
      </x:c>
      <x:c r="F323" s="7" t="n">
        <x:v>358119.2123800001</x:v>
      </x:c>
      <x:c r="G323" s="7" t="n">
        <x:v>-23.5234201</x:v>
      </x:c>
      <x:c r="H323" s="7" t="n">
        <x:v>-46.3897755</x:v>
      </x:c>
      <x:c r="I323" s="7" t="n">
        <x:v>775.5650000000001</x:v>
      </x:c>
      <x:c r="J323" s="7" t="n">
        <x:v>771.525</x:v>
      </x:c>
      <x:c r="K323" s="7" t="n">
        <x:v>3.55</x:v>
      </x:c>
      <x:c r="L323" s="6" t="n"/>
    </x:row>
    <x:row r="324">
      <x:c r="A324" s="6" t="inlineStr">
        <x:is>
          <x:t xml:space="preserve">cts_mar_de_coral</x:t>
        </x:is>
      </x:c>
      <x:c r="B324" s="6" t="inlineStr">
        <x:is>
          <x:t xml:space="preserve">PV</x:t>
        </x:is>
      </x:c>
      <x:c r="C324" s="6" t="inlineStr">
        <x:is>
          <x:t xml:space="preserve">PV-42</x:t>
        </x:is>
      </x:c>
      <x:c r="D324" s="6" t="inlineStr">
        <x:is>
          <x:t xml:space="preserve">PV-42</x:t>
        </x:is>
      </x:c>
      <x:c r="E324" s="7" t="n">
        <x:v>7397855.68804</x:v>
      </x:c>
      <x:c r="F324" s="7" t="n">
        <x:v>358149.85147</x:v>
      </x:c>
      <x:c r="G324" s="7" t="n">
        <x:v>-23.5233622</x:v>
      </x:c>
      <x:c r="H324" s="7" t="n">
        <x:v>-46.3894748</x:v>
      </x:c>
      <x:c r="I324" s="7" t="n">
        <x:v>776.681</x:v>
      </x:c>
      <x:c r="J324" s="7" t="n">
        <x:v>774.001</x:v>
      </x:c>
      <x:c r="K324" s="7" t="n">
        <x:v>2.68</x:v>
      </x:c>
      <x:c r="L324" s="6" t="n"/>
    </x:row>
    <x:row r="325">
      <x:c r="A325" s="6" t="inlineStr">
        <x:is>
          <x:t xml:space="preserve">cts_mar_de_coral</x:t>
        </x:is>
      </x:c>
      <x:c r="B325" s="6" t="inlineStr">
        <x:is>
          <x:t xml:space="preserve">PV</x:t>
        </x:is>
      </x:c>
      <x:c r="C325" s="6" t="inlineStr">
        <x:is>
          <x:t xml:space="preserve">PV-421</x:t>
        </x:is>
      </x:c>
      <x:c r="D325" s="6" t="inlineStr">
        <x:is>
          <x:t xml:space="preserve">PV-421</x:t>
        </x:is>
      </x:c>
      <x:c r="E325" s="7" t="n">
        <x:v>7397841.529889999</x:v>
      </x:c>
      <x:c r="F325" s="7" t="n">
        <x:v>358174.8363200001</x:v>
      </x:c>
      <x:c r="G325" s="7" t="n">
        <x:v>-23.5234922</x:v>
      </x:c>
      <x:c r="H325" s="7" t="n">
        <x:v>-46.3892315</x:v>
      </x:c>
      <x:c r="I325" s="7" t="n">
        <x:v>780.712</x:v>
      </x:c>
      <x:c r="J325" s="7" t="n">
        <x:v>778.982</x:v>
      </x:c>
      <x:c r="K325" s="7" t="n">
        <x:v>1.73</x:v>
      </x:c>
      <x:c r="L325" s="6" t="n"/>
    </x:row>
    <x:row r="326">
      <x:c r="A326" s="6" t="inlineStr">
        <x:is>
          <x:t xml:space="preserve">cts_mar_de_coral</x:t>
        </x:is>
      </x:c>
      <x:c r="B326" s="6" t="inlineStr">
        <x:is>
          <x:t xml:space="preserve">PV</x:t>
        </x:is>
      </x:c>
      <x:c r="C326" s="6" t="inlineStr">
        <x:is>
          <x:t xml:space="preserve">PV-43</x:t>
        </x:is>
      </x:c>
      <x:c r="D326" s="6" t="inlineStr">
        <x:is>
          <x:t xml:space="preserve">PV-43</x:t>
        </x:is>
      </x:c>
      <x:c r="E326" s="7" t="n">
        <x:v>7397873.999839999</x:v>
      </x:c>
      <x:c r="F326" s="7" t="n">
        <x:v>358199.06748</x:v>
      </x:c>
      <x:c r="G326" s="7" t="n">
        <x:v>-23.5232011</x:v>
      </x:c>
      <x:c r="H326" s="7" t="n">
        <x:v>-46.3889911</x:v>
      </x:c>
      <x:c r="I326" s="7" t="n">
        <x:v>780.4109999999999</x:v>
      </x:c>
      <x:c r="J326" s="7" t="n">
        <x:v>776.601</x:v>
      </x:c>
      <x:c r="K326" s="7" t="n">
        <x:v>3.81</x:v>
      </x:c>
      <x:c r="L326" s="6" t="n"/>
    </x:row>
    <x:row r="327">
      <x:c r="A327" s="6" t="inlineStr">
        <x:is>
          <x:t xml:space="preserve">cts_mar_de_coral</x:t>
        </x:is>
      </x:c>
      <x:c r="B327" s="6" t="inlineStr">
        <x:is>
          <x:t xml:space="preserve">PV</x:t>
        </x:is>
      </x:c>
      <x:c r="C327" s="6" t="inlineStr">
        <x:is>
          <x:t xml:space="preserve">PV-44</x:t>
        </x:is>
      </x:c>
      <x:c r="D327" s="6" t="inlineStr">
        <x:is>
          <x:t xml:space="preserve">PV-44</x:t>
        </x:is>
      </x:c>
      <x:c r="E327" s="7" t="n">
        <x:v>7397897.86458</x:v>
      </x:c>
      <x:c r="F327" s="7" t="n">
        <x:v>358211.27531</x:v>
      </x:c>
      <x:c r="G327" s="7" t="n">
        <x:v>-23.5229867</x:v>
      </x:c>
      <x:c r="H327" s="7" t="n">
        <x:v>-46.3888693</x:v>
      </x:c>
      <x:c r="I327" s="7" t="n">
        <x:v>785.006</x:v>
      </x:c>
      <x:c r="J327" s="7" t="n">
        <x:v>780.436</x:v>
      </x:c>
      <x:c r="K327" s="7" t="n">
        <x:v>4.57</x:v>
      </x:c>
      <x:c r="L327" s="6" t="n"/>
    </x:row>
    <x:row r="328">
      <x:c r="A328" s="6" t="inlineStr">
        <x:is>
          <x:t xml:space="preserve">cts_mar_de_coral</x:t>
        </x:is>
      </x:c>
      <x:c r="B328" s="6" t="inlineStr">
        <x:is>
          <x:t xml:space="preserve">PV</x:t>
        </x:is>
      </x:c>
      <x:c r="C328" s="6" t="inlineStr">
        <x:is>
          <x:t xml:space="preserve">PV-45</x:t>
        </x:is>
      </x:c>
      <x:c r="D328" s="6" t="inlineStr">
        <x:is>
          <x:t xml:space="preserve">PV-45</x:t>
        </x:is>
      </x:c>
      <x:c r="E328" s="7" t="n">
        <x:v>7397908.976</x:v>
      </x:c>
      <x:c r="F328" s="7" t="n">
        <x:v>358213.09357</x:v>
      </x:c>
      <x:c r="G328" s="7" t="n">
        <x:v>-23.5228865</x:v>
      </x:c>
      <x:c r="H328" s="7" t="n">
        <x:v>-46.3888505</x:v>
      </x:c>
      <x:c r="I328" s="7" t="n">
        <x:v>787.407</x:v>
      </x:c>
      <x:c r="J328" s="7" t="n">
        <x:v>783.737</x:v>
      </x:c>
      <x:c r="K328" s="7" t="n">
        <x:v>3.67</x:v>
      </x:c>
      <x:c r="L328" s="6" t="n"/>
    </x:row>
    <x:row r="329">
      <x:c r="A329" s="6" t="inlineStr">
        <x:is>
          <x:t xml:space="preserve">cts_mar_de_coral</x:t>
        </x:is>
      </x:c>
      <x:c r="B329" s="6" t="inlineStr">
        <x:is>
          <x:t xml:space="preserve">PV</x:t>
        </x:is>
      </x:c>
      <x:c r="C329" s="6" t="inlineStr">
        <x:is>
          <x:t xml:space="preserve">PV-221</x:t>
        </x:is>
      </x:c>
      <x:c r="D329" s="6" t="inlineStr">
        <x:is>
          <x:t xml:space="preserve">PV-221</x:t>
        </x:is>
      </x:c>
      <x:c r="E329" s="7" t="n">
        <x:v>7397796.151461329</x:v>
      </x:c>
      <x:c r="F329" s="7" t="n">
        <x:v>357798.5205800693</x:v>
      </x:c>
      <x:c r="G329" s="7" t="n">
        <x:v>-23.5238691</x:v>
      </x:c>
      <x:c r="H329" s="7" t="n">
        <x:v>-46.3929211</x:v>
      </x:c>
      <x:c r="I329" s="7" t="n">
        <x:v>765.0119999999999</x:v>
      </x:c>
      <x:c r="J329" s="7" t="n">
        <x:v>763.352</x:v>
      </x:c>
      <x:c r="K329" s="7" t="n">
        <x:v>1.66</x:v>
      </x:c>
      <x:c r="L329" s="6" t="inlineStr">
        <x:is>
          <x:t xml:space="preserve">Conforme projeto, considerar o número do PV como 22.1, uma vez que o campo não aceita caracteres espeicias.</x:t>
        </x:is>
      </x:c>
    </x:row>
    <x:row r="330">
      <x:c r="A330" s="6" t="inlineStr">
        <x:is>
          <x:t xml:space="preserve">cts_mar_de_coral</x:t>
        </x:is>
      </x:c>
      <x:c r="B330" s="6" t="inlineStr">
        <x:is>
          <x:t xml:space="preserve">PV</x:t>
        </x:is>
      </x:c>
      <x:c r="C330" s="6" t="inlineStr">
        <x:is>
          <x:t xml:space="preserve">PV-5</x:t>
        </x:is>
      </x:c>
      <x:c r="D330" s="6" t="inlineStr">
        <x:is>
          <x:t xml:space="preserve">PV-5</x:t>
        </x:is>
      </x:c>
      <x:c r="E330" s="7" t="n">
        <x:v>7397718.531191694</x:v>
      </x:c>
      <x:c r="F330" s="7" t="n">
        <x:v>357460.9176827538</x:v>
      </x:c>
      <x:c r="G330" s="7" t="n">
        <x:v>-23.5245404</x:v>
      </x:c>
      <x:c r="H330" s="7" t="n">
        <x:v>-46.3962347</x:v>
      </x:c>
      <x:c r="I330" s="7" t="n">
        <x:v>755.5</x:v>
      </x:c>
      <x:c r="J330" s="7" t="n">
        <x:v>750.34</x:v>
      </x:c>
      <x:c r="K330" s="7" t="n">
        <x:v>5.16</x:v>
      </x:c>
      <x:c r="L330" s="6" t="n"/>
    </x:row>
    <x:row r="331">
      <x:c r="A331" s="6" t="inlineStr">
        <x:is>
          <x:t xml:space="preserve">cts_mar_de_coral</x:t>
        </x:is>
      </x:c>
      <x:c r="B331" s="6" t="inlineStr">
        <x:is>
          <x:t xml:space="preserve">PV</x:t>
        </x:is>
      </x:c>
      <x:c r="C331" s="6" t="inlineStr">
        <x:is>
          <x:t xml:space="preserve">PV-161</x:t>
        </x:is>
      </x:c>
      <x:c r="D331" s="6" t="inlineStr">
        <x:is>
          <x:t xml:space="preserve">PV-161</x:t>
        </x:is>
      </x:c>
      <x:c r="E331" s="7" t="n">
        <x:v>7397769.95915</x:v>
      </x:c>
      <x:c r="F331" s="7" t="n">
        <x:v>357727.3822</x:v>
      </x:c>
      <x:c r="G331" s="7" t="n">
        <x:v>-23.5240993</x:v>
      </x:c>
      <x:c r="H331" s="7" t="n">
        <x:v>-46.3936203</x:v>
      </x:c>
      <x:c r="I331" s="7" t="n">
        <x:v>762.062</x:v>
      </x:c>
      <x:c r="J331" s="7" t="n">
        <x:v>760.1420000000001</x:v>
      </x:c>
      <x:c r="K331" s="7" t="n">
        <x:v>1.92</x:v>
      </x:c>
      <x:c r="L331" s="6" t="inlineStr">
        <x:is>
          <x:t xml:space="preserve">Conforme projeto, considerar o número do PV como 16.1, uma vez que o campo não aceita caracteres espeicias.</x:t>
        </x:is>
      </x:c>
    </x:row>
    <x:row r="332">
      <x:c r="A332" s="6" t="inlineStr">
        <x:is>
          <x:t xml:space="preserve">cts_mar_de_coral</x:t>
        </x:is>
      </x:c>
      <x:c r="B332" s="6" t="inlineStr">
        <x:is>
          <x:t xml:space="preserve">PV</x:t>
        </x:is>
      </x:c>
      <x:c r="C332" s="6" t="inlineStr">
        <x:is>
          <x:t xml:space="preserve">PT-001</x:t>
        </x:is>
      </x:c>
      <x:c r="D332" s="6" t="inlineStr">
        <x:is>
          <x:t xml:space="preserve">PT-001</x:t>
        </x:is>
      </x:c>
      <x:c r="E332" s="7" t="n">
        <x:v>7397738.553914999</x:v>
      </x:c>
      <x:c r="F332" s="7" t="n">
        <x:v>357293.106566</x:v>
      </x:c>
      <x:c r="G332" s="7" t="n">
        <x:v>-23.5243448</x:v>
      </x:c>
      <x:c r="H332" s="7" t="n">
        <x:v>-46.3978762</x:v>
      </x:c>
      <x:c r="I332" s="6" t="n"/>
      <x:c r="J332" s="6" t="n"/>
      <x:c r="K332" s="6" t="n"/>
      <x:c r="L332" s="6" t="inlineStr">
        <x:is>
          <x:t xml:space="preserve">Ponto gerado automaticamente pela extremidade da rede.</x:t>
        </x:is>
      </x:c>
    </x:row>
    <x:row r="333">
      <x:c r="A333" s="6" t="inlineStr">
        <x:is>
          <x:t xml:space="preserve">ct_benfica</x:t>
        </x:is>
      </x:c>
      <x:c r="B333" s="6" t="inlineStr">
        <x:is>
          <x:t xml:space="preserve">PI</x:t>
        </x:is>
      </x:c>
      <x:c r="C333" s="6" t="inlineStr">
        <x:is>
          <x:t xml:space="preserve">PI-12</x:t>
        </x:is>
      </x:c>
      <x:c r="D333" s="6" t="inlineStr">
        <x:is>
          <x:t xml:space="preserve">PI-12</x:t>
        </x:is>
      </x:c>
      <x:c r="E333" s="7" t="n">
        <x:v>7398902.498</x:v>
      </x:c>
      <x:c r="F333" s="7" t="n">
        <x:v>357197.414</x:v>
      </x:c>
      <x:c r="G333" s="7" t="n">
        <x:v>-23.5138258</x:v>
      </x:c>
      <x:c r="H333" s="7" t="n">
        <x:v>-46.3987023</x:v>
      </x:c>
      <x:c r="I333" s="7" t="n">
        <x:v>757.452</x:v>
      </x:c>
      <x:c r="J333" s="7" t="n">
        <x:v>756.422</x:v>
      </x:c>
      <x:c r="K333" s="7" t="n">
        <x:v>1.03</x:v>
      </x:c>
      <x:c r="L333" s="6" t="n"/>
    </x:row>
    <x:row r="334">
      <x:c r="A334" s="6" t="inlineStr">
        <x:is>
          <x:t xml:space="preserve">ct_benfica</x:t>
        </x:is>
      </x:c>
      <x:c r="B334" s="6" t="inlineStr">
        <x:is>
          <x:t xml:space="preserve">PI</x:t>
        </x:is>
      </x:c>
      <x:c r="C334" s="6" t="inlineStr">
        <x:is>
          <x:t xml:space="preserve">PI-13</x:t>
        </x:is>
      </x:c>
      <x:c r="D334" s="6" t="inlineStr">
        <x:is>
          <x:t xml:space="preserve">PI-13</x:t>
        </x:is>
      </x:c>
      <x:c r="E334" s="7" t="n">
        <x:v>7398913.68</x:v>
      </x:c>
      <x:c r="F334" s="7" t="n">
        <x:v>357196.842</x:v>
      </x:c>
      <x:c r="G334" s="7" t="n">
        <x:v>-23.5137248</x:v>
      </x:c>
      <x:c r="H334" s="7" t="n">
        <x:v>-46.3987068</x:v>
      </x:c>
      <x:c r="I334" s="7" t="n">
        <x:v>757.624</x:v>
      </x:c>
      <x:c r="J334" s="7" t="n">
        <x:v>756.624</x:v>
      </x:c>
      <x:c r="K334" s="7" t="n">
        <x:v>1</x:v>
      </x:c>
      <x:c r="L334" s="6" t="n"/>
    </x:row>
    <x:row r="335">
      <x:c r="A335" s="6" t="inlineStr">
        <x:is>
          <x:t xml:space="preserve">ct_benfica</x:t>
        </x:is>
      </x:c>
      <x:c r="B335" s="6" t="inlineStr">
        <x:is>
          <x:t xml:space="preserve">PI</x:t>
        </x:is>
      </x:c>
      <x:c r="C335" s="6" t="inlineStr">
        <x:is>
          <x:t xml:space="preserve">PI-191</x:t>
        </x:is>
      </x:c>
      <x:c r="D335" s="6" t="inlineStr">
        <x:is>
          <x:t xml:space="preserve">PI-191</x:t>
        </x:is>
      </x:c>
      <x:c r="E335" s="7" t="n">
        <x:v>7398883.79</x:v>
      </x:c>
      <x:c r="F335" s="7" t="n">
        <x:v>357134.319</x:v>
      </x:c>
      <x:c r="G335" s="7" t="n">
        <x:v>-23.5139892</x:v>
      </x:c>
      <x:c r="H335" s="7" t="n">
        <x:v>-46.3993219</x:v>
      </x:c>
      <x:c r="I335" s="7" t="n">
        <x:v>754.8099999999999</x:v>
      </x:c>
      <x:c r="J335" s="7" t="n">
        <x:v>753.21</x:v>
      </x:c>
      <x:c r="K335" s="7" t="n">
        <x:v>1.6</x:v>
      </x:c>
      <x:c r="L335" s="6" t="inlineStr">
        <x:is>
          <x:t xml:space="preserve">Considerar o número do PI como 19.1</x:t>
        </x:is>
      </x:c>
    </x:row>
    <x:row r="336">
      <x:c r="A336" s="6" t="inlineStr">
        <x:is>
          <x:t xml:space="preserve">ct_benfica</x:t>
        </x:is>
      </x:c>
      <x:c r="B336" s="6" t="inlineStr">
        <x:is>
          <x:t xml:space="preserve">PV</x:t>
        </x:is>
      </x:c>
      <x:c r="C336" s="6" t="inlineStr">
        <x:is>
          <x:t xml:space="preserve">PV-6</x:t>
        </x:is>
      </x:c>
      <x:c r="D336" s="6" t="inlineStr">
        <x:is>
          <x:t xml:space="preserve">PV-6</x:t>
        </x:is>
      </x:c>
      <x:c r="E336" s="7" t="n">
        <x:v>7398742.462</x:v>
      </x:c>
      <x:c r="F336" s="7" t="n">
        <x:v>357063.302</x:v>
      </x:c>
      <x:c r="G336" s="7" t="n">
        <x:v>-23.5152591</x:v>
      </x:c>
      <x:c r="H336" s="7" t="n">
        <x:v>-46.4000308</x:v>
      </x:c>
      <x:c r="I336" s="7" t="n">
        <x:v>748.712</x:v>
      </x:c>
      <x:c r="J336" s="7" t="n">
        <x:v>746.822</x:v>
      </x:c>
      <x:c r="K336" s="7" t="n">
        <x:v>1.89</x:v>
      </x:c>
      <x:c r="L336" s="6" t="n"/>
    </x:row>
    <x:row r="337">
      <x:c r="A337" s="6" t="inlineStr">
        <x:is>
          <x:t xml:space="preserve">ct_benfica</x:t>
        </x:is>
      </x:c>
      <x:c r="B337" s="6" t="inlineStr">
        <x:is>
          <x:t xml:space="preserve">PV</x:t>
        </x:is>
      </x:c>
      <x:c r="C337" s="6" t="inlineStr">
        <x:is>
          <x:t xml:space="preserve">PV-9</x:t>
        </x:is>
      </x:c>
      <x:c r="D337" s="6" t="inlineStr">
        <x:is>
          <x:t xml:space="preserve">PV-9</x:t>
        </x:is>
      </x:c>
      <x:c r="E337" s="7" t="n">
        <x:v>7398805.403</x:v>
      </x:c>
      <x:c r="F337" s="7" t="n">
        <x:v>357065.689</x:v>
      </x:c>
      <x:c r="G337" s="7" t="n">
        <x:v>-23.514691</x:v>
      </x:c>
      <x:c r="H337" s="7" t="n">
        <x:v>-46.4000015</x:v>
      </x:c>
      <x:c r="I337" s="7" t="n">
        <x:v>753.942</x:v>
      </x:c>
      <x:c r="J337" s="7" t="n">
        <x:v>750.052</x:v>
      </x:c>
      <x:c r="K337" s="7" t="n">
        <x:v>3.89</x:v>
      </x:c>
      <x:c r="L337" s="6" t="n"/>
    </x:row>
    <x:row r="338">
      <x:c r="A338" s="6" t="inlineStr">
        <x:is>
          <x:t xml:space="preserve">ct_benfica</x:t>
        </x:is>
      </x:c>
      <x:c r="B338" s="6" t="inlineStr">
        <x:is>
          <x:t xml:space="preserve">PV</x:t>
        </x:is>
      </x:c>
      <x:c r="C338" s="6" t="inlineStr">
        <x:is>
          <x:t xml:space="preserve">PV-10</x:t>
        </x:is>
      </x:c>
      <x:c r="D338" s="6" t="inlineStr">
        <x:is>
          <x:t xml:space="preserve">PV-10</x:t>
        </x:is>
      </x:c>
      <x:c r="E338" s="7" t="n">
        <x:v>7398799.547</x:v>
      </x:c>
      <x:c r="F338" s="7" t="n">
        <x:v>357141.144</x:v>
      </x:c>
      <x:c r="G338" s="7" t="n">
        <x:v>-23.5147505</x:v>
      </x:c>
      <x:c r="H338" s="7" t="n">
        <x:v>-46.3992631</x:v>
      </x:c>
      <x:c r="I338" s="7" t="n">
        <x:v>759.513</x:v>
      </x:c>
      <x:c r="J338" s="7" t="n">
        <x:v>752.583</x:v>
      </x:c>
      <x:c r="K338" s="7" t="n">
        <x:v>6.93</x:v>
      </x:c>
      <x:c r="L338" s="6" t="n"/>
    </x:row>
    <x:row r="339">
      <x:c r="A339" s="6" t="inlineStr">
        <x:is>
          <x:t xml:space="preserve">ct_benfica</x:t>
        </x:is>
      </x:c>
      <x:c r="B339" s="6" t="inlineStr">
        <x:is>
          <x:t xml:space="preserve">PV</x:t>
        </x:is>
      </x:c>
      <x:c r="C339" s="6" t="inlineStr">
        <x:is>
          <x:t xml:space="preserve">PV-11</x:t>
        </x:is>
      </x:c>
      <x:c r="D339" s="6" t="inlineStr">
        <x:is>
          <x:t xml:space="preserve">PV-11</x:t>
        </x:is>
      </x:c>
      <x:c r="E339" s="7" t="n">
        <x:v>7398798.114</x:v>
      </x:c>
      <x:c r="F339" s="7" t="n">
        <x:v>357210.469</x:v>
      </x:c>
      <x:c r="G339" s="7" t="n">
        <x:v>-23.5147695</x:v>
      </x:c>
      <x:c r="H339" s="7" t="n">
        <x:v>-46.3985844</x:v>
      </x:c>
      <x:c r="I339" s="7" t="n">
        <x:v>765.114</x:v>
      </x:c>
      <x:c r="J339" s="7" t="n">
        <x:v>755.874</x:v>
      </x:c>
      <x:c r="K339" s="7" t="n">
        <x:v>9.24</x:v>
      </x:c>
      <x:c r="L339" s="6" t="n"/>
    </x:row>
    <x:row r="340">
      <x:c r="A340" s="6" t="inlineStr">
        <x:is>
          <x:t xml:space="preserve">ct_benfica</x:t>
        </x:is>
      </x:c>
      <x:c r="B340" s="6" t="inlineStr">
        <x:is>
          <x:t xml:space="preserve">PV</x:t>
        </x:is>
      </x:c>
      <x:c r="C340" s="6" t="inlineStr">
        <x:is>
          <x:t xml:space="preserve">PV-11</x:t>
        </x:is>
      </x:c>
      <x:c r="D340" s="6" t="inlineStr">
        <x:is>
          <x:t xml:space="preserve">PV-11</x:t>
        </x:is>
      </x:c>
      <x:c r="E340" s="7" t="n">
        <x:v>7398887.669</x:v>
      </x:c>
      <x:c r="F340" s="7" t="n">
        <x:v>357198.975</x:v>
      </x:c>
      <x:c r="G340" s="7" t="n">
        <x:v>-23.5139598</x:v>
      </x:c>
      <x:c r="H340" s="7" t="n">
        <x:v>-46.3986884</x:v>
      </x:c>
      <x:c r="I340" s="7" t="n">
        <x:v>757.926</x:v>
      </x:c>
      <x:c r="J340" s="7" t="n">
        <x:v>755.896</x:v>
      </x:c>
      <x:c r="K340" s="7" t="n">
        <x:v>2.03</x:v>
      </x:c>
      <x:c r="L340" s="6" t="inlineStr">
        <x:is>
          <x:t xml:space="preserve">Considerar o número do PV como 11A</x:t>
        </x:is>
      </x:c>
    </x:row>
    <x:row r="341">
      <x:c r="A341" s="6" t="inlineStr">
        <x:is>
          <x:t xml:space="preserve">ct_benfica</x:t>
        </x:is>
      </x:c>
      <x:c r="B341" s="6" t="inlineStr">
        <x:is>
          <x:t xml:space="preserve">PV</x:t>
        </x:is>
      </x:c>
      <x:c r="C341" s="6" t="inlineStr">
        <x:is>
          <x:t xml:space="preserve">PV-19</x:t>
        </x:is>
      </x:c>
      <x:c r="D341" s="6" t="inlineStr">
        <x:is>
          <x:t xml:space="preserve">PV-19</x:t>
        </x:is>
      </x:c>
      <x:c r="E341" s="7" t="n">
        <x:v>7398883.78</x:v>
      </x:c>
      <x:c r="F341" s="7" t="n">
        <x:v>357133.08</x:v>
      </x:c>
      <x:c r="G341" s="7" t="n">
        <x:v>-23.5139892</x:v>
      </x:c>
      <x:c r="H341" s="7" t="n">
        <x:v>-46.3993341</x:v>
      </x:c>
      <x:c r="I341" s="7" t="n">
        <x:v>754.984</x:v>
      </x:c>
      <x:c r="J341" s="7" t="n">
        <x:v>753.004</x:v>
      </x:c>
      <x:c r="K341" s="7" t="n">
        <x:v>1.98</x:v>
      </x:c>
      <x:c r="L341" s="6" t="n"/>
    </x:row>
    <x:row r="342">
      <x:c r="A342" s="6" t="inlineStr">
        <x:is>
          <x:t xml:space="preserve">ct_benfica</x:t>
        </x:is>
      </x:c>
      <x:c r="B342" s="6" t="inlineStr">
        <x:is>
          <x:t xml:space="preserve">PV</x:t>
        </x:is>
      </x:c>
      <x:c r="C342" s="6" t="inlineStr">
        <x:is>
          <x:t xml:space="preserve">PV-2</x:t>
        </x:is>
      </x:c>
      <x:c r="D342" s="6" t="inlineStr">
        <x:is>
          <x:t xml:space="preserve">PV-2</x:t>
        </x:is>
      </x:c>
      <x:c r="E342" s="7" t="n">
        <x:v>7398787.807</x:v>
      </x:c>
      <x:c r="F342" s="7" t="n">
        <x:v>356833.212</x:v>
      </x:c>
      <x:c r="G342" s="7" t="n">
        <x:v>-23.5148294</x:v>
      </x:c>
      <x:c r="H342" s="7" t="n">
        <x:v>-46.4022797</x:v>
      </x:c>
      <x:c r="I342" s="7" t="n">
        <x:v>744.927</x:v>
      </x:c>
      <x:c r="J342" s="7" t="n">
        <x:v>740.8869999999999</x:v>
      </x:c>
      <x:c r="K342" s="7" t="n">
        <x:v>4.04</x:v>
      </x:c>
      <x:c r="L342" s="6" t="n"/>
    </x:row>
    <x:row r="343">
      <x:c r="A343" s="6" t="inlineStr">
        <x:is>
          <x:t xml:space="preserve">ct_benfica</x:t>
        </x:is>
      </x:c>
      <x:c r="B343" s="6" t="inlineStr">
        <x:is>
          <x:t xml:space="preserve">PV</x:t>
        </x:is>
      </x:c>
      <x:c r="C343" s="6" t="inlineStr">
        <x:is>
          <x:t xml:space="preserve">PV-3</x:t>
        </x:is>
      </x:c>
      <x:c r="D343" s="6" t="inlineStr">
        <x:is>
          <x:t xml:space="preserve">PV-3</x:t>
        </x:is>
      </x:c>
      <x:c r="E343" s="7" t="n">
        <x:v>7398782.282</x:v>
      </x:c>
      <x:c r="F343" s="7" t="n">
        <x:v>356866.077</x:v>
      </x:c>
      <x:c r="G343" s="7" t="n">
        <x:v>-23.5148822</x:v>
      </x:c>
      <x:c r="H343" s="7" t="n">
        <x:v>-46.4019584</x:v>
      </x:c>
      <x:c r="I343" s="7" t="n">
        <x:v>744.511</x:v>
      </x:c>
      <x:c r="J343" s="7" t="n">
        <x:v>741.0309999999999</x:v>
      </x:c>
      <x:c r="K343" s="7" t="n">
        <x:v>3.48</x:v>
      </x:c>
      <x:c r="L343" s="6" t="n"/>
    </x:row>
    <x:row r="344">
      <x:c r="A344" s="6" t="inlineStr">
        <x:is>
          <x:t xml:space="preserve">ct_benfica</x:t>
        </x:is>
      </x:c>
      <x:c r="B344" s="6" t="inlineStr">
        <x:is>
          <x:t xml:space="preserve">PV</x:t>
        </x:is>
      </x:c>
      <x:c r="C344" s="6" t="inlineStr">
        <x:is>
          <x:t xml:space="preserve">PV-4</x:t>
        </x:is>
      </x:c>
      <x:c r="D344" s="6" t="inlineStr">
        <x:is>
          <x:t xml:space="preserve">PV-4</x:t>
        </x:is>
      </x:c>
      <x:c r="E344" s="7" t="n">
        <x:v>7398767.925</x:v>
      </x:c>
      <x:c r="F344" s="7" t="n">
        <x:v>356928.452</x:v>
      </x:c>
      <x:c r="G344" s="7" t="n">
        <x:v>-23.5150173</x:v>
      </x:c>
      <x:c r="H344" s="7" t="n">
        <x:v>-46.4013489</x:v>
      </x:c>
      <x:c r="I344" s="7" t="n">
        <x:v>743.702</x:v>
      </x:c>
      <x:c r="J344" s="7" t="n">
        <x:v>741.6420000000001</x:v>
      </x:c>
      <x:c r="K344" s="7" t="n">
        <x:v>2.06</x:v>
      </x:c>
      <x:c r="L344" s="6" t="n"/>
    </x:row>
    <x:row r="345">
      <x:c r="A345" s="6" t="inlineStr">
        <x:is>
          <x:t xml:space="preserve">ct_benfica</x:t>
        </x:is>
      </x:c>
      <x:c r="B345" s="6" t="inlineStr">
        <x:is>
          <x:t xml:space="preserve">PV</x:t>
        </x:is>
      </x:c>
      <x:c r="C345" s="6" t="inlineStr">
        <x:is>
          <x:t xml:space="preserve">PV-5</x:t>
        </x:is>
      </x:c>
      <x:c r="D345" s="6" t="inlineStr">
        <x:is>
          <x:t xml:space="preserve">PV-5</x:t>
        </x:is>
      </x:c>
      <x:c r="E345" s="7" t="n">
        <x:v>7398754.351</x:v>
      </x:c>
      <x:c r="F345" s="7" t="n">
        <x:v>357001.82</x:v>
      </x:c>
      <x:c r="G345" s="7" t="n">
        <x:v>-23.5151464</x:v>
      </x:c>
      <x:c r="H345" s="7" t="n">
        <x:v>-46.4006318</x:v>
      </x:c>
      <x:c r="I345" s="7" t="n">
        <x:v>745.693</x:v>
      </x:c>
      <x:c r="J345" s="7" t="n">
        <x:v>743.103</x:v>
      </x:c>
      <x:c r="K345" s="7" t="n">
        <x:v>2.59</x:v>
      </x:c>
      <x:c r="L345" s="6" t="n"/>
    </x:row>
    <x:row r="346">
      <x:c r="A346" s="6" t="inlineStr">
        <x:is>
          <x:t xml:space="preserve">ct_benfica</x:t>
        </x:is>
      </x:c>
      <x:c r="B346" s="6" t="inlineStr">
        <x:is>
          <x:t xml:space="preserve">PV</x:t>
        </x:is>
      </x:c>
      <x:c r="C346" s="6" t="inlineStr">
        <x:is>
          <x:t xml:space="preserve">PV-171</x:t>
        </x:is>
      </x:c>
      <x:c r="D346" s="6" t="inlineStr">
        <x:is>
          <x:t xml:space="preserve">PV-171</x:t>
        </x:is>
      </x:c>
      <x:c r="E346" s="7" t="n">
        <x:v>7398785.135</x:v>
      </x:c>
      <x:c r="F346" s="7" t="n">
        <x:v>356842.937</x:v>
      </x:c>
      <x:c r="G346" s="7" t="n">
        <x:v>-23.5148544</x:v>
      </x:c>
      <x:c r="H346" s="7" t="n">
        <x:v>-46.4021847</x:v>
      </x:c>
      <x:c r="I346" s="7" t="n">
        <x:v>744.857</x:v>
      </x:c>
      <x:c r="J346" s="7" t="n">
        <x:v>743.05</x:v>
      </x:c>
      <x:c r="K346" s="7" t="n">
        <x:v>1.81</x:v>
      </x:c>
      <x:c r="L346" s="6" t="inlineStr">
        <x:is>
          <x:t xml:space="preserve">Considerar o número do PV como 17.1</x:t>
        </x:is>
      </x:c>
    </x:row>
    <x:row r="347">
      <x:c r="A347" s="6" t="inlineStr">
        <x:is>
          <x:t xml:space="preserve">ct_benfica</x:t>
        </x:is>
      </x:c>
      <x:c r="B347" s="6" t="inlineStr">
        <x:is>
          <x:t xml:space="preserve">PV</x:t>
        </x:is>
      </x:c>
      <x:c r="C347" s="6" t="inlineStr">
        <x:is>
          <x:t xml:space="preserve">PV-18</x:t>
        </x:is>
      </x:c>
      <x:c r="D347" s="6" t="inlineStr">
        <x:is>
          <x:t xml:space="preserve">PV-18</x:t>
        </x:is>
      </x:c>
      <x:c r="E347" s="7" t="n">
        <x:v>7398777.944</x:v>
      </x:c>
      <x:c r="F347" s="7" t="n">
        <x:v>356884.709</x:v>
      </x:c>
      <x:c r="G347" s="7" t="n">
        <x:v>-23.514923</x:v>
      </x:c>
      <x:c r="H347" s="7" t="n">
        <x:v>-46.4017763</x:v>
      </x:c>
      <x:c r="I347" s="7" t="n">
        <x:v>743.961</x:v>
      </x:c>
      <x:c r="J347" s="7" t="n">
        <x:v>741.901</x:v>
      </x:c>
      <x:c r="K347" s="7" t="n">
        <x:v>2.06</x:v>
      </x:c>
      <x:c r="L347" s="6" t="n"/>
    </x:row>
    <x:row r="348">
      <x:c r="A348" s="6" t="inlineStr">
        <x:is>
          <x:t xml:space="preserve">ct_benfica</x:t>
        </x:is>
      </x:c>
      <x:c r="B348" s="6" t="inlineStr">
        <x:is>
          <x:t xml:space="preserve">PV</x:t>
        </x:is>
      </x:c>
      <x:c r="C348" s="6" t="inlineStr">
        <x:is>
          <x:t xml:space="preserve">PT-001</x:t>
        </x:is>
      </x:c>
      <x:c r="D348" s="6" t="inlineStr">
        <x:is>
          <x:t xml:space="preserve">PT-001</x:t>
        </x:is>
      </x:c>
      <x:c r="E348" s="7" t="n">
        <x:v>7398909.066</x:v>
      </x:c>
      <x:c r="F348" s="7" t="n">
        <x:v>357130.52</x:v>
      </x:c>
      <x:c r="G348" s="7" t="n">
        <x:v>-23.5137606</x:v>
      </x:c>
      <x:c r="H348" s="7" t="n">
        <x:v>-46.3993567</x:v>
      </x:c>
      <x:c r="I348" s="6" t="n"/>
      <x:c r="J348" s="6" t="n"/>
      <x:c r="K348" s="6" t="n"/>
      <x:c r="L348" s="6" t="inlineStr">
        <x:is>
          <x:t xml:space="preserve">Ponto gerado automaticamente pela extremidade da rede.</x:t>
        </x:is>
      </x:c>
    </x:row>
    <x:row r="349">
      <x:c r="A349" s="6" t="inlineStr">
        <x:is>
          <x:t xml:space="preserve">ct_benfica</x:t>
        </x:is>
      </x:c>
      <x:c r="B349" s="6" t="inlineStr">
        <x:is>
          <x:t xml:space="preserve">PV</x:t>
        </x:is>
      </x:c>
      <x:c r="C349" s="6" t="inlineStr">
        <x:is>
          <x:t xml:space="preserve">PT-002</x:t>
        </x:is>
      </x:c>
      <x:c r="D349" s="6" t="inlineStr">
        <x:is>
          <x:t xml:space="preserve">PT-002</x:t>
        </x:is>
      </x:c>
      <x:c r="E349" s="7" t="n">
        <x:v>7398798.321</x:v>
      </x:c>
      <x:c r="F349" s="7" t="n">
        <x:v>356780.558</x:v>
      </x:c>
      <x:c r="G349" s="7" t="n">
        <x:v>-23.5147298</x:v>
      </x:c>
      <x:c r="H349" s="7" t="n">
        <x:v>-46.4027943</x:v>
      </x:c>
      <x:c r="I349" s="6" t="n"/>
      <x:c r="J349" s="6" t="n"/>
      <x:c r="K349" s="6" t="n"/>
      <x:c r="L349" s="6" t="inlineStr">
        <x:is>
          <x:t xml:space="preserve">Ponto gerado automaticamente pela extremidade da rede.</x:t>
        </x:is>
      </x:c>
    </x:row>
    <x:row r="350">
      <x:c r="A350" t="str">
        <x:v>cts_mar_de_coral</x:v>
      </x:c>
      <x:c r="B350" t="str">
        <x:v>PV</x:v>
      </x:c>
      <x:c r="C350" t="str">
        <x:v>PVE-01</x:v>
      </x:c>
      <x:c r="D350" t="str">
        <x:v>PVE-01</x:v>
      </x:c>
      <x:c r="E350" t="n">
        <x:v>7397554.784</x:v>
      </x:c>
      <x:c r="F350" t="n">
        <x:v>357432.139</x:v>
      </x:c>
      <x:c r="G350" t="n">
        <x:v>-23.5260164830259</x:v>
      </x:c>
      <x:c r="H350" t="n">
        <x:v>-46.396532166130285</x:v>
      </x:c>
      <x:c r="I350" t="n">
        <x:v>752.221</x:v>
      </x:c>
      <x:c r="J350" t="n">
        <x:v>748.721</x:v>
      </x:c>
      <x:c r="K350" t="n">
        <x:v>3.5</x:v>
      </x:c>
      <x:c r="L350" t="str">
        <x:v>PDF OS HDD 25/04/2026 - Rua Jerônimo Pedroso de Barros</x:v>
      </x:c>
    </x:row>
    <x:row r="351">
      <x:c r="A351" t="str">
        <x:v>cts_mar_de_coral</x:v>
      </x:c>
      <x:c r="B351" t="str">
        <x:v>PV</x:v>
      </x:c>
      <x:c r="C351" t="str">
        <x:v>PV-51</x:v>
      </x:c>
      <x:c r="D351" t="str">
        <x:v>PV-51</x:v>
      </x:c>
      <x:c r="E351" t="n">
        <x:v>7397522.103</x:v>
      </x:c>
      <x:c r="F351" t="n">
        <x:v>357483.21</x:v>
      </x:c>
      <x:c r="G351" t="n">
        <x:v>-23.526316084338575</x:v>
      </x:c>
      <x:c r="H351" t="n">
        <x:v>-46.396035125748725</x:v>
      </x:c>
      <x:c r="I351" t="n">
        <x:v>752.389</x:v>
      </x:c>
      <x:c r="J351" t="n">
        <x:v>749.189</x:v>
      </x:c>
      <x:c r="K351" t="n">
        <x:v>3.2</x:v>
      </x:c>
      <x:c r="L351" t="str">
        <x:v>PDF OS HDD 25/04/2026 - PV-05.1 convertido para PV-51 conforme padrão da planilha</x:v>
      </x:c>
    </x:row>
  </x:sheetData>
  <x:dataValidations count="1">
    <x:dataValidation type="list" allowBlank="1" showDropDown="0" showInputMessage="0" showErrorMessage="0" sqref="B2:B1991">
      <x:formula1>"PV,PI"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399999618530273"/>
  <x:cols>
    <x:col min="1" max="1" width="22" style="12" customWidth="1"/>
    <x:col min="2" max="2" width="14" style="12" customWidth="1"/>
    <x:col min="3" max="3" width="28" style="12" customWidth="1"/>
    <x:col min="4" max="6" width="16" style="12" customWidth="1"/>
    <x:col min="7" max="7" width="10" style="12" customWidth="1"/>
    <x:col min="8" max="8" width="30" style="12" customWidth="1"/>
    <x:col min="9" max="12" width="14" style="12" customWidth="1"/>
    <x:col min="13" max="13" width="16" style="12" customWidth="1"/>
    <x:col min="14" max="14" width="38" style="12" customWidth="1"/>
    <x:col min="15" max="18" width="14" style="12" customWidth="1"/>
  </x:cols>
  <x:sheetData>
    <x:row r="1">
      <x:c r="A1" s="5" t="inlineStr">
        <x:is>
          <x:t xml:space="preserve">obra_id</x:t>
        </x:is>
      </x:c>
      <x:c r="B1" s="5" t="inlineStr">
        <x:is>
          <x:t xml:space="preserve">trecho_id</x:t>
        </x:is>
      </x:c>
      <x:c r="C1" s="5" t="inlineStr">
        <x:is>
          <x:t xml:space="preserve">trecho_nome</x:t>
        </x:is>
      </x:c>
      <x:c r="D1" s="5" t="inlineStr">
        <x:is>
          <x:t xml:space="preserve">pv_inicio</x:t>
        </x:is>
      </x:c>
      <x:c r="E1" s="5" t="inlineStr">
        <x:is>
          <x:t xml:space="preserve">pv_fim</x:t>
        </x:is>
      </x:c>
      <x:c r="F1" s="5" t="inlineStr">
        <x:is>
          <x:t xml:space="preserve">material</x:t>
        </x:is>
      </x:c>
      <x:c r="G1" s="5" t="inlineStr">
        <x:is>
          <x:t xml:space="preserve">dn</x:t>
        </x:is>
      </x:c>
      <x:c r="H1" s="5" t="inlineStr">
        <x:is>
          <x:t xml:space="preserve">metodo</x:t>
        </x:is>
      </x:c>
      <x:c r="I1" s="5" t="inlineStr">
        <x:is>
          <x:t xml:space="preserve">extensao_m</x:t>
        </x:is>
      </x:c>
      <x:c r="J1" s="5" t="inlineStr">
        <x:is>
          <x:t xml:space="preserve">prof_inicial_m</x:t>
        </x:is>
      </x:c>
      <x:c r="K1" s="5" t="inlineStr">
        <x:is>
          <x:t xml:space="preserve">prof_final_m</x:t>
        </x:is>
      </x:c>
      <x:c r="L1" s="5" t="inlineStr">
        <x:is>
          <x:t xml:space="preserve">prof_max_m</x:t>
        </x:is>
      </x:c>
      <x:c r="M1" s="5" t="inlineStr">
        <x:is>
          <x:t xml:space="preserve">status</x:t>
        </x:is>
      </x:c>
      <x:c r="N1" s="5" t="inlineStr">
        <x:is>
          <x:t xml:space="preserve">observacao</x:t>
        </x:is>
      </x:c>
      <x:c r="O1" s="5" t="inlineStr">
        <x:is>
          <x:t xml:space="preserve">lat_inicio</x:t>
        </x:is>
      </x:c>
      <x:c r="P1" s="5" t="inlineStr">
        <x:is>
          <x:t xml:space="preserve">lon_inicio</x:t>
        </x:is>
      </x:c>
      <x:c r="Q1" s="5" t="inlineStr">
        <x:is>
          <x:t xml:space="preserve">lat_fim</x:t>
        </x:is>
      </x:c>
      <x:c r="R1" s="5" t="inlineStr">
        <x:is>
          <x:t xml:space="preserve">lon_fim</x:t>
        </x:is>
      </x:c>
    </x:row>
    <x:row r="2">
      <x:c r="A2" s="6" t="inlineStr">
        <x:is>
          <x:t xml:space="preserve">agua</x:t>
        </x:is>
      </x:c>
      <x:c r="B2" s="6" t="inlineStr">
        <x:is>
          <x:t xml:space="preserve">AV-001</x:t>
        </x:is>
      </x:c>
      <x:c r="C2" s="6" t="inlineStr">
        <x:is>
          <x:t xml:space="preserve">PV-E25.1 - PV-E25</x:t>
        </x:is>
      </x:c>
      <x:c r="D2" s="6" t="inlineStr">
        <x:is>
          <x:t xml:space="preserve">PV-E25.1</x:t>
        </x:is>
      </x:c>
      <x:c r="E2" s="6" t="inlineStr">
        <x:is>
          <x:t xml:space="preserve">PV-E25</x:t>
        </x:is>
      </x:c>
      <x:c r="F2" s="6" t="inlineStr">
        <x:is>
          <x:t xml:space="preserve">PVC</x:t>
        </x:is>
      </x:c>
      <x:c r="G2" s="6" t="n">
        <x:v>200</x:v>
      </x:c>
      <x:c r="H2" s="6" t="inlineStr">
        <x:is>
          <x:t xml:space="preserve">Vala a Céu Aberto - VCA</x:t>
        </x:is>
      </x:c>
      <x:c r="I2" s="7" t="n">
        <x:v>3.22</x:v>
      </x:c>
      <x:c r="J2" s="7" t="n">
        <x:v>1.6</x:v>
      </x:c>
      <x:c r="K2" s="7" t="n">
        <x:v>1.94</x:v>
      </x:c>
      <x:c r="L2" s="6" t="n"/>
      <x:c r="M2" s="6" t="inlineStr">
        <x:is>
          <x:t xml:space="preserve">concluída</x:t>
        </x:is>
      </x:c>
      <x:c r="N2" s="6" t="n"/>
      <x:c r="O2" s="7" t="n">
        <x:v>-23.5224784</x:v>
      </x:c>
      <x:c r="P2" s="7" t="n">
        <x:v>-46.4162579</x:v>
      </x:c>
      <x:c r="Q2" s="7" t="n">
        <x:v>-23.5224496</x:v>
      </x:c>
      <x:c r="R2" s="7" t="n">
        <x:v>-46.4162534</x:v>
      </x:c>
    </x:row>
    <x:row r="3">
      <x:c r="A3" s="6" t="inlineStr">
        <x:is>
          <x:t xml:space="preserve">agua</x:t>
        </x:is>
      </x:c>
      <x:c r="B3" s="6" t="inlineStr">
        <x:is>
          <x:t xml:space="preserve">AV-002</x:t>
        </x:is>
      </x:c>
      <x:c r="C3" s="6" t="inlineStr">
        <x:is>
          <x:t xml:space="preserve">PV-E18 - PV-E17</x:t>
        </x:is>
      </x:c>
      <x:c r="D3" s="6" t="inlineStr">
        <x:is>
          <x:t xml:space="preserve">PV-E18</x:t>
        </x:is>
      </x:c>
      <x:c r="E3" s="6" t="inlineStr">
        <x:is>
          <x:t xml:space="preserve">PV-E17</x:t>
        </x:is>
      </x:c>
      <x:c r="F3" s="6" t="inlineStr">
        <x:is>
          <x:t xml:space="preserve">PEAD</x:t>
        </x:is>
      </x:c>
      <x:c r="G3" s="6" t="n">
        <x:v>355</x:v>
      </x:c>
      <x:c r="H3" s="6" t="inlineStr">
        <x:is>
          <x:t xml:space="preserve">Método Não Destrutivo - MND</x:t>
        </x:is>
      </x:c>
      <x:c r="I3" s="7" t="n">
        <x:v>38.96</x:v>
      </x:c>
      <x:c r="J3" s="7" t="n">
        <x:v>3.56</x:v>
      </x:c>
      <x:c r="K3" s="7" t="n">
        <x:v>3.46</x:v>
      </x:c>
      <x:c r="L3" s="6" t="n"/>
      <x:c r="M3" s="6" t="inlineStr">
        <x:is>
          <x:t xml:space="preserve">concluída</x:t>
        </x:is>
      </x:c>
      <x:c r="N3" s="6" t="n"/>
      <x:c r="O3" s="7" t="n">
        <x:v>-23.5192357</x:v>
      </x:c>
      <x:c r="P3" s="7" t="n">
        <x:v>-46.4165114</x:v>
      </x:c>
      <x:c r="Q3" s="7" t="n">
        <x:v>-23.518932</x:v>
      </x:c>
      <x:c r="R3" s="7" t="n">
        <x:v>-46.4167041</x:v>
      </x:c>
    </x:row>
    <x:row r="4">
      <x:c r="A4" s="6" t="inlineStr">
        <x:is>
          <x:t xml:space="preserve">agua</x:t>
        </x:is>
      </x:c>
      <x:c r="B4" s="6" t="inlineStr">
        <x:is>
          <x:t xml:space="preserve">AV-003</x:t>
        </x:is>
      </x:c>
      <x:c r="C4" s="6" t="inlineStr">
        <x:is>
          <x:t xml:space="preserve">PV-E15 - PV-E13</x:t>
        </x:is>
      </x:c>
      <x:c r="D4" s="6" t="inlineStr">
        <x:is>
          <x:t xml:space="preserve">PV-E15</x:t>
        </x:is>
      </x:c>
      <x:c r="E4" s="6" t="inlineStr">
        <x:is>
          <x:t xml:space="preserve">PV-E13</x:t>
        </x:is>
      </x:c>
      <x:c r="F4" s="6" t="inlineStr">
        <x:is>
          <x:t xml:space="preserve">PEAD</x:t>
        </x:is>
      </x:c>
      <x:c r="G4" s="6" t="n">
        <x:v>355</x:v>
      </x:c>
      <x:c r="H4" s="6" t="inlineStr">
        <x:is>
          <x:t xml:space="preserve">Método Não Destrutivo - MND</x:t>
        </x:is>
      </x:c>
      <x:c r="I4" s="7" t="n">
        <x:v>71.28</x:v>
      </x:c>
      <x:c r="J4" s="7" t="n">
        <x:v>3.22</x:v>
      </x:c>
      <x:c r="K4" s="7" t="n">
        <x:v>2.9</x:v>
      </x:c>
      <x:c r="L4" s="6" t="n"/>
      <x:c r="M4" s="6" t="inlineStr">
        <x:is>
          <x:t xml:space="preserve">concluída</x:t>
        </x:is>
      </x:c>
      <x:c r="N4" s="6" t="n"/>
      <x:c r="O4" s="7" t="n">
        <x:v>-23.5183543</x:v>
      </x:c>
      <x:c r="P4" s="7" t="n">
        <x:v>-46.416914</x:v>
      </x:c>
      <x:c r="Q4" s="7" t="n">
        <x:v>-23.517763</x:v>
      </x:c>
      <x:c r="R4" s="7" t="n">
        <x:v>-46.4171901</x:v>
      </x:c>
    </x:row>
    <x:row r="5">
      <x:c r="A5" s="6" t="inlineStr">
        <x:is>
          <x:t xml:space="preserve">agua</x:t>
        </x:is>
      </x:c>
      <x:c r="B5" s="6" t="inlineStr">
        <x:is>
          <x:t xml:space="preserve">AV-004</x:t>
        </x:is>
      </x:c>
      <x:c r="C5" s="6" t="inlineStr">
        <x:is>
          <x:t xml:space="preserve">PV-E13 - PV-E12</x:t>
        </x:is>
      </x:c>
      <x:c r="D5" s="6" t="inlineStr">
        <x:is>
          <x:t xml:space="preserve">PV-E13</x:t>
        </x:is>
      </x:c>
      <x:c r="E5" s="6" t="inlineStr">
        <x:is>
          <x:t xml:space="preserve">PV-E12</x:t>
        </x:is>
      </x:c>
      <x:c r="F5" s="6" t="inlineStr">
        <x:is>
          <x:t xml:space="preserve">PEAD</x:t>
        </x:is>
      </x:c>
      <x:c r="G5" s="6" t="n">
        <x:v>355</x:v>
      </x:c>
      <x:c r="H5" s="6" t="inlineStr">
        <x:is>
          <x:t xml:space="preserve">Método Não Destrutivo - MND</x:t>
        </x:is>
      </x:c>
      <x:c r="I5" s="7" t="n">
        <x:v>31.87</x:v>
      </x:c>
      <x:c r="J5" s="7" t="n">
        <x:v>2.9</x:v>
      </x:c>
      <x:c r="K5" s="7" t="n">
        <x:v>2.86</x:v>
      </x:c>
      <x:c r="L5" s="6" t="n"/>
      <x:c r="M5" s="6" t="inlineStr">
        <x:is>
          <x:t xml:space="preserve">concluída</x:t>
        </x:is>
      </x:c>
      <x:c r="N5" s="6" t="n"/>
      <x:c r="O5" s="7" t="n">
        <x:v>-23.517763</x:v>
      </x:c>
      <x:c r="P5" s="7" t="n">
        <x:v>-46.4171901</x:v>
      </x:c>
      <x:c r="Q5" s="7" t="n">
        <x:v>-23.5175111</x:v>
      </x:c>
      <x:c r="R5" s="7" t="n">
        <x:v>-46.417341</x:v>
      </x:c>
    </x:row>
    <x:row r="6">
      <x:c r="A6" s="6" t="inlineStr">
        <x:is>
          <x:t xml:space="preserve">agua</x:t>
        </x:is>
      </x:c>
      <x:c r="B6" s="6" t="inlineStr">
        <x:is>
          <x:t xml:space="preserve">AV-005</x:t>
        </x:is>
      </x:c>
      <x:c r="C6" s="6" t="inlineStr">
        <x:is>
          <x:t xml:space="preserve">PV-E12 - PV-E11</x:t>
        </x:is>
      </x:c>
      <x:c r="D6" s="6" t="inlineStr">
        <x:is>
          <x:t xml:space="preserve">PV-E12</x:t>
        </x:is>
      </x:c>
      <x:c r="E6" s="6" t="inlineStr">
        <x:is>
          <x:t xml:space="preserve">PV-E11</x:t>
        </x:is>
      </x:c>
      <x:c r="F6" s="6" t="inlineStr">
        <x:is>
          <x:t xml:space="preserve">PEAD</x:t>
        </x:is>
      </x:c>
      <x:c r="G6" s="6" t="n">
        <x:v>355</x:v>
      </x:c>
      <x:c r="H6" s="6" t="inlineStr">
        <x:is>
          <x:t xml:space="preserve">Método Não Destrutivo - MND</x:t>
        </x:is>
      </x:c>
      <x:c r="I6" s="7" t="n">
        <x:v>33.74</x:v>
      </x:c>
      <x:c r="J6" s="7" t="n">
        <x:v>2.93</x:v>
      </x:c>
      <x:c r="K6" s="7" t="n">
        <x:v>2.92</x:v>
      </x:c>
      <x:c r="L6" s="6" t="n"/>
      <x:c r="M6" s="6" t="inlineStr">
        <x:is>
          <x:t xml:space="preserve">concluída</x:t>
        </x:is>
      </x:c>
      <x:c r="N6" s="6" t="n"/>
      <x:c r="O6" s="7" t="n">
        <x:v>-23.5175111</x:v>
      </x:c>
      <x:c r="P6" s="7" t="n">
        <x:v>-46.417341</x:v>
      </x:c>
      <x:c r="Q6" s="7" t="n">
        <x:v>-23.5172449</x:v>
      </x:c>
      <x:c r="R6" s="7" t="n">
        <x:v>-46.4175017</x:v>
      </x:c>
    </x:row>
    <x:row r="7">
      <x:c r="A7" s="6" t="inlineStr">
        <x:is>
          <x:t xml:space="preserve">agua</x:t>
        </x:is>
      </x:c>
      <x:c r="B7" s="6" t="inlineStr">
        <x:is>
          <x:t xml:space="preserve">AV-006</x:t>
        </x:is>
      </x:c>
      <x:c r="C7" s="6" t="inlineStr">
        <x:is>
          <x:t xml:space="preserve">PV-E11 - PV-E10</x:t>
        </x:is>
      </x:c>
      <x:c r="D7" s="6" t="inlineStr">
        <x:is>
          <x:t xml:space="preserve">PV-E11</x:t>
        </x:is>
      </x:c>
      <x:c r="E7" s="6" t="inlineStr">
        <x:is>
          <x:t xml:space="preserve">PV-E10</x:t>
        </x:is>
      </x:c>
      <x:c r="F7" s="6" t="inlineStr">
        <x:is>
          <x:t xml:space="preserve">PEAD</x:t>
        </x:is>
      </x:c>
      <x:c r="G7" s="6" t="n">
        <x:v>355</x:v>
      </x:c>
      <x:c r="H7" s="6" t="inlineStr">
        <x:is>
          <x:t xml:space="preserve">Método Não Destrutivo - MND</x:t>
        </x:is>
      </x:c>
      <x:c r="I7" s="7" t="n">
        <x:v>34.36</x:v>
      </x:c>
      <x:c r="J7" s="7" t="n">
        <x:v>2.92</x:v>
      </x:c>
      <x:c r="K7" s="7" t="n">
        <x:v>2.8</x:v>
      </x:c>
      <x:c r="L7" s="6" t="n"/>
      <x:c r="M7" s="6" t="inlineStr">
        <x:is>
          <x:t xml:space="preserve">concluída</x:t>
        </x:is>
      </x:c>
      <x:c r="N7" s="6" t="n"/>
      <x:c r="O7" s="7" t="n">
        <x:v>-23.5172449</x:v>
      </x:c>
      <x:c r="P7" s="7" t="n">
        <x:v>-46.4175017</x:v>
      </x:c>
      <x:c r="Q7" s="7" t="n">
        <x:v>-23.516983</x:v>
      </x:c>
      <x:c r="R7" s="7" t="n">
        <x:v>-46.4176821</x:v>
      </x:c>
    </x:row>
    <x:row r="8">
      <x:c r="A8" s="6" t="inlineStr">
        <x:is>
          <x:t xml:space="preserve">agua</x:t>
        </x:is>
      </x:c>
      <x:c r="B8" s="6" t="inlineStr">
        <x:is>
          <x:t xml:space="preserve">AV-007</x:t>
        </x:is>
      </x:c>
      <x:c r="C8" s="6" t="inlineStr">
        <x:is>
          <x:t xml:space="preserve">PV-E10 - PV-E7</x:t>
        </x:is>
      </x:c>
      <x:c r="D8" s="6" t="inlineStr">
        <x:is>
          <x:t xml:space="preserve">PV-E10</x:t>
        </x:is>
      </x:c>
      <x:c r="E8" s="6" t="inlineStr">
        <x:is>
          <x:t xml:space="preserve">PV-E7</x:t>
        </x:is>
      </x:c>
      <x:c r="F8" s="6" t="inlineStr">
        <x:is>
          <x:t xml:space="preserve">PEAD</x:t>
        </x:is>
      </x:c>
      <x:c r="G8" s="6" t="n">
        <x:v>355</x:v>
      </x:c>
      <x:c r="H8" s="6" t="inlineStr">
        <x:is>
          <x:t xml:space="preserve">Método Não Destrutivo - MND</x:t>
        </x:is>
      </x:c>
      <x:c r="I8" s="7" t="n">
        <x:v>74.31</x:v>
      </x:c>
      <x:c r="J8" s="6" t="n">
        <x:v>3</x:v>
      </x:c>
      <x:c r="K8" s="7" t="n">
        <x:v>3.11</x:v>
      </x:c>
      <x:c r="L8" s="6" t="n"/>
      <x:c r="M8" s="6" t="inlineStr">
        <x:is>
          <x:t xml:space="preserve">concluída</x:t>
        </x:is>
      </x:c>
      <x:c r="N8" s="6" t="n"/>
      <x:c r="O8" s="7" t="n">
        <x:v>-23.516983</x:v>
      </x:c>
      <x:c r="P8" s="7" t="n">
        <x:v>-46.4176821</x:v>
      </x:c>
      <x:c r="Q8" s="7" t="n">
        <x:v>-23.5163712</x:v>
      </x:c>
      <x:c r="R8" s="7" t="n">
        <x:v>-46.4179813</x:v>
      </x:c>
    </x:row>
    <x:row r="9">
      <x:c r="A9" s="6" t="inlineStr">
        <x:is>
          <x:t xml:space="preserve">agua</x:t>
        </x:is>
      </x:c>
      <x:c r="B9" s="6" t="inlineStr">
        <x:is>
          <x:t xml:space="preserve">AV-008</x:t>
        </x:is>
      </x:c>
      <x:c r="C9" s="6" t="inlineStr">
        <x:is>
          <x:t xml:space="preserve">PV-E03 - PV-E1</x:t>
        </x:is>
      </x:c>
      <x:c r="D9" s="6" t="inlineStr">
        <x:is>
          <x:t xml:space="preserve">PV-E03</x:t>
        </x:is>
      </x:c>
      <x:c r="E9" s="6" t="inlineStr">
        <x:is>
          <x:t xml:space="preserve">PV-E1</x:t>
        </x:is>
      </x:c>
      <x:c r="F9" s="6" t="inlineStr">
        <x:is>
          <x:t xml:space="preserve">PEAD</x:t>
        </x:is>
      </x:c>
      <x:c r="G9" s="6" t="n">
        <x:v>355</x:v>
      </x:c>
      <x:c r="H9" s="6" t="inlineStr">
        <x:is>
          <x:t xml:space="preserve">Método Não Destrutivo - MND</x:t>
        </x:is>
      </x:c>
      <x:c r="I9" s="7" t="n">
        <x:v>53.46</x:v>
      </x:c>
      <x:c r="J9" s="7" t="n">
        <x:v>2.67</x:v>
      </x:c>
      <x:c r="K9" s="7" t="n">
        <x:v>2.62</x:v>
      </x:c>
      <x:c r="L9" s="6" t="n"/>
      <x:c r="M9" s="6" t="inlineStr">
        <x:is>
          <x:t xml:space="preserve">concluída</x:t>
        </x:is>
      </x:c>
      <x:c r="N9" s="6" t="n"/>
      <x:c r="O9" s="7" t="n">
        <x:v>-23.514676</x:v>
      </x:c>
      <x:c r="P9" s="7" t="n">
        <x:v>-46.4184359</x:v>
      </x:c>
      <x:c r="Q9" s="7" t="n">
        <x:v>-23.514194</x:v>
      </x:c>
      <x:c r="R9" s="7" t="n">
        <x:v>-46.4184072</x:v>
      </x:c>
    </x:row>
    <x:row r="10">
      <x:c r="A10" s="6" t="inlineStr">
        <x:is>
          <x:t xml:space="preserve">agua</x:t>
        </x:is>
      </x:c>
      <x:c r="B10" s="6" t="inlineStr">
        <x:is>
          <x:t xml:space="preserve">AV-009</x:t>
        </x:is>
      </x:c>
      <x:c r="C10" s="6" t="inlineStr">
        <x:is>
          <x:t xml:space="preserve">PV-E1 - PV-E0</x:t>
        </x:is>
      </x:c>
      <x:c r="D10" s="6" t="inlineStr">
        <x:is>
          <x:t xml:space="preserve">PV-E1</x:t>
        </x:is>
      </x:c>
      <x:c r="E10" s="6" t="inlineStr">
        <x:is>
          <x:t xml:space="preserve">PV-E0</x:t>
        </x:is>
      </x:c>
      <x:c r="F10" s="6" t="inlineStr">
        <x:is>
          <x:t xml:space="preserve">PEAD</x:t>
        </x:is>
      </x:c>
      <x:c r="G10" s="6" t="n">
        <x:v>225</x:v>
      </x:c>
      <x:c r="H10" s="6" t="inlineStr">
        <x:is>
          <x:t xml:space="preserve">Método Não Destrutivo - MND</x:t>
        </x:is>
      </x:c>
      <x:c r="I10" s="7" t="n">
        <x:v>20.52</x:v>
      </x:c>
      <x:c r="J10" s="7" t="n">
        <x:v>3.1</x:v>
      </x:c>
      <x:c r="K10" s="7" t="n">
        <x:v>3.32</x:v>
      </x:c>
      <x:c r="L10" s="6" t="n"/>
      <x:c r="M10" s="6" t="inlineStr">
        <x:is>
          <x:t xml:space="preserve">concluída</x:t>
        </x:is>
      </x:c>
      <x:c r="N10" s="6" t="n"/>
      <x:c r="O10" s="7" t="n">
        <x:v>-23.514194</x:v>
      </x:c>
      <x:c r="P10" s="7" t="n">
        <x:v>-46.4184072</x:v>
      </x:c>
      <x:c r="Q10" s="7" t="n">
        <x:v>-23.514206</x:v>
      </x:c>
      <x:c r="R10" s="7" t="n">
        <x:v>-46.4182067</x:v>
      </x:c>
    </x:row>
    <x:row r="11">
      <x:c r="A11" s="6" t="inlineStr">
        <x:is>
          <x:t xml:space="preserve">agua</x:t>
        </x:is>
      </x:c>
      <x:c r="B11" s="6" t="inlineStr">
        <x:is>
          <x:t xml:space="preserve">AV-010</x:t>
        </x:is>
      </x:c>
      <x:c r="C11" s="6" t="inlineStr">
        <x:is>
          <x:t xml:space="preserve">PV-E7 - PV-E6</x:t>
        </x:is>
      </x:c>
      <x:c r="D11" s="6" t="inlineStr">
        <x:is>
          <x:t xml:space="preserve">PV-E7</x:t>
        </x:is>
      </x:c>
      <x:c r="E11" s="6" t="inlineStr">
        <x:is>
          <x:t xml:space="preserve">PV-E6</x:t>
        </x:is>
      </x:c>
      <x:c r="F11" s="6" t="inlineStr">
        <x:is>
          <x:t xml:space="preserve">PEAD</x:t>
        </x:is>
      </x:c>
      <x:c r="G11" s="6" t="n">
        <x:v>355</x:v>
      </x:c>
      <x:c r="H11" s="6" t="inlineStr">
        <x:is>
          <x:t xml:space="preserve">Método Não Destrutivo - MND</x:t>
        </x:is>
      </x:c>
      <x:c r="I11" s="7" t="n">
        <x:v>20.95</x:v>
      </x:c>
      <x:c r="J11" s="7" t="n">
        <x:v>3.11</x:v>
      </x:c>
      <x:c r="K11" s="7" t="n">
        <x:v>3.01</x:v>
      </x:c>
      <x:c r="L11" s="6" t="n"/>
      <x:c r="M11" s="6" t="inlineStr">
        <x:is>
          <x:t xml:space="preserve">concluída</x:t>
        </x:is>
      </x:c>
      <x:c r="N11" s="6" t="n"/>
      <x:c r="O11" s="7" t="n">
        <x:v>-23.5163712</x:v>
      </x:c>
      <x:c r="P11" s="7" t="n">
        <x:v>-46.4179813</x:v>
      </x:c>
      <x:c r="Q11" s="7" t="n">
        <x:v>-23.5161918</x:v>
      </x:c>
      <x:c r="R11" s="7" t="n">
        <x:v>-46.4180463</x:v>
      </x:c>
    </x:row>
    <x:row r="12">
      <x:c r="A12" s="6" t="inlineStr">
        <x:is>
          <x:t xml:space="preserve">agua</x:t>
        </x:is>
      </x:c>
      <x:c r="B12" s="6" t="inlineStr">
        <x:is>
          <x:t xml:space="preserve">AV-011</x:t>
        </x:is>
      </x:c>
      <x:c r="C12" s="6" t="inlineStr">
        <x:is>
          <x:t xml:space="preserve">PV-E6 - PV-E5</x:t>
        </x:is>
      </x:c>
      <x:c r="D12" s="6" t="inlineStr">
        <x:is>
          <x:t xml:space="preserve">PV-E6</x:t>
        </x:is>
      </x:c>
      <x:c r="E12" s="6" t="inlineStr">
        <x:is>
          <x:t xml:space="preserve">PV-E5</x:t>
        </x:is>
      </x:c>
      <x:c r="F12" s="6" t="inlineStr">
        <x:is>
          <x:t xml:space="preserve">PEAD</x:t>
        </x:is>
      </x:c>
      <x:c r="G12" s="6" t="n">
        <x:v>355</x:v>
      </x:c>
      <x:c r="H12" s="6" t="inlineStr">
        <x:is>
          <x:t xml:space="preserve">Método Não Destrutivo - MND</x:t>
        </x:is>
      </x:c>
      <x:c r="I12" s="7" t="n">
        <x:v>77.34</x:v>
      </x:c>
      <x:c r="J12" s="7" t="n">
        <x:v>3.01</x:v>
      </x:c>
      <x:c r="K12" s="7" t="n">
        <x:v>2.83</x:v>
      </x:c>
      <x:c r="L12" s="6" t="n"/>
      <x:c r="M12" s="6" t="inlineStr">
        <x:is>
          <x:t xml:space="preserve">concluída</x:t>
        </x:is>
      </x:c>
      <x:c r="N12" s="6" t="n"/>
      <x:c r="O12" s="7" t="n">
        <x:v>-23.5161918</x:v>
      </x:c>
      <x:c r="P12" s="7" t="n">
        <x:v>-46.4180463</x:v>
      </x:c>
      <x:c r="Q12" s="7" t="n">
        <x:v>-23.5155228</x:v>
      </x:c>
      <x:c r="R12" s="7" t="n">
        <x:v>-46.4182641</x:v>
      </x:c>
    </x:row>
    <x:row r="13">
      <x:c r="A13" s="6" t="inlineStr">
        <x:is>
          <x:t xml:space="preserve">agua</x:t>
        </x:is>
      </x:c>
      <x:c r="B13" s="6" t="inlineStr">
        <x:is>
          <x:t xml:space="preserve">AV-012</x:t>
        </x:is>
      </x:c>
      <x:c r="C13" s="6" t="inlineStr">
        <x:is>
          <x:t xml:space="preserve">PV-E5 - PV-E4</x:t>
        </x:is>
      </x:c>
      <x:c r="D13" s="6" t="inlineStr">
        <x:is>
          <x:t xml:space="preserve">PV-E5</x:t>
        </x:is>
      </x:c>
      <x:c r="E13" s="6" t="inlineStr">
        <x:is>
          <x:t xml:space="preserve">PV-E4</x:t>
        </x:is>
      </x:c>
      <x:c r="F13" s="6" t="inlineStr">
        <x:is>
          <x:t xml:space="preserve">PEAD</x:t>
        </x:is>
      </x:c>
      <x:c r="G13" s="6" t="n">
        <x:v>355</x:v>
      </x:c>
      <x:c r="H13" s="6" t="inlineStr">
        <x:is>
          <x:t xml:space="preserve">Método Não Destrutivo - MND</x:t>
        </x:is>
      </x:c>
      <x:c r="I13" s="7" t="n">
        <x:v>54.1</x:v>
      </x:c>
      <x:c r="J13" s="7" t="n">
        <x:v>2.83</x:v>
      </x:c>
      <x:c r="K13" s="7" t="n">
        <x:v>2.84</x:v>
      </x:c>
      <x:c r="L13" s="6" t="n"/>
      <x:c r="M13" s="6" t="inlineStr">
        <x:is>
          <x:t xml:space="preserve">concluída</x:t>
        </x:is>
      </x:c>
      <x:c r="N13" s="6" t="n"/>
      <x:c r="O13" s="7" t="n">
        <x:v>-23.5155228</x:v>
      </x:c>
      <x:c r="P13" s="7" t="n">
        <x:v>-46.4182641</x:v>
      </x:c>
      <x:c r="Q13" s="7" t="n">
        <x:v>-23.5150432</x:v>
      </x:c>
      <x:c r="R13" s="7" t="n">
        <x:v>-46.4183649</x:v>
      </x:c>
    </x:row>
    <x:row r="14">
      <x:c r="A14" s="6" t="inlineStr">
        <x:is>
          <x:t xml:space="preserve">agua</x:t>
        </x:is>
      </x:c>
      <x:c r="B14" s="6" t="inlineStr">
        <x:is>
          <x:t xml:space="preserve">AV-013</x:t>
        </x:is>
      </x:c>
      <x:c r="C14" s="6" t="inlineStr">
        <x:is>
          <x:t xml:space="preserve">PV-E4 - PV-E03</x:t>
        </x:is>
      </x:c>
      <x:c r="D14" s="6" t="inlineStr">
        <x:is>
          <x:t xml:space="preserve">PV-E4</x:t>
        </x:is>
      </x:c>
      <x:c r="E14" s="6" t="inlineStr">
        <x:is>
          <x:t xml:space="preserve">PV-E03</x:t>
        </x:is>
      </x:c>
      <x:c r="F14" s="6" t="inlineStr">
        <x:is>
          <x:t xml:space="preserve">PEAD</x:t>
        </x:is>
      </x:c>
      <x:c r="G14" s="6" t="n">
        <x:v>355</x:v>
      </x:c>
      <x:c r="H14" s="6" t="inlineStr">
        <x:is>
          <x:t xml:space="preserve">Método Não Destrutivo - MND</x:t>
        </x:is>
      </x:c>
      <x:c r="I14" s="7" t="n">
        <x:v>41.3</x:v>
      </x:c>
      <x:c r="J14" s="7" t="n">
        <x:v>2.84</x:v>
      </x:c>
      <x:c r="K14" s="7" t="n">
        <x:v>2.67</x:v>
      </x:c>
      <x:c r="L14" s="6" t="n"/>
      <x:c r="M14" s="6" t="inlineStr">
        <x:is>
          <x:t xml:space="preserve">concluída</x:t>
        </x:is>
      </x:c>
      <x:c r="N14" s="6" t="n"/>
      <x:c r="O14" s="7" t="n">
        <x:v>-23.5150432</x:v>
      </x:c>
      <x:c r="P14" s="7" t="n">
        <x:v>-46.4183649</x:v>
      </x:c>
      <x:c r="Q14" s="7" t="n">
        <x:v>-23.514676</x:v>
      </x:c>
      <x:c r="R14" s="7" t="n">
        <x:v>-46.4184359</x:v>
      </x:c>
    </x:row>
    <x:row r="15">
      <x:c r="A15" s="6" t="inlineStr">
        <x:is>
          <x:t xml:space="preserve">agua</x:t>
        </x:is>
      </x:c>
      <x:c r="B15" s="6" t="inlineStr">
        <x:is>
          <x:t xml:space="preserve">AV-014</x:t>
        </x:is>
      </x:c>
      <x:c r="C15" s="6" t="inlineStr">
        <x:is>
          <x:t xml:space="preserve">PV-E17 - PV-E16</x:t>
        </x:is>
      </x:c>
      <x:c r="D15" s="6" t="inlineStr">
        <x:is>
          <x:t xml:space="preserve">PV-E17</x:t>
        </x:is>
      </x:c>
      <x:c r="E15" s="6" t="inlineStr">
        <x:is>
          <x:t xml:space="preserve">PV-E16</x:t>
        </x:is>
      </x:c>
      <x:c r="F15" s="6" t="inlineStr">
        <x:is>
          <x:t xml:space="preserve">PEAD</x:t>
        </x:is>
      </x:c>
      <x:c r="G15" s="6" t="n">
        <x:v>355</x:v>
      </x:c>
      <x:c r="H15" s="6" t="inlineStr">
        <x:is>
          <x:t xml:space="preserve">Método Não Destrutivo - MND</x:t>
        </x:is>
      </x:c>
      <x:c r="I15" s="7" t="n">
        <x:v>34.99</x:v>
      </x:c>
      <x:c r="J15" s="7" t="n">
        <x:v>3.72</x:v>
      </x:c>
      <x:c r="K15" s="7" t="n">
        <x:v>3.29</x:v>
      </x:c>
      <x:c r="L15" s="6" t="n"/>
      <x:c r="M15" s="6" t="inlineStr">
        <x:is>
          <x:t xml:space="preserve">concluída</x:t>
        </x:is>
      </x:c>
      <x:c r="N15" s="6" t="n"/>
      <x:c r="O15" s="7" t="n">
        <x:v>-23.518932</x:v>
      </x:c>
      <x:c r="P15" s="7" t="n">
        <x:v>-46.4167041</x:v>
      </x:c>
      <x:c r="Q15" s="7" t="n">
        <x:v>-23.5186306</x:v>
      </x:c>
      <x:c r="R15" s="7" t="n">
        <x:v>-46.4168069</x:v>
      </x:c>
    </x:row>
    <x:row r="16">
      <x:c r="A16" s="6" t="inlineStr">
        <x:is>
          <x:t xml:space="preserve">agua</x:t>
        </x:is>
      </x:c>
      <x:c r="B16" s="6" t="inlineStr">
        <x:is>
          <x:t xml:space="preserve">AV-015</x:t>
        </x:is>
      </x:c>
      <x:c r="C16" s="6" t="inlineStr">
        <x:is>
          <x:t xml:space="preserve">PV-E16 - PV-E15</x:t>
        </x:is>
      </x:c>
      <x:c r="D16" s="6" t="inlineStr">
        <x:is>
          <x:t xml:space="preserve">PV-E16</x:t>
        </x:is>
      </x:c>
      <x:c r="E16" s="6" t="inlineStr">
        <x:is>
          <x:t xml:space="preserve">PV-E15</x:t>
        </x:is>
      </x:c>
      <x:c r="F16" s="6" t="inlineStr">
        <x:is>
          <x:t xml:space="preserve">PEAD</x:t>
        </x:is>
      </x:c>
      <x:c r="G16" s="6" t="n">
        <x:v>355</x:v>
      </x:c>
      <x:c r="H16" s="6" t="inlineStr">
        <x:is>
          <x:t xml:space="preserve">Método Não Destrutivo - MND</x:t>
        </x:is>
      </x:c>
      <x:c r="I16" s="7" t="n">
        <x:v>32.5</x:v>
      </x:c>
      <x:c r="J16" s="7" t="n">
        <x:v>3.29</x:v>
      </x:c>
      <x:c r="K16" s="7" t="n">
        <x:v>3.22</x:v>
      </x:c>
      <x:c r="L16" s="6" t="n"/>
      <x:c r="M16" s="6" t="inlineStr">
        <x:is>
          <x:t xml:space="preserve">concluída</x:t>
        </x:is>
      </x:c>
      <x:c r="N16" s="6" t="n"/>
      <x:c r="O16" s="7" t="n">
        <x:v>-23.5186306</x:v>
      </x:c>
      <x:c r="P16" s="7" t="n">
        <x:v>-46.4168069</x:v>
      </x:c>
      <x:c r="Q16" s="7" t="n">
        <x:v>-23.5183543</x:v>
      </x:c>
      <x:c r="R16" s="7" t="n">
        <x:v>-46.416914</x:v>
      </x:c>
    </x:row>
    <x:row r="17">
      <x:c r="A17" s="6" t="inlineStr">
        <x:is>
          <x:t xml:space="preserve">agua</x:t>
        </x:is>
      </x:c>
      <x:c r="B17" s="6" t="inlineStr">
        <x:is>
          <x:t xml:space="preserve">AV-016</x:t>
        </x:is>
      </x:c>
      <x:c r="C17" s="6" t="inlineStr">
        <x:is>
          <x:t xml:space="preserve">PV-E19 - PV-E18</x:t>
        </x:is>
      </x:c>
      <x:c r="D17" s="6" t="inlineStr">
        <x:is>
          <x:t xml:space="preserve">PV-E19</x:t>
        </x:is>
      </x:c>
      <x:c r="E17" s="6" t="inlineStr">
        <x:is>
          <x:t xml:space="preserve">PV-E18</x:t>
        </x:is>
      </x:c>
      <x:c r="F17" s="6" t="inlineStr">
        <x:is>
          <x:t xml:space="preserve">PEAD</x:t>
        </x:is>
      </x:c>
      <x:c r="G17" s="6" t="n">
        <x:v>355</x:v>
      </x:c>
      <x:c r="H17" s="6" t="inlineStr">
        <x:is>
          <x:t xml:space="preserve">Método Não Destrutivo - MND</x:t>
        </x:is>
      </x:c>
      <x:c r="I17" s="7" t="n">
        <x:v>39.84</x:v>
      </x:c>
      <x:c r="J17" s="7" t="n">
        <x:v>3.78</x:v>
      </x:c>
      <x:c r="K17" s="7" t="n">
        <x:v>3.46</x:v>
      </x:c>
      <x:c r="L17" s="6" t="n"/>
      <x:c r="M17" s="6" t="inlineStr">
        <x:is>
          <x:t xml:space="preserve">concluída</x:t>
        </x:is>
      </x:c>
      <x:c r="N17" s="6" t="n"/>
      <x:c r="O17" s="7" t="n">
        <x:v>-23.5195592</x:v>
      </x:c>
      <x:c r="P17" s="7" t="n">
        <x:v>-46.4163406</x:v>
      </x:c>
      <x:c r="Q17" s="7" t="n">
        <x:v>-23.5192357</x:v>
      </x:c>
      <x:c r="R17" s="7" t="n">
        <x:v>-46.4165114</x:v>
      </x:c>
    </x:row>
    <x:row r="18">
      <x:c r="A18" s="6" t="inlineStr">
        <x:is>
          <x:t xml:space="preserve">agua</x:t>
        </x:is>
      </x:c>
      <x:c r="B18" s="6" t="inlineStr">
        <x:is>
          <x:t xml:space="preserve">AV-017</x:t>
        </x:is>
      </x:c>
      <x:c r="C18" s="6" t="inlineStr">
        <x:is>
          <x:t xml:space="preserve">PV-E23 - PV-E22</x:t>
        </x:is>
      </x:c>
      <x:c r="D18" s="6" t="inlineStr">
        <x:is>
          <x:t xml:space="preserve">PV-E23</x:t>
        </x:is>
      </x:c>
      <x:c r="E18" s="6" t="inlineStr">
        <x:is>
          <x:t xml:space="preserve">PV-E22</x:t>
        </x:is>
      </x:c>
      <x:c r="F18" s="6" t="inlineStr">
        <x:is>
          <x:t xml:space="preserve">PEAD</x:t>
        </x:is>
      </x:c>
      <x:c r="G18" s="6" t="n">
        <x:v>355</x:v>
      </x:c>
      <x:c r="H18" s="6" t="inlineStr">
        <x:is>
          <x:t xml:space="preserve">Método Não Destrutivo - MND</x:t>
        </x:is>
      </x:c>
      <x:c r="I18" s="7" t="n">
        <x:v>73.89</x:v>
      </x:c>
      <x:c r="J18" s="7" t="n">
        <x:v>4.07</x:v>
      </x:c>
      <x:c r="K18" s="7" t="n">
        <x:v>3.97</x:v>
      </x:c>
      <x:c r="L18" s="6" t="n"/>
      <x:c r="M18" s="6" t="inlineStr">
        <x:is>
          <x:t xml:space="preserve">concluída</x:t>
        </x:is>
      </x:c>
      <x:c r="N18" s="6" t="n"/>
      <x:c r="O18" s="7" t="n">
        <x:v>-23.5214102</x:v>
      </x:c>
      <x:c r="P18" s="7" t="n">
        <x:v>-46.4161775</x:v>
      </x:c>
      <x:c r="Q18" s="7" t="n">
        <x:v>-23.5207433</x:v>
      </x:c>
      <x:c r="R18" s="7" t="n">
        <x:v>-46.4161534</x:v>
      </x:c>
    </x:row>
    <x:row r="19">
      <x:c r="A19" s="6" t="inlineStr">
        <x:is>
          <x:t xml:space="preserve">agua</x:t>
        </x:is>
      </x:c>
      <x:c r="B19" s="6" t="inlineStr">
        <x:is>
          <x:t xml:space="preserve">AV-018</x:t>
        </x:is>
      </x:c>
      <x:c r="C19" s="6" t="inlineStr">
        <x:is>
          <x:t xml:space="preserve">PV-E25 - PV-E24</x:t>
        </x:is>
      </x:c>
      <x:c r="D19" s="6" t="inlineStr">
        <x:is>
          <x:t xml:space="preserve">PV-E25</x:t>
        </x:is>
      </x:c>
      <x:c r="E19" s="6" t="inlineStr">
        <x:is>
          <x:t xml:space="preserve">PV-E24</x:t>
        </x:is>
      </x:c>
      <x:c r="F19" s="6" t="inlineStr">
        <x:is>
          <x:t xml:space="preserve">PEAD</x:t>
        </x:is>
      </x:c>
      <x:c r="G19" s="6" t="n">
        <x:v>355</x:v>
      </x:c>
      <x:c r="H19" s="6" t="inlineStr">
        <x:is>
          <x:t xml:space="preserve">Método Não Destrutivo - MND</x:t>
        </x:is>
      </x:c>
      <x:c r="I19" s="7" t="n">
        <x:v>62.11</x:v>
      </x:c>
      <x:c r="J19" s="7" t="n">
        <x:v>2.15</x:v>
      </x:c>
      <x:c r="K19" s="7" t="n">
        <x:v>3.65</x:v>
      </x:c>
      <x:c r="L19" s="6" t="n"/>
      <x:c r="M19" s="6" t="inlineStr">
        <x:is>
          <x:t xml:space="preserve">concluída</x:t>
        </x:is>
      </x:c>
      <x:c r="N19" s="6" t="n"/>
      <x:c r="O19" s="7" t="n">
        <x:v>-23.5224496</x:v>
      </x:c>
      <x:c r="P19" s="7" t="n">
        <x:v>-46.4162534</x:v>
      </x:c>
      <x:c r="Q19" s="7" t="n">
        <x:v>-23.5218903</x:v>
      </x:c>
      <x:c r="R19" s="7" t="n">
        <x:v>-46.416208</x:v>
      </x:c>
    </x:row>
    <x:row r="20">
      <x:c r="A20" s="6" t="inlineStr">
        <x:is>
          <x:t xml:space="preserve">agua</x:t>
        </x:is>
      </x:c>
      <x:c r="B20" s="6" t="inlineStr">
        <x:is>
          <x:t xml:space="preserve">AV-019</x:t>
        </x:is>
      </x:c>
      <x:c r="C20" s="6" t="inlineStr">
        <x:is>
          <x:t xml:space="preserve">PV-E24 - PV-E23</x:t>
        </x:is>
      </x:c>
      <x:c r="D20" s="6" t="inlineStr">
        <x:is>
          <x:t xml:space="preserve">PV-E24</x:t>
        </x:is>
      </x:c>
      <x:c r="E20" s="6" t="inlineStr">
        <x:is>
          <x:t xml:space="preserve">PV-E23</x:t>
        </x:is>
      </x:c>
      <x:c r="F20" s="6" t="inlineStr">
        <x:is>
          <x:t xml:space="preserve">PEAD</x:t>
        </x:is>
      </x:c>
      <x:c r="G20" s="6" t="n">
        <x:v>355</x:v>
      </x:c>
      <x:c r="H20" s="6" t="inlineStr">
        <x:is>
          <x:t xml:space="preserve">Método Não Destrutivo - MND</x:t>
        </x:is>
      </x:c>
      <x:c r="I20" s="7" t="n">
        <x:v>53.26</x:v>
      </x:c>
      <x:c r="J20" s="7" t="n">
        <x:v>3.65</x:v>
      </x:c>
      <x:c r="K20" s="7" t="n">
        <x:v>4.02</x:v>
      </x:c>
      <x:c r="L20" s="6" t="n"/>
      <x:c r="M20" s="6" t="inlineStr">
        <x:is>
          <x:t xml:space="preserve">concluída</x:t>
        </x:is>
      </x:c>
      <x:c r="N20" s="6" t="n"/>
      <x:c r="O20" s="7" t="n">
        <x:v>-23.5218903</x:v>
      </x:c>
      <x:c r="P20" s="7" t="n">
        <x:v>-46.416208</x:v>
      </x:c>
      <x:c r="Q20" s="7" t="n">
        <x:v>-23.5214102</x:v>
      </x:c>
      <x:c r="R20" s="7" t="n">
        <x:v>-46.4161775</x:v>
      </x:c>
    </x:row>
    <x:row r="21">
      <x:c r="A21" s="6" t="inlineStr">
        <x:is>
          <x:t xml:space="preserve">agua</x:t>
        </x:is>
      </x:c>
      <x:c r="B21" s="6" t="inlineStr">
        <x:is>
          <x:t xml:space="preserve">AV-020</x:t>
        </x:is>
      </x:c>
      <x:c r="C21" s="6" t="inlineStr">
        <x:is>
          <x:t xml:space="preserve">PV-E1.1 - PV-E1</x:t>
        </x:is>
      </x:c>
      <x:c r="D21" s="6" t="inlineStr">
        <x:is>
          <x:t xml:space="preserve">PV-E1.1</x:t>
        </x:is>
      </x:c>
      <x:c r="E21" s="6" t="inlineStr">
        <x:is>
          <x:t xml:space="preserve">PV-E1</x:t>
        </x:is>
      </x:c>
      <x:c r="F21" s="6" t="inlineStr">
        <x:is>
          <x:t xml:space="preserve">PEAD</x:t>
        </x:is>
      </x:c>
      <x:c r="G21" s="6" t="n">
        <x:v>355</x:v>
      </x:c>
      <x:c r="H21" s="6" t="inlineStr">
        <x:is>
          <x:t xml:space="preserve">Método Não Destrutivo - MND</x:t>
        </x:is>
      </x:c>
      <x:c r="I21" s="7" t="n">
        <x:v>70.11</x:v>
      </x:c>
      <x:c r="J21" s="7" t="n">
        <x:v>1.6</x:v>
      </x:c>
      <x:c r="K21" s="7" t="n">
        <x:v>3.12</x:v>
      </x:c>
      <x:c r="L21" s="6" t="n"/>
      <x:c r="M21" s="6" t="inlineStr">
        <x:is>
          <x:t xml:space="preserve">concluída</x:t>
        </x:is>
      </x:c>
      <x:c r="N21" s="6" t="n"/>
      <x:c r="O21" s="7" t="n">
        <x:v>-23.5135614</x:v>
      </x:c>
      <x:c r="P21" s="7" t="n">
        <x:v>-46.4184353</x:v>
      </x:c>
      <x:c r="Q21" s="7" t="n">
        <x:v>-23.514194</x:v>
      </x:c>
      <x:c r="R21" s="7" t="n">
        <x:v>-46.4184072</x:v>
      </x:c>
    </x:row>
    <x:row r="22">
      <x:c r="A22" s="6" t="inlineStr">
        <x:is>
          <x:t xml:space="preserve">agua</x:t>
        </x:is>
      </x:c>
      <x:c r="B22" s="6" t="inlineStr">
        <x:is>
          <x:t xml:space="preserve">AV-021</x:t>
        </x:is>
      </x:c>
      <x:c r="C22" s="6" t="inlineStr">
        <x:is>
          <x:t xml:space="preserve">PIE-E1.2 - PV-E1.1</x:t>
        </x:is>
      </x:c>
      <x:c r="D22" s="6" t="inlineStr">
        <x:is>
          <x:t xml:space="preserve">PIE-E1.2</x:t>
        </x:is>
      </x:c>
      <x:c r="E22" s="6" t="inlineStr">
        <x:is>
          <x:t xml:space="preserve">PV-E1.1</x:t>
        </x:is>
      </x:c>
      <x:c r="F22" s="6" t="inlineStr">
        <x:is>
          <x:t xml:space="preserve">PEAD</x:t>
        </x:is>
      </x:c>
      <x:c r="G22" s="6" t="n">
        <x:v>225</x:v>
      </x:c>
      <x:c r="H22" s="6" t="inlineStr">
        <x:is>
          <x:t xml:space="preserve">Método Não Destrutivo - MND</x:t>
        </x:is>
      </x:c>
      <x:c r="I22" s="7" t="n">
        <x:v>1.15</x:v>
      </x:c>
      <x:c r="J22" s="7" t="n">
        <x:v>1.32</x:v>
      </x:c>
      <x:c r="K22" s="7" t="n">
        <x:v>1.35</x:v>
      </x:c>
      <x:c r="L22" s="6" t="n"/>
      <x:c r="M22" s="6" t="inlineStr">
        <x:is>
          <x:t xml:space="preserve">concluída</x:t>
        </x:is>
      </x:c>
      <x:c r="N22" s="6" t="n"/>
      <x:c r="O22" s="7" t="n">
        <x:v>-23.5135572</x:v>
      </x:c>
      <x:c r="P22" s="7" t="n">
        <x:v>-46.418425</x:v>
      </x:c>
      <x:c r="Q22" s="7" t="n">
        <x:v>-23.5135614</x:v>
      </x:c>
      <x:c r="R22" s="7" t="n">
        <x:v>-46.4184353</x:v>
      </x:c>
    </x:row>
    <x:row r="23">
      <x:c r="A23" s="6" t="inlineStr">
        <x:is>
          <x:t xml:space="preserve">agua</x:t>
        </x:is>
      </x:c>
      <x:c r="B23" s="6" t="inlineStr">
        <x:is>
          <x:t xml:space="preserve">AV-022</x:t>
        </x:is>
      </x:c>
      <x:c r="C23" s="6" t="inlineStr">
        <x:is>
          <x:t xml:space="preserve">PV-E25.2 - PV-E25</x:t>
        </x:is>
      </x:c>
      <x:c r="D23" s="6" t="inlineStr">
        <x:is>
          <x:t xml:space="preserve">PV-E25.2</x:t>
        </x:is>
      </x:c>
      <x:c r="E23" s="6" t="inlineStr">
        <x:is>
          <x:t xml:space="preserve">PV-E25</x:t>
        </x:is>
      </x:c>
      <x:c r="F23" s="6" t="inlineStr">
        <x:is>
          <x:t xml:space="preserve">PEAD</x:t>
        </x:is>
      </x:c>
      <x:c r="G23" s="6" t="n">
        <x:v>225</x:v>
      </x:c>
      <x:c r="H23" s="6" t="inlineStr">
        <x:is>
          <x:t xml:space="preserve">Método Não Destrutivo - MND</x:t>
        </x:is>
      </x:c>
      <x:c r="I23" s="7" t="n">
        <x:v>70.93000000000001</x:v>
      </x:c>
      <x:c r="J23" s="7" t="n">
        <x:v>2.04</x:v>
      </x:c>
      <x:c r="K23" s="7" t="n">
        <x:v>1.94</x:v>
      </x:c>
      <x:c r="L23" s="6" t="n"/>
      <x:c r="M23" s="6" t="inlineStr">
        <x:is>
          <x:t xml:space="preserve">concluída</x:t>
        </x:is>
      </x:c>
      <x:c r="N23" s="6" t="n"/>
      <x:c r="O23" s="7" t="n">
        <x:v>-23.5218096</x:v>
      </x:c>
      <x:c r="P23" s="7" t="n">
        <x:v>-46.416225</x:v>
      </x:c>
      <x:c r="Q23" s="7" t="n">
        <x:v>-23.5224496</x:v>
      </x:c>
      <x:c r="R23" s="7" t="n">
        <x:v>-46.4162534</x:v>
      </x:c>
    </x:row>
    <x:row r="24">
      <x:c r="A24" s="6" t="inlineStr">
        <x:is>
          <x:t xml:space="preserve">agua</x:t>
        </x:is>
      </x:c>
      <x:c r="B24" s="6" t="inlineStr">
        <x:is>
          <x:t xml:space="preserve">AV-023</x:t>
        </x:is>
      </x:c>
      <x:c r="C24" s="6" t="inlineStr">
        <x:is>
          <x:t xml:space="preserve">PV-E17.2 - PV-E17.1</x:t>
        </x:is>
      </x:c>
      <x:c r="D24" s="6" t="inlineStr">
        <x:is>
          <x:t xml:space="preserve">PV-E17.2</x:t>
        </x:is>
      </x:c>
      <x:c r="E24" s="6" t="inlineStr">
        <x:is>
          <x:t xml:space="preserve">PV-E17.1</x:t>
        </x:is>
      </x:c>
      <x:c r="F24" s="6" t="inlineStr">
        <x:is>
          <x:t xml:space="preserve">PVC</x:t>
        </x:is>
      </x:c>
      <x:c r="G24" s="6" t="n">
        <x:v>200</x:v>
      </x:c>
      <x:c r="H24" s="6" t="inlineStr">
        <x:is>
          <x:t xml:space="preserve">Vala a Céu Aberto - VCA</x:t>
        </x:is>
      </x:c>
      <x:c r="I24" s="7" t="n">
        <x:v>2.55</x:v>
      </x:c>
      <x:c r="J24" s="7" t="n">
        <x:v>0.93</x:v>
      </x:c>
      <x:c r="K24" s="7" t="n">
        <x:v>0.98</x:v>
      </x:c>
      <x:c r="L24" s="6" t="n"/>
      <x:c r="M24" s="6" t="inlineStr">
        <x:is>
          <x:t xml:space="preserve">concluída</x:t>
        </x:is>
      </x:c>
      <x:c r="N24" s="6" t="n"/>
      <x:c r="O24" s="7" t="n">
        <x:v>-23.518807</x:v>
      </x:c>
      <x:c r="P24" s="7" t="n">
        <x:v>-46.4163539</x:v>
      </x:c>
      <x:c r="Q24" s="7" t="n">
        <x:v>-23.5188272</x:v>
      </x:c>
      <x:c r="R24" s="7" t="n">
        <x:v>-46.4163419</x:v>
      </x:c>
    </x:row>
    <x:row r="25">
      <x:c r="A25" s="6" t="inlineStr">
        <x:is>
          <x:t xml:space="preserve">agua</x:t>
        </x:is>
      </x:c>
      <x:c r="B25" s="6" t="inlineStr">
        <x:is>
          <x:t xml:space="preserve">AV-024</x:t>
        </x:is>
      </x:c>
      <x:c r="C25" s="6" t="inlineStr">
        <x:is>
          <x:t xml:space="preserve">PV-E17.1 - PV-E17</x:t>
        </x:is>
      </x:c>
      <x:c r="D25" s="6" t="inlineStr">
        <x:is>
          <x:t xml:space="preserve">PV-E17.1</x:t>
        </x:is>
      </x:c>
      <x:c r="E25" s="6" t="inlineStr">
        <x:is>
          <x:t xml:space="preserve">PV-E17</x:t>
        </x:is>
      </x:c>
      <x:c r="F25" s="6" t="inlineStr">
        <x:is>
          <x:t xml:space="preserve">PEAD</x:t>
        </x:is>
      </x:c>
      <x:c r="G25" s="6" t="n">
        <x:v>225</x:v>
      </x:c>
      <x:c r="H25" s="6" t="inlineStr">
        <x:is>
          <x:t xml:space="preserve">Método Não Destrutivo - MND</x:t>
        </x:is>
      </x:c>
      <x:c r="I25" s="7" t="n">
        <x:v>38.74</x:v>
      </x:c>
      <x:c r="J25" s="7" t="n">
        <x:v>1.88</x:v>
      </x:c>
      <x:c r="K25" s="7" t="n">
        <x:v>3.46</x:v>
      </x:c>
      <x:c r="L25" s="6" t="n"/>
      <x:c r="M25" s="6" t="inlineStr">
        <x:is>
          <x:t xml:space="preserve">concluída</x:t>
        </x:is>
      </x:c>
      <x:c r="N25" s="6" t="n"/>
      <x:c r="O25" s="7" t="n">
        <x:v>-23.5188272</x:v>
      </x:c>
      <x:c r="P25" s="7" t="n">
        <x:v>-46.4163419</x:v>
      </x:c>
      <x:c r="Q25" s="7" t="n">
        <x:v>-23.518932</x:v>
      </x:c>
      <x:c r="R25" s="7" t="n">
        <x:v>-46.4167041</x:v>
      </x:c>
    </x:row>
    <x:row r="26">
      <x:c r="A26" s="6" t="inlineStr">
        <x:is>
          <x:t xml:space="preserve">agua</x:t>
        </x:is>
      </x:c>
      <x:c r="B26" s="6" t="inlineStr">
        <x:is>
          <x:t xml:space="preserve">AV-025</x:t>
        </x:is>
      </x:c>
      <x:c r="C26" s="6" t="inlineStr">
        <x:is>
          <x:t xml:space="preserve">PI-E21.2 - PI-E21.3</x:t>
        </x:is>
      </x:c>
      <x:c r="D26" s="6" t="inlineStr">
        <x:is>
          <x:t xml:space="preserve">PI-E21.2</x:t>
        </x:is>
      </x:c>
      <x:c r="E26" s="6" t="inlineStr">
        <x:is>
          <x:t xml:space="preserve">PI-E21.3</x:t>
        </x:is>
      </x:c>
      <x:c r="F26" s="6" t="inlineStr">
        <x:is>
          <x:t xml:space="preserve">PVC</x:t>
        </x:is>
      </x:c>
      <x:c r="G26" s="6" t="n">
        <x:v>200</x:v>
      </x:c>
      <x:c r="H26" s="6" t="inlineStr">
        <x:is>
          <x:t xml:space="preserve">Vala a Céu Aberto - VCA</x:t>
        </x:is>
      </x:c>
      <x:c r="I26" s="7" t="n">
        <x:v>3.3</x:v>
      </x:c>
      <x:c r="J26" s="7" t="n">
        <x:v>0.61</x:v>
      </x:c>
      <x:c r="K26" s="7" t="n">
        <x:v>1.37</x:v>
      </x:c>
      <x:c r="L26" s="6" t="n"/>
      <x:c r="M26" s="6" t="inlineStr">
        <x:is>
          <x:t xml:space="preserve">concluída</x:t>
        </x:is>
      </x:c>
      <x:c r="N26" s="6" t="n"/>
      <x:c r="O26" s="7" t="n">
        <x:v>-23.520066</x:v>
      </x:c>
      <x:c r="P26" s="7" t="n">
        <x:v>-46.4157087</x:v>
      </x:c>
      <x:c r="Q26" s="7" t="n">
        <x:v>-23.5200958</x:v>
      </x:c>
      <x:c r="R26" s="7" t="n">
        <x:v>-46.4157098</x:v>
      </x:c>
    </x:row>
    <x:row r="27">
      <x:c r="A27" s="6" t="inlineStr">
        <x:is>
          <x:t xml:space="preserve">agua</x:t>
        </x:is>
      </x:c>
      <x:c r="B27" s="6" t="inlineStr">
        <x:is>
          <x:t xml:space="preserve">AV-026</x:t>
        </x:is>
      </x:c>
      <x:c r="C27" s="6" t="inlineStr">
        <x:is>
          <x:t xml:space="preserve">PI-E21.3 - PV-E21.1</x:t>
        </x:is>
      </x:c>
      <x:c r="D27" s="6" t="inlineStr">
        <x:is>
          <x:t xml:space="preserve">PI-E21.3</x:t>
        </x:is>
      </x:c>
      <x:c r="E27" s="6" t="inlineStr">
        <x:is>
          <x:t xml:space="preserve">PV-E21.1</x:t>
        </x:is>
      </x:c>
      <x:c r="F27" s="6" t="inlineStr">
        <x:is>
          <x:t xml:space="preserve">PVC</x:t>
        </x:is>
      </x:c>
      <x:c r="G27" s="6" t="n">
        <x:v>200</x:v>
      </x:c>
      <x:c r="H27" s="6" t="inlineStr">
        <x:is>
          <x:t xml:space="preserve">Vala a Céu Aberto - VCA</x:t>
        </x:is>
      </x:c>
      <x:c r="I27" s="7" t="n">
        <x:v>0.99</x:v>
      </x:c>
      <x:c r="J27" s="7" t="n">
        <x:v>1.37</x:v>
      </x:c>
      <x:c r="K27" s="7" t="n">
        <x:v>1.43</x:v>
      </x:c>
      <x:c r="L27" s="6" t="n"/>
      <x:c r="M27" s="6" t="inlineStr">
        <x:is>
          <x:t xml:space="preserve">concluída</x:t>
        </x:is>
      </x:c>
      <x:c r="N27" s="6" t="n"/>
      <x:c r="O27" s="7" t="n">
        <x:v>-23.5200958</x:v>
      </x:c>
      <x:c r="P27" s="7" t="n">
        <x:v>-46.4157098</x:v>
      </x:c>
      <x:c r="Q27" s="7" t="n">
        <x:v>-23.5201046</x:v>
      </x:c>
      <x:c r="R27" s="7" t="n">
        <x:v>-46.4157118</x:v>
      </x:c>
    </x:row>
    <x:row r="28">
      <x:c r="A28" s="6" t="inlineStr">
        <x:is>
          <x:t xml:space="preserve">agua</x:t>
        </x:is>
      </x:c>
      <x:c r="B28" s="6" t="inlineStr">
        <x:is>
          <x:t xml:space="preserve">AV-027</x:t>
        </x:is>
      </x:c>
      <x:c r="C28" s="6" t="inlineStr">
        <x:is>
          <x:t xml:space="preserve">PV-E16.1 - PV-E16</x:t>
        </x:is>
      </x:c>
      <x:c r="D28" s="6" t="inlineStr">
        <x:is>
          <x:t xml:space="preserve">PV-E16.1</x:t>
        </x:is>
      </x:c>
      <x:c r="E28" s="6" t="inlineStr">
        <x:is>
          <x:t xml:space="preserve">PV-E16</x:t>
        </x:is>
      </x:c>
      <x:c r="F28" s="6" t="inlineStr">
        <x:is>
          <x:t xml:space="preserve">PEAD</x:t>
        </x:is>
      </x:c>
      <x:c r="G28" s="6" t="n">
        <x:v>255</x:v>
      </x:c>
      <x:c r="H28" s="6" t="inlineStr">
        <x:is>
          <x:t xml:space="preserve">Método Não Destrutivo - MND</x:t>
        </x:is>
      </x:c>
      <x:c r="I28" s="7" t="n">
        <x:v>37.33</x:v>
      </x:c>
      <x:c r="J28" s="7" t="n">
        <x:v>1.82</x:v>
      </x:c>
      <x:c r="K28" s="7" t="n">
        <x:v>3.29</x:v>
      </x:c>
      <x:c r="L28" s="6" t="n"/>
      <x:c r="M28" s="6" t="inlineStr">
        <x:is>
          <x:t xml:space="preserve">concluída</x:t>
        </x:is>
      </x:c>
      <x:c r="N28" s="6" t="n"/>
      <x:c r="O28" s="7" t="n">
        <x:v>-23.518504</x:v>
      </x:c>
      <x:c r="P28" s="7" t="n">
        <x:v>-46.4164681</x:v>
      </x:c>
      <x:c r="Q28" s="7" t="n">
        <x:v>-23.5186306</x:v>
      </x:c>
      <x:c r="R28" s="7" t="n">
        <x:v>-46.4168069</x:v>
      </x:c>
    </x:row>
    <x:row r="29">
      <x:c r="A29" s="6" t="inlineStr">
        <x:is>
          <x:t xml:space="preserve">agua</x:t>
        </x:is>
      </x:c>
      <x:c r="B29" s="6" t="inlineStr">
        <x:is>
          <x:t xml:space="preserve">AV-028</x:t>
        </x:is>
      </x:c>
      <x:c r="C29" s="6" t="inlineStr">
        <x:is>
          <x:t xml:space="preserve">PV-E21 - PV-E19</x:t>
        </x:is>
      </x:c>
      <x:c r="D29" s="6" t="inlineStr">
        <x:is>
          <x:t xml:space="preserve">PV-E21</x:t>
        </x:is>
      </x:c>
      <x:c r="E29" s="6" t="inlineStr">
        <x:is>
          <x:t xml:space="preserve">PV-E19</x:t>
        </x:is>
      </x:c>
      <x:c r="F29" s="6" t="inlineStr">
        <x:is>
          <x:t xml:space="preserve">PEAD</x:t>
        </x:is>
      </x:c>
      <x:c r="G29" s="6" t="n">
        <x:v>225</x:v>
      </x:c>
      <x:c r="H29" s="6" t="inlineStr">
        <x:is>
          <x:t xml:space="preserve">Método Não Destrutivo - MND</x:t>
        </x:is>
      </x:c>
      <x:c r="I29" s="7" t="n">
        <x:v>72.84999999999999</x:v>
      </x:c>
      <x:c r="J29" s="7" t="n">
        <x:v>4.66</x:v>
      </x:c>
      <x:c r="K29" s="7" t="n">
        <x:v>3.75</x:v>
      </x:c>
      <x:c r="L29" s="6" t="n"/>
      <x:c r="M29" s="6" t="inlineStr">
        <x:is>
          <x:t xml:space="preserve">concluída</x:t>
        </x:is>
      </x:c>
      <x:c r="N29" s="6" t="n"/>
      <x:c r="O29" s="7" t="n">
        <x:v>-23.5201954</x:v>
      </x:c>
      <x:c r="P29" s="7" t="n">
        <x:v>-46.4161588</x:v>
      </x:c>
      <x:c r="Q29" s="7" t="n">
        <x:v>-23.5195592</x:v>
      </x:c>
      <x:c r="R29" s="7" t="n">
        <x:v>-46.4163406</x:v>
      </x:c>
    </x:row>
    <x:row r="30">
      <x:c r="A30" s="6" t="inlineStr">
        <x:is>
          <x:t xml:space="preserve">agua</x:t>
        </x:is>
      </x:c>
      <x:c r="B30" s="6" t="inlineStr">
        <x:is>
          <x:t xml:space="preserve">AV-029</x:t>
        </x:is>
      </x:c>
      <x:c r="C30" s="6" t="inlineStr">
        <x:is>
          <x:t xml:space="preserve">PV-E21.1 - PV-E21</x:t>
        </x:is>
      </x:c>
      <x:c r="D30" s="6" t="inlineStr">
        <x:is>
          <x:t xml:space="preserve">PV-E21.1</x:t>
        </x:is>
      </x:c>
      <x:c r="E30" s="6" t="inlineStr">
        <x:is>
          <x:t xml:space="preserve">PV-E21</x:t>
        </x:is>
      </x:c>
      <x:c r="F30" s="6" t="inlineStr">
        <x:is>
          <x:t xml:space="preserve">PEAD</x:t>
        </x:is>
      </x:c>
      <x:c r="G30" s="6" t="n">
        <x:v>225</x:v>
      </x:c>
      <x:c r="H30" s="6" t="inlineStr">
        <x:is>
          <x:t xml:space="preserve">Método Não Destrutivo - MND</x:t>
        </x:is>
      </x:c>
      <x:c r="I30" s="7" t="n">
        <x:v>46.74</x:v>
      </x:c>
      <x:c r="J30" s="7" t="n">
        <x:v>1.89</x:v>
      </x:c>
      <x:c r="K30" s="7" t="n">
        <x:v>4.66</x:v>
      </x:c>
      <x:c r="L30" s="6" t="n"/>
      <x:c r="M30" s="6" t="inlineStr">
        <x:is>
          <x:t xml:space="preserve">concluída</x:t>
        </x:is>
      </x:c>
      <x:c r="N30" s="6" t="n"/>
      <x:c r="O30" s="7" t="n">
        <x:v>-23.5201046</x:v>
      </x:c>
      <x:c r="P30" s="7" t="n">
        <x:v>-46.4157118</x:v>
      </x:c>
      <x:c r="Q30" s="7" t="n">
        <x:v>-23.5201954</x:v>
      </x:c>
      <x:c r="R30" s="7" t="n">
        <x:v>-46.4161588</x:v>
      </x:c>
    </x:row>
    <x:row r="31">
      <x:c r="A31" s="6" t="inlineStr">
        <x:is>
          <x:t xml:space="preserve">agua</x:t>
        </x:is>
      </x:c>
      <x:c r="B31" s="6" t="inlineStr">
        <x:is>
          <x:t xml:space="preserve">AV-030</x:t>
        </x:is>
      </x:c>
      <x:c r="C31" s="6" t="inlineStr">
        <x:is>
          <x:t xml:space="preserve">PV-E22 - PV-E21</x:t>
        </x:is>
      </x:c>
      <x:c r="D31" s="6" t="inlineStr">
        <x:is>
          <x:t xml:space="preserve">PV-E22</x:t>
        </x:is>
      </x:c>
      <x:c r="E31" s="6" t="inlineStr">
        <x:is>
          <x:t xml:space="preserve">PV-E21</x:t>
        </x:is>
      </x:c>
      <x:c r="F31" s="6" t="inlineStr">
        <x:is>
          <x:t xml:space="preserve">PEAD</x:t>
        </x:is>
      </x:c>
      <x:c r="G31" s="6" t="n">
        <x:v>355</x:v>
      </x:c>
      <x:c r="H31" s="6" t="inlineStr">
        <x:is>
          <x:t xml:space="preserve">Método Não Destrutivo - MND</x:t>
        </x:is>
      </x:c>
      <x:c r="I31" s="7" t="n">
        <x:v>60.67</x:v>
      </x:c>
      <x:c r="J31" s="7" t="n">
        <x:v>4.13</x:v>
      </x:c>
      <x:c r="K31" s="7" t="n">
        <x:v>4.66</x:v>
      </x:c>
      <x:c r="L31" s="6" t="n"/>
      <x:c r="M31" s="6" t="inlineStr">
        <x:is>
          <x:t xml:space="preserve">concluída</x:t>
        </x:is>
      </x:c>
      <x:c r="N31" s="6" t="n"/>
      <x:c r="O31" s="7" t="n">
        <x:v>-23.5207433</x:v>
      </x:c>
      <x:c r="P31" s="7" t="n">
        <x:v>-46.4161534</x:v>
      </x:c>
      <x:c r="Q31" s="7" t="n">
        <x:v>-23.5201954</x:v>
      </x:c>
      <x:c r="R31" s="7" t="n">
        <x:v>-46.4161588</x:v>
      </x:c>
    </x:row>
    <x:row r="32">
      <x:c r="A32" s="6" t="inlineStr">
        <x:is>
          <x:t xml:space="preserve">agua</x:t>
        </x:is>
      </x:c>
      <x:c r="B32" s="6" t="inlineStr">
        <x:is>
          <x:t xml:space="preserve">AV-031</x:t>
        </x:is>
      </x:c>
      <x:c r="C32" s="6" t="inlineStr">
        <x:is>
          <x:t xml:space="preserve">PV-E18.1 - PV-E18</x:t>
        </x:is>
      </x:c>
      <x:c r="D32" s="6" t="inlineStr">
        <x:is>
          <x:t xml:space="preserve">PV-E18.1</x:t>
        </x:is>
      </x:c>
      <x:c r="E32" s="6" t="inlineStr">
        <x:is>
          <x:t xml:space="preserve">PV-E18</x:t>
        </x:is>
      </x:c>
      <x:c r="F32" s="6" t="inlineStr">
        <x:is>
          <x:t xml:space="preserve">PEAD</x:t>
        </x:is>
      </x:c>
      <x:c r="G32" s="6" t="n">
        <x:v>225</x:v>
      </x:c>
      <x:c r="H32" s="6" t="inlineStr">
        <x:is>
          <x:t xml:space="preserve">Método Não Destrutivo - MND</x:t>
        </x:is>
      </x:c>
      <x:c r="I32" s="7" t="n">
        <x:v>47.68</x:v>
      </x:c>
      <x:c r="J32" s="7" t="n">
        <x:v>1.49</x:v>
      </x:c>
      <x:c r="K32" s="7" t="n">
        <x:v>3.46</x:v>
      </x:c>
      <x:c r="L32" s="6" t="n"/>
      <x:c r="M32" s="6" t="inlineStr">
        <x:is>
          <x:t xml:space="preserve">concluída</x:t>
        </x:is>
      </x:c>
      <x:c r="N32" s="6" t="n"/>
      <x:c r="O32" s="7" t="n">
        <x:v>-23.5190575</x:v>
      </x:c>
      <x:c r="P32" s="7" t="n">
        <x:v>-46.4160864</x:v>
      </x:c>
      <x:c r="Q32" s="7" t="n">
        <x:v>-23.5192357</x:v>
      </x:c>
      <x:c r="R32" s="7" t="n">
        <x:v>-46.4165114</x:v>
      </x:c>
    </x:row>
    <x:row r="33">
      <x:c r="A33" s="6" t="inlineStr">
        <x:is>
          <x:t xml:space="preserve">rce</x:t>
        </x:is>
      </x:c>
      <x:c r="B33" s="6" t="inlineStr">
        <x:is>
          <x:t xml:space="preserve">FSM-001</x:t>
        </x:is>
      </x:c>
      <x:c r="C33" s="6" t="inlineStr">
        <x:is>
          <x:t xml:space="preserve">PI-4.3 - PI-4.2</x:t>
        </x:is>
      </x:c>
      <x:c r="D33" s="6" t="inlineStr">
        <x:is>
          <x:t xml:space="preserve">PI-4.3</x:t>
        </x:is>
      </x:c>
      <x:c r="E33" s="6" t="inlineStr">
        <x:is>
          <x:t xml:space="preserve">PI-4.2</x:t>
        </x:is>
      </x:c>
      <x:c r="F33" s="6" t="inlineStr">
        <x:is>
          <x:t xml:space="preserve">PVC</x:t>
        </x:is>
      </x:c>
      <x:c r="G33" s="6" t="n">
        <x:v>200</x:v>
      </x:c>
      <x:c r="H33" s="6" t="inlineStr">
        <x:is>
          <x:t xml:space="preserve">Vala a Céu Aberto - VCA</x:t>
        </x:is>
      </x:c>
      <x:c r="I33" s="7" t="n">
        <x:v>34.65</x:v>
      </x:c>
      <x:c r="J33" s="7" t="n">
        <x:v>0.77</x:v>
      </x:c>
      <x:c r="K33" s="7" t="n">
        <x:v>1.31</x:v>
      </x:c>
      <x:c r="L33" s="6" t="n"/>
      <x:c r="M33" s="6" t="inlineStr">
        <x:is>
          <x:t xml:space="preserve">concluída</x:t>
        </x:is>
      </x:c>
      <x:c r="N33" s="6" t="n"/>
      <x:c r="O33" s="7" t="n">
        <x:v>-23.52371596461077</x:v>
      </x:c>
      <x:c r="P33" s="7" t="n">
        <x:v>-46.38560412121029</x:v>
      </x:c>
      <x:c r="Q33" s="7" t="n">
        <x:v>-23.52375543737626</x:v>
      </x:c>
      <x:c r="R33" s="7" t="n">
        <x:v>-46.38594079802948</x:v>
      </x:c>
    </x:row>
    <x:row r="34">
      <x:c r="A34" s="6" t="inlineStr">
        <x:is>
          <x:t xml:space="preserve">rce</x:t>
        </x:is>
      </x:c>
      <x:c r="B34" s="6" t="inlineStr">
        <x:is>
          <x:t xml:space="preserve">FSM-002</x:t>
        </x:is>
      </x:c>
      <x:c r="C34" s="6" t="inlineStr">
        <x:is>
          <x:t xml:space="preserve">PI-4.2 - PVE-4.1</x:t>
        </x:is>
      </x:c>
      <x:c r="D34" s="6" t="inlineStr">
        <x:is>
          <x:t xml:space="preserve">PI-4.2</x:t>
        </x:is>
      </x:c>
      <x:c r="E34" s="6" t="inlineStr">
        <x:is>
          <x:t xml:space="preserve">PVE-4.1</x:t>
        </x:is>
      </x:c>
      <x:c r="F34" s="6" t="inlineStr">
        <x:is>
          <x:t xml:space="preserve">PVC</x:t>
        </x:is>
      </x:c>
      <x:c r="G34" s="6" t="n">
        <x:v>200</x:v>
      </x:c>
      <x:c r="H34" s="6" t="inlineStr">
        <x:is>
          <x:t xml:space="preserve">Vala a Céu Aberto - VCA</x:t>
        </x:is>
      </x:c>
      <x:c r="I34" s="7" t="n">
        <x:v>63.91</x:v>
      </x:c>
      <x:c r="J34" s="7" t="n">
        <x:v>1.31</x:v>
      </x:c>
      <x:c r="K34" s="7" t="n">
        <x:v>3.05</x:v>
      </x:c>
      <x:c r="L34" s="6" t="n"/>
      <x:c r="M34" s="6" t="inlineStr">
        <x:is>
          <x:t xml:space="preserve">concluída</x:t>
        </x:is>
      </x:c>
      <x:c r="N34" s="6" t="n"/>
      <x:c r="O34" s="7" t="n">
        <x:v>-23.52375543737626</x:v>
      </x:c>
      <x:c r="P34" s="7" t="n">
        <x:v>-46.38594079802948</x:v>
      </x:c>
      <x:c r="Q34" s="7" t="n">
        <x:v>-23.52357620464922</x:v>
      </x:c>
      <x:c r="R34" s="7" t="n">
        <x:v>-46.38653574868297</x:v>
      </x:c>
    </x:row>
    <x:row r="35">
      <x:c r="A35" s="6" t="inlineStr">
        <x:is>
          <x:t xml:space="preserve">rce</x:t>
        </x:is>
      </x:c>
      <x:c r="B35" s="6" t="inlineStr">
        <x:is>
          <x:t xml:space="preserve">FSM-003</x:t>
        </x:is>
      </x:c>
      <x:c r="C35" s="6" t="inlineStr">
        <x:is>
          <x:t xml:space="preserve">PV-4.4 - PV-4.5</x:t>
        </x:is>
      </x:c>
      <x:c r="D35" s="6" t="inlineStr">
        <x:is>
          <x:t xml:space="preserve">PV-4.4</x:t>
        </x:is>
      </x:c>
      <x:c r="E35" s="6" t="inlineStr">
        <x:is>
          <x:t xml:space="preserve">PV-4.5</x:t>
        </x:is>
      </x:c>
      <x:c r="F35" s="6" t="inlineStr">
        <x:is>
          <x:t xml:space="preserve">PVC</x:t>
        </x:is>
      </x:c>
      <x:c r="G35" s="6" t="n">
        <x:v>200</x:v>
      </x:c>
      <x:c r="H35" s="6" t="inlineStr">
        <x:is>
          <x:t xml:space="preserve">Vala a Céu Aberto - VCA</x:t>
        </x:is>
      </x:c>
      <x:c r="I35" s="7" t="n">
        <x:v>32.29</x:v>
      </x:c>
      <x:c r="J35" s="7" t="n">
        <x:v>1.15</x:v>
      </x:c>
      <x:c r="K35" s="7" t="n">
        <x:v>1.23</x:v>
      </x:c>
      <x:c r="L35" s="6" t="n"/>
      <x:c r="M35" s="6" t="inlineStr">
        <x:is>
          <x:t xml:space="preserve">concluída</x:t>
        </x:is>
      </x:c>
      <x:c r="N35" s="6" t="n"/>
      <x:c r="O35" s="7" t="n">
        <x:v>-23.52370847526354</x:v>
      </x:c>
      <x:c r="P35" s="7" t="n">
        <x:v>-46.38554993632482</x:v>
      </x:c>
      <x:c r="Q35" s="7" t="n">
        <x:v>-23.52349781228359</x:v>
      </x:c>
      <x:c r="R35" s="7" t="n">
        <x:v>-46.38533125040501</x:v>
      </x:c>
    </x:row>
    <x:row r="36">
      <x:c r="A36" s="6" t="inlineStr">
        <x:is>
          <x:t xml:space="preserve">rce</x:t>
        </x:is>
      </x:c>
      <x:c r="B36" s="6" t="inlineStr">
        <x:is>
          <x:t xml:space="preserve">FSM-004</x:t>
        </x:is>
      </x:c>
      <x:c r="C36" s="6" t="inlineStr">
        <x:is>
          <x:t xml:space="preserve">PV-4.5 - PV-4.6</x:t>
        </x:is>
      </x:c>
      <x:c r="D36" s="6" t="inlineStr">
        <x:is>
          <x:t xml:space="preserve">PV-4.5</x:t>
        </x:is>
      </x:c>
      <x:c r="E36" s="6" t="inlineStr">
        <x:is>
          <x:t xml:space="preserve">PV-4.6</x:t>
        </x:is>
      </x:c>
      <x:c r="F36" s="6" t="inlineStr">
        <x:is>
          <x:t xml:space="preserve">PVC</x:t>
        </x:is>
      </x:c>
      <x:c r="G36" s="6" t="n">
        <x:v>200</x:v>
      </x:c>
      <x:c r="H36" s="6" t="inlineStr">
        <x:is>
          <x:t xml:space="preserve">Vala a Céu Aberto - VCA</x:t>
        </x:is>
      </x:c>
      <x:c r="I36" s="7" t="n">
        <x:v>25.58</x:v>
      </x:c>
      <x:c r="J36" s="7" t="n">
        <x:v>1.23</x:v>
      </x:c>
      <x:c r="K36" s="7" t="n">
        <x:v>1.6</x:v>
      </x:c>
      <x:c r="L36" s="6" t="n"/>
      <x:c r="M36" s="6" t="inlineStr">
        <x:is>
          <x:t xml:space="preserve">concluída</x:t>
        </x:is>
      </x:c>
      <x:c r="N36" s="6" t="n"/>
      <x:c r="O36" s="7" t="n">
        <x:v>-23.52349781228359</x:v>
      </x:c>
      <x:c r="P36" s="7" t="n">
        <x:v>-46.38533125040501</x:v>
      </x:c>
      <x:c r="Q36" s="7" t="n">
        <x:v>-23.52329574736052</x:v>
      </x:c>
      <x:c r="R36" s="7" t="n">
        <x:v>-46.38520989256995</x:v>
      </x:c>
    </x:row>
    <x:row r="37">
      <x:c r="A37" s="6" t="inlineStr">
        <x:is>
          <x:t xml:space="preserve">rce</x:t>
        </x:is>
      </x:c>
      <x:c r="B37" s="6" t="inlineStr">
        <x:is>
          <x:t xml:space="preserve">FSM-005</x:t>
        </x:is>
      </x:c>
      <x:c r="C37" s="6" t="inlineStr">
        <x:is>
          <x:t xml:space="preserve">PV-4.6 - PIE-12</x:t>
        </x:is>
      </x:c>
      <x:c r="D37" s="6" t="inlineStr">
        <x:is>
          <x:t xml:space="preserve">PV-4.6</x:t>
        </x:is>
      </x:c>
      <x:c r="E37" s="6" t="inlineStr">
        <x:is>
          <x:t xml:space="preserve">PIE-12</x:t>
        </x:is>
      </x:c>
      <x:c r="F37" s="6" t="inlineStr">
        <x:is>
          <x:t xml:space="preserve">PVC</x:t>
        </x:is>
      </x:c>
      <x:c r="G37" s="6" t="n">
        <x:v>200</x:v>
      </x:c>
      <x:c r="H37" s="6" t="inlineStr">
        <x:is>
          <x:t xml:space="preserve">Vala a Céu Aberto - VCA</x:t>
        </x:is>
      </x:c>
      <x:c r="I37" s="7" t="n">
        <x:v>11.34</x:v>
      </x:c>
      <x:c r="J37" s="7" t="n">
        <x:v>1.6</x:v>
      </x:c>
      <x:c r="K37" s="7" t="n">
        <x:v>1.04</x:v>
      </x:c>
      <x:c r="L37" s="6" t="n"/>
      <x:c r="M37" s="6" t="inlineStr">
        <x:is>
          <x:t xml:space="preserve">concluída</x:t>
        </x:is>
      </x:c>
      <x:c r="N37" s="6" t="n"/>
      <x:c r="O37" s="7" t="n">
        <x:v>-23.52329574736052</x:v>
      </x:c>
      <x:c r="P37" s="7" t="n">
        <x:v>-46.38520989256995</x:v>
      </x:c>
      <x:c r="Q37" s="7" t="n">
        <x:v>-23.52328646298782</x:v>
      </x:c>
      <x:c r="R37" s="7" t="n">
        <x:v>-46.38509932818698</x:v>
      </x:c>
    </x:row>
    <x:row r="38">
      <x:c r="A38" s="6" t="inlineStr">
        <x:is>
          <x:t xml:space="preserve">conceicao</x:t>
        </x:is>
      </x:c>
      <x:c r="B38" s="6" t="inlineStr">
        <x:is>
          <x:t xml:space="preserve">CONC-001</x:t>
        </x:is>
      </x:c>
      <x:c r="C38" s="6" t="inlineStr">
        <x:is>
          <x:t xml:space="preserve">PVE-01 - PV-01</x:t>
        </x:is>
      </x:c>
      <x:c r="D38" s="6" t="inlineStr">
        <x:is>
          <x:t xml:space="preserve">PVE-01</x:t>
        </x:is>
      </x:c>
      <x:c r="E38" s="6" t="inlineStr">
        <x:is>
          <x:t xml:space="preserve">PV-01</x:t>
        </x:is>
      </x:c>
      <x:c r="F38" s="6" t="inlineStr">
        <x:is>
          <x:t xml:space="preserve">PEAD</x:t>
        </x:is>
      </x:c>
      <x:c r="G38" s="6" t="n">
        <x:v>355</x:v>
      </x:c>
      <x:c r="H38" s="6" t="inlineStr">
        <x:is>
          <x:t xml:space="preserve">Método Não Destrutivo - MND</x:t>
        </x:is>
      </x:c>
      <x:c r="I38" s="7" t="n">
        <x:v>46.43</x:v>
      </x:c>
      <x:c r="J38" s="7" t="n">
        <x:v>3.7</x:v>
      </x:c>
      <x:c r="K38" s="7" t="n">
        <x:v>2.2</x:v>
      </x:c>
      <x:c r="L38" s="7" t="n">
        <x:v>3.7</x:v>
      </x:c>
      <x:c r="M38" s="6" t="inlineStr">
        <x:is>
          <x:t xml:space="preserve">concluída</x:t>
        </x:is>
      </x:c>
      <x:c r="N38" s="6" t="inlineStr">
        <x:is>
          <x:t xml:space="preserve">01.CT CONCEIÇÃO_PVE-01 A PV-01.R1(1).pdf</x:t>
        </x:is>
      </x:c>
      <x:c r="O38" s="7" t="n">
        <x:v>-23.5256658</x:v>
      </x:c>
      <x:c r="P38" s="7" t="n">
        <x:v>-46.3971308</x:v>
      </x:c>
      <x:c r="Q38" s="7" t="n">
        <x:v>-23.5260665</x:v>
      </x:c>
      <x:c r="R38" s="7" t="n">
        <x:v>-46.397265</x:v>
      </x:c>
    </x:row>
    <x:row r="39">
      <x:c r="A39" s="6" t="inlineStr">
        <x:is>
          <x:t xml:space="preserve">conceicao</x:t>
        </x:is>
      </x:c>
      <x:c r="B39" s="6" t="inlineStr">
        <x:is>
          <x:t xml:space="preserve">CONC-002</x:t>
        </x:is>
      </x:c>
      <x:c r="C39" s="6" t="inlineStr">
        <x:is>
          <x:t xml:space="preserve">PV-01 - PV-02</x:t>
        </x:is>
      </x:c>
      <x:c r="D39" s="6" t="inlineStr">
        <x:is>
          <x:t xml:space="preserve">PV-01</x:t>
        </x:is>
      </x:c>
      <x:c r="E39" s="6" t="inlineStr">
        <x:is>
          <x:t xml:space="preserve">PV-02</x:t>
        </x:is>
      </x:c>
      <x:c r="F39" s="6" t="inlineStr">
        <x:is>
          <x:t xml:space="preserve">PEAD</x:t>
        </x:is>
      </x:c>
      <x:c r="G39" s="6" t="n">
        <x:v>355</x:v>
      </x:c>
      <x:c r="H39" s="6" t="inlineStr">
        <x:is>
          <x:t xml:space="preserve">Método Não Destrutivo - MND</x:t>
        </x:is>
      </x:c>
      <x:c r="I39" s="7" t="n">
        <x:v>77.73999999999999</x:v>
      </x:c>
      <x:c r="J39" s="7" t="n">
        <x:v>2.2</x:v>
      </x:c>
      <x:c r="K39" s="7" t="n">
        <x:v>7.4</x:v>
      </x:c>
      <x:c r="L39" s="7" t="n">
        <x:v>7.54</x:v>
      </x:c>
      <x:c r="M39" s="6" t="inlineStr">
        <x:is>
          <x:t xml:space="preserve">concluída</x:t>
        </x:is>
      </x:c>
      <x:c r="N39" s="6" t="inlineStr">
        <x:is>
          <x:t xml:space="preserve">02.CT CONCEIÇÃO_PV-01 A PV-02.pdf</x:t>
        </x:is>
      </x:c>
      <x:c r="O39" s="7" t="n">
        <x:v>-23.5260665</x:v>
      </x:c>
      <x:c r="P39" s="7" t="n">
        <x:v>-46.397265</x:v>
      </x:c>
      <x:c r="Q39" s="7" t="n">
        <x:v>-23.5267576</x:v>
      </x:c>
      <x:c r="R39" s="7" t="n">
        <x:v>-46.397381</x:v>
      </x:c>
    </x:row>
    <x:row r="40">
      <x:c r="A40" s="6" t="inlineStr">
        <x:is>
          <x:t xml:space="preserve">conceicao</x:t>
        </x:is>
      </x:c>
      <x:c r="B40" s="6" t="inlineStr">
        <x:is>
          <x:t xml:space="preserve">CONC-003</x:t>
        </x:is>
      </x:c>
      <x:c r="C40" s="6" t="inlineStr">
        <x:is>
          <x:t xml:space="preserve">PV-02 - PV-04</x:t>
        </x:is>
      </x:c>
      <x:c r="D40" s="6" t="inlineStr">
        <x:is>
          <x:t xml:space="preserve">PV-02</x:t>
        </x:is>
      </x:c>
      <x:c r="E40" s="6" t="inlineStr">
        <x:is>
          <x:t xml:space="preserve">PV-04</x:t>
        </x:is>
      </x:c>
      <x:c r="F40" s="6" t="inlineStr">
        <x:is>
          <x:t xml:space="preserve">PEAD</x:t>
        </x:is>
      </x:c>
      <x:c r="G40" s="6" t="n">
        <x:v>355</x:v>
      </x:c>
      <x:c r="H40" s="6" t="inlineStr">
        <x:is>
          <x:t xml:space="preserve">Método Não Destrutivo - MND</x:t>
        </x:is>
      </x:c>
      <x:c r="I40" s="7" t="n">
        <x:v>79.34</x:v>
      </x:c>
      <x:c r="J40" s="7" t="n">
        <x:v>7.15</x:v>
      </x:c>
      <x:c r="K40" s="7" t="n">
        <x:v>2.5</x:v>
      </x:c>
      <x:c r="L40" s="7" t="n">
        <x:v>7.15</x:v>
      </x:c>
      <x:c r="M40" s="6" t="inlineStr">
        <x:is>
          <x:t xml:space="preserve">concluída</x:t>
        </x:is>
      </x:c>
      <x:c r="N40" s="6" t="inlineStr">
        <x:is>
          <x:t xml:space="preserve">03.CT CONCEIÇÃO_PV-02 A PV-04.R2.pdf</x:t>
        </x:is>
      </x:c>
      <x:c r="O40" s="7" t="n">
        <x:v>-23.5267576</x:v>
      </x:c>
      <x:c r="P40" s="7" t="n">
        <x:v>-46.397381</x:v>
      </x:c>
      <x:c r="Q40" s="7" t="n">
        <x:v>-23.5261958</x:v>
      </x:c>
      <x:c r="R40" s="7" t="n">
        <x:v>-46.3978599</x:v>
      </x:c>
    </x:row>
    <x:row r="41">
      <x:c r="A41" s="6" t="inlineStr">
        <x:is>
          <x:t xml:space="preserve">conceicao</x:t>
        </x:is>
      </x:c>
      <x:c r="B41" s="6" t="inlineStr">
        <x:is>
          <x:t xml:space="preserve">CONC-004</x:t>
        </x:is>
      </x:c>
      <x:c r="C41" s="6" t="inlineStr">
        <x:is>
          <x:t xml:space="preserve">PV-04 - PV-06</x:t>
        </x:is>
      </x:c>
      <x:c r="D41" s="6" t="inlineStr">
        <x:is>
          <x:t xml:space="preserve">PV-04</x:t>
        </x:is>
      </x:c>
      <x:c r="E41" s="6" t="inlineStr">
        <x:is>
          <x:t xml:space="preserve">PV-06</x:t>
        </x:is>
      </x:c>
      <x:c r="F41" s="6" t="inlineStr">
        <x:is>
          <x:t xml:space="preserve">PEAD</x:t>
        </x:is>
      </x:c>
      <x:c r="G41" s="6" t="n">
        <x:v>355</x:v>
      </x:c>
      <x:c r="H41" s="6" t="inlineStr">
        <x:is>
          <x:t xml:space="preserve">Método Não Destrutivo - MND</x:t>
        </x:is>
      </x:c>
      <x:c r="I41" s="7" t="n">
        <x:v>93.29900000000001</x:v>
      </x:c>
      <x:c r="J41" s="7" t="n">
        <x:v>2.5</x:v>
      </x:c>
      <x:c r="K41" s="7" t="n">
        <x:v>2.2</x:v>
      </x:c>
      <x:c r="L41" s="7" t="n">
        <x:v>2.5</x:v>
      </x:c>
      <x:c r="M41" s="6" t="inlineStr">
        <x:is>
          <x:t xml:space="preserve">concluída</x:t>
        </x:is>
      </x:c>
      <x:c r="N41" s="6" t="inlineStr">
        <x:is>
          <x:t xml:space="preserve">04.CT CONCEIÇÃO_PV-04 A PV-06.R1.pdf</x:t>
        </x:is>
      </x:c>
      <x:c r="O41" s="7" t="n">
        <x:v>-23.5262358</x:v>
      </x:c>
      <x:c r="P41" s="7" t="n">
        <x:v>-46.3979135</x:v>
      </x:c>
      <x:c r="Q41" s="7" t="n">
        <x:v>-23.5255884</x:v>
      </x:c>
      <x:c r="R41" s="7" t="n">
        <x:v>-46.3984983</x:v>
      </x:c>
    </x:row>
    <x:row r="42">
      <x:c r="A42" s="6" t="inlineStr">
        <x:is>
          <x:t xml:space="preserve">conceicao</x:t>
        </x:is>
      </x:c>
      <x:c r="B42" s="6" t="inlineStr">
        <x:is>
          <x:t xml:space="preserve">CONC-005</x:t>
        </x:is>
      </x:c>
      <x:c r="C42" s="6" t="inlineStr">
        <x:is>
          <x:t xml:space="preserve">PV-06 - PV-08</x:t>
        </x:is>
      </x:c>
      <x:c r="D42" s="6" t="inlineStr">
        <x:is>
          <x:t xml:space="preserve">PV-06</x:t>
        </x:is>
      </x:c>
      <x:c r="E42" s="6" t="inlineStr">
        <x:is>
          <x:t xml:space="preserve">PV-08</x:t>
        </x:is>
      </x:c>
      <x:c r="F42" s="6" t="inlineStr">
        <x:is>
          <x:t xml:space="preserve">PEAD</x:t>
        </x:is>
      </x:c>
      <x:c r="G42" s="6" t="n">
        <x:v>355</x:v>
      </x:c>
      <x:c r="H42" s="6" t="inlineStr">
        <x:is>
          <x:t xml:space="preserve">Método Não Destrutivo - MND</x:t>
        </x:is>
      </x:c>
      <x:c r="I42" s="7" t="n">
        <x:v>79.583</x:v>
      </x:c>
      <x:c r="J42" s="7" t="n">
        <x:v>2.2</x:v>
      </x:c>
      <x:c r="K42" s="7" t="n">
        <x:v>8.1</x:v>
      </x:c>
      <x:c r="L42" s="7" t="n">
        <x:v>8.1</x:v>
      </x:c>
      <x:c r="M42" s="6" t="inlineStr">
        <x:is>
          <x:t xml:space="preserve">concluída</x:t>
        </x:is>
      </x:c>
      <x:c r="N42" s="6" t="inlineStr">
        <x:is>
          <x:t xml:space="preserve">06.CT CONCEIÇÃO_PV-06 A PV-08.pdf</x:t>
        </x:is>
      </x:c>
      <x:c r="O42" s="7" t="n">
        <x:v>-23.5255884</x:v>
      </x:c>
      <x:c r="P42" s="7" t="n">
        <x:v>-46.3984983</x:v>
      </x:c>
      <x:c r="Q42" s="7" t="n">
        <x:v>-23.5259403</x:v>
      </x:c>
      <x:c r="R42" s="7" t="n">
        <x:v>-46.3991779</x:v>
      </x:c>
    </x:row>
    <x:row r="43">
      <x:c r="A43" s="6" t="inlineStr">
        <x:is>
          <x:t xml:space="preserve">conceicao</x:t>
        </x:is>
      </x:c>
      <x:c r="B43" s="6" t="inlineStr">
        <x:is>
          <x:t xml:space="preserve">CONC-006</x:t>
        </x:is>
      </x:c>
      <x:c r="C43" s="6" t="inlineStr">
        <x:is>
          <x:t xml:space="preserve">PV-08 - PV-09</x:t>
        </x:is>
      </x:c>
      <x:c r="D43" s="6" t="inlineStr">
        <x:is>
          <x:t xml:space="preserve">PV-08</x:t>
        </x:is>
      </x:c>
      <x:c r="E43" s="6" t="inlineStr">
        <x:is>
          <x:t xml:space="preserve">PV-09</x:t>
        </x:is>
      </x:c>
      <x:c r="F43" s="6" t="inlineStr">
        <x:is>
          <x:t xml:space="preserve">PEAD</x:t>
        </x:is>
      </x:c>
      <x:c r="G43" s="6" t="n">
        <x:v>355</x:v>
      </x:c>
      <x:c r="H43" s="6" t="inlineStr">
        <x:is>
          <x:t xml:space="preserve">Método Não Destrutivo - MND</x:t>
        </x:is>
      </x:c>
      <x:c r="I43" s="7" t="n">
        <x:v>79.941</x:v>
      </x:c>
      <x:c r="J43" s="7" t="n">
        <x:v>8.1</x:v>
      </x:c>
      <x:c r="K43" s="7" t="n">
        <x:v>8.5</x:v>
      </x:c>
      <x:c r="L43" s="7" t="n">
        <x:v>9.1</x:v>
      </x:c>
      <x:c r="M43" s="6" t="inlineStr">
        <x:is>
          <x:t xml:space="preserve">concluída</x:t>
        </x:is>
      </x:c>
      <x:c r="N43" s="6" t="inlineStr">
        <x:is>
          <x:t xml:space="preserve">07.CT CONCEIÇÃO_PV-08 A PV-09.pdf</x:t>
        </x:is>
      </x:c>
      <x:c r="O43" s="7" t="n">
        <x:v>-23.5259403</x:v>
      </x:c>
      <x:c r="P43" s="7" t="n">
        <x:v>-46.3991779</x:v>
      </x:c>
      <x:c r="Q43" s="7" t="n">
        <x:v>-23.5262681</x:v>
      </x:c>
      <x:c r="R43" s="7" t="n">
        <x:v>-46.3998755</x:v>
      </x:c>
    </x:row>
    <x:row r="44">
      <x:c r="A44" s="6" t="inlineStr">
        <x:is>
          <x:t xml:space="preserve">conceicao</x:t>
        </x:is>
      </x:c>
      <x:c r="B44" s="6" t="inlineStr">
        <x:is>
          <x:t xml:space="preserve">CONC-007</x:t>
        </x:is>
      </x:c>
      <x:c r="C44" s="6" t="inlineStr">
        <x:is>
          <x:t xml:space="preserve">PV-09 - PV-10.1</x:t>
        </x:is>
      </x:c>
      <x:c r="D44" s="6" t="inlineStr">
        <x:is>
          <x:t xml:space="preserve">PV-09</x:t>
        </x:is>
      </x:c>
      <x:c r="E44" s="6" t="inlineStr">
        <x:is>
          <x:t xml:space="preserve">PV-10.1</x:t>
        </x:is>
      </x:c>
      <x:c r="F44" s="6" t="inlineStr">
        <x:is>
          <x:t xml:space="preserve">PEAD</x:t>
        </x:is>
      </x:c>
      <x:c r="G44" s="6" t="n">
        <x:v>355</x:v>
      </x:c>
      <x:c r="H44" s="6" t="inlineStr">
        <x:is>
          <x:t xml:space="preserve">Método Não Destrutivo - MND</x:t>
        </x:is>
      </x:c>
      <x:c r="I44" s="7" t="n">
        <x:v>167.39</x:v>
      </x:c>
      <x:c r="J44" s="7" t="n">
        <x:v>8.5</x:v>
      </x:c>
      <x:c r="K44" s="6" t="n">
        <x:v>8</x:v>
      </x:c>
      <x:c r="L44" s="7" t="n">
        <x:v>8.529999999999999</x:v>
      </x:c>
      <x:c r="M44" s="6" t="inlineStr">
        <x:is>
          <x:t xml:space="preserve">concluída</x:t>
        </x:is>
      </x:c>
      <x:c r="N44" s="6" t="inlineStr">
        <x:is>
          <x:t xml:space="preserve">08.CT CONCEIÇÃO_PV-09 A PV-10.1.pdf</x:t>
        </x:is>
      </x:c>
      <x:c r="O44" s="7" t="n">
        <x:v>-23.5262681</x:v>
      </x:c>
      <x:c r="P44" s="7" t="n">
        <x:v>-46.3998755</x:v>
      </x:c>
      <x:c r="Q44" s="7" t="n">
        <x:v>-23.5269837</x:v>
      </x:c>
      <x:c r="R44" s="7" t="n">
        <x:v>-46.4013196</x:v>
      </x:c>
    </x:row>
    <x:row r="45">
      <x:c r="A45" s="6" t="inlineStr">
        <x:is>
          <x:t xml:space="preserve">conceicao</x:t>
        </x:is>
      </x:c>
      <x:c r="B45" s="6" t="inlineStr">
        <x:is>
          <x:t xml:space="preserve">CONC-008</x:t>
        </x:is>
      </x:c>
      <x:c r="C45" s="6" t="inlineStr">
        <x:is>
          <x:t xml:space="preserve">PV-09.1 - PV-10.1</x:t>
        </x:is>
      </x:c>
      <x:c r="D45" s="6" t="inlineStr">
        <x:is>
          <x:t xml:space="preserve">PV-09.1</x:t>
        </x:is>
      </x:c>
      <x:c r="E45" s="6" t="inlineStr">
        <x:is>
          <x:t xml:space="preserve">PV-10.1</x:t>
        </x:is>
      </x:c>
      <x:c r="F45" s="6" t="inlineStr">
        <x:is>
          <x:t xml:space="preserve">PEAD</x:t>
        </x:is>
      </x:c>
      <x:c r="G45" s="6" t="n">
        <x:v>355</x:v>
      </x:c>
      <x:c r="H45" s="6" t="inlineStr">
        <x:is>
          <x:t xml:space="preserve">Método Não Destrutivo - MND</x:t>
        </x:is>
      </x:c>
      <x:c r="I45" s="7" t="n">
        <x:v>120.49</x:v>
      </x:c>
      <x:c r="J45" s="7" t="n">
        <x:v>8.220000000000001</x:v>
      </x:c>
      <x:c r="K45" s="7" t="n">
        <x:v>8.199999999999999</x:v>
      </x:c>
      <x:c r="L45" s="7" t="n">
        <x:v>8.32</x:v>
      </x:c>
      <x:c r="M45" s="6" t="inlineStr">
        <x:is>
          <x:t xml:space="preserve">concluída</x:t>
        </x:is>
      </x:c>
      <x:c r="N45" s="6" t="inlineStr">
        <x:is>
          <x:t xml:space="preserve">08.CT CONCEIÇÃO_PV-09.1 A PV-10.1.pdf</x:t>
        </x:is>
      </x:c>
      <x:c r="O45" s="7" t="n">
        <x:v>-23.5264619</x:v>
      </x:c>
      <x:c r="P45" s="7" t="n">
        <x:v>-46.4002653</x:v>
      </x:c>
      <x:c r="Q45" s="7" t="n">
        <x:v>-23.5269837</x:v>
      </x:c>
      <x:c r="R45" s="7" t="n">
        <x:v>-46.4013196</x:v>
      </x:c>
    </x:row>
    <x:row r="46">
      <x:c r="A46" s="6" t="inlineStr">
        <x:is>
          <x:t xml:space="preserve">conceicao</x:t>
        </x:is>
      </x:c>
      <x:c r="B46" s="6" t="inlineStr">
        <x:is>
          <x:t xml:space="preserve">CONC-009</x:t>
        </x:is>
      </x:c>
      <x:c r="C46" s="6" t="inlineStr">
        <x:is>
          <x:t xml:space="preserve">PV-10 - PV-10.1</x:t>
        </x:is>
      </x:c>
      <x:c r="D46" s="6" t="inlineStr">
        <x:is>
          <x:t xml:space="preserve">PV-10</x:t>
        </x:is>
      </x:c>
      <x:c r="E46" s="6" t="inlineStr">
        <x:is>
          <x:t xml:space="preserve">PV-10.1</x:t>
        </x:is>
      </x:c>
      <x:c r="F46" s="6" t="inlineStr">
        <x:is>
          <x:t xml:space="preserve">PEAD</x:t>
        </x:is>
      </x:c>
      <x:c r="G46" s="6" t="n">
        <x:v>355</x:v>
      </x:c>
      <x:c r="H46" s="6" t="inlineStr">
        <x:is>
          <x:t xml:space="preserve">Método Não Destrutivo - MND</x:t>
        </x:is>
      </x:c>
      <x:c r="I46" s="7" t="n">
        <x:v>79.626</x:v>
      </x:c>
      <x:c r="J46" s="7" t="n">
        <x:v>7.45</x:v>
      </x:c>
      <x:c r="K46" s="6" t="n">
        <x:v>8</x:v>
      </x:c>
      <x:c r="L46" s="7" t="n">
        <x:v>8.06</x:v>
      </x:c>
      <x:c r="M46" s="6" t="inlineStr">
        <x:is>
          <x:t xml:space="preserve">concluída</x:t>
        </x:is>
      </x:c>
      <x:c r="N46" s="6" t="inlineStr">
        <x:is>
          <x:t xml:space="preserve">09.CT CONCEIÇÃO_PV-10 A PV-10.1.pdf</x:t>
        </x:is>
      </x:c>
      <x:c r="O46" s="7" t="n">
        <x:v>-23.5266472</x:v>
      </x:c>
      <x:c r="P46" s="7" t="n">
        <x:v>-46.4006304</x:v>
      </x:c>
      <x:c r="Q46" s="7" t="n">
        <x:v>-23.5269837</x:v>
      </x:c>
      <x:c r="R46" s="7" t="n">
        <x:v>-46.4013196</x:v>
      </x:c>
    </x:row>
    <x:row r="47">
      <x:c r="A47" s="6" t="inlineStr">
        <x:is>
          <x:t xml:space="preserve">conceicao</x:t>
        </x:is>
      </x:c>
      <x:c r="B47" s="6" t="inlineStr">
        <x:is>
          <x:t xml:space="preserve">CONC-010</x:t>
        </x:is>
      </x:c>
      <x:c r="C47" s="6" t="inlineStr">
        <x:is>
          <x:t xml:space="preserve">PV-10.1 - PV-10.2</x:t>
        </x:is>
      </x:c>
      <x:c r="D47" s="6" t="inlineStr">
        <x:is>
          <x:t xml:space="preserve">PV-10.1</x:t>
        </x:is>
      </x:c>
      <x:c r="E47" s="6" t="inlineStr">
        <x:is>
          <x:t xml:space="preserve">PV-10.2</x:t>
        </x:is>
      </x:c>
      <x:c r="F47" s="6" t="inlineStr">
        <x:is>
          <x:t xml:space="preserve">PEAD</x:t>
        </x:is>
      </x:c>
      <x:c r="G47" s="6" t="n">
        <x:v>355</x:v>
      </x:c>
      <x:c r="H47" s="6" t="inlineStr">
        <x:is>
          <x:t xml:space="preserve">Método Não Destrutivo - MND</x:t>
        </x:is>
      </x:c>
      <x:c r="I47" s="7" t="n">
        <x:v>32.46</x:v>
      </x:c>
      <x:c r="J47" s="7" t="n">
        <x:v>8.199999999999999</x:v>
      </x:c>
      <x:c r="K47" s="6" t="n">
        <x:v>2</x:v>
      </x:c>
      <x:c r="L47" s="7" t="n">
        <x:v>8.199999999999999</x:v>
      </x:c>
      <x:c r="M47" s="6" t="inlineStr">
        <x:is>
          <x:t xml:space="preserve">concluída</x:t>
        </x:is>
      </x:c>
      <x:c r="N47" s="6" t="inlineStr">
        <x:is>
          <x:t xml:space="preserve">10.CT CONCEIÇÃO_PV-10.1 A PV-10.2.R01.pdf</x:t>
        </x:is>
      </x:c>
      <x:c r="O47" s="7" t="n">
        <x:v>-23.5269837</x:v>
      </x:c>
      <x:c r="P47" s="7" t="n">
        <x:v>-46.4013196</x:v>
      </x:c>
      <x:c r="Q47" s="7" t="n">
        <x:v>-23.5272011</x:v>
      </x:c>
      <x:c r="R47" s="7" t="n">
        <x:v>-46.4011809</x:v>
      </x:c>
    </x:row>
    <x:row r="48">
      <x:c r="A48" s="6" t="inlineStr">
        <x:is>
          <x:t xml:space="preserve">conceicao</x:t>
        </x:is>
      </x:c>
      <x:c r="B48" s="6" t="inlineStr">
        <x:is>
          <x:t xml:space="preserve">CONC-011</x:t>
        </x:is>
      </x:c>
      <x:c r="C48" s="6" t="inlineStr">
        <x:is>
          <x:t xml:space="preserve">PV-10 - PV-11</x:t>
        </x:is>
      </x:c>
      <x:c r="D48" s="6" t="inlineStr">
        <x:is>
          <x:t xml:space="preserve">PV-10</x:t>
        </x:is>
      </x:c>
      <x:c r="E48" s="6" t="inlineStr">
        <x:is>
          <x:t xml:space="preserve">PV-11</x:t>
        </x:is>
      </x:c>
      <x:c r="F48" s="6" t="inlineStr">
        <x:is>
          <x:t xml:space="preserve">PEAD</x:t>
        </x:is>
      </x:c>
      <x:c r="G48" s="6" t="n">
        <x:v>355</x:v>
      </x:c>
      <x:c r="H48" s="6" t="inlineStr">
        <x:is>
          <x:t xml:space="preserve">Método Não Destrutivo - MND</x:t>
        </x:is>
      </x:c>
      <x:c r="I48" s="7" t="n">
        <x:v>19.01</x:v>
      </x:c>
      <x:c r="J48" s="7" t="n">
        <x:v>7.45</x:v>
      </x:c>
      <x:c r="K48" s="7" t="n">
        <x:v>3.8</x:v>
      </x:c>
      <x:c r="L48" s="7" t="n">
        <x:v>7.45</x:v>
      </x:c>
      <x:c r="M48" s="6" t="inlineStr">
        <x:is>
          <x:t xml:space="preserve">concluída</x:t>
        </x:is>
      </x:c>
      <x:c r="N48" s="6" t="inlineStr">
        <x:is>
          <x:t xml:space="preserve">11.CT CONCEIÇÃO_PV-10 A PV-11.pdf</x:t>
        </x:is>
      </x:c>
      <x:c r="O48" s="7" t="n">
        <x:v>-23.5266472</x:v>
      </x:c>
      <x:c r="P48" s="7" t="n">
        <x:v>-46.4006304</x:v>
      </x:c>
      <x:c r="Q48" s="7" t="n">
        <x:v>-23.5268063</x:v>
      </x:c>
      <x:c r="R48" s="7" t="n">
        <x:v>-46.4005606</x:v>
      </x:c>
    </x:row>
    <x:row r="49">
      <x:c r="A49" s="6" t="inlineStr">
        <x:is>
          <x:t xml:space="preserve">agua_md</x:t>
        </x:is>
      </x:c>
      <x:c r="B49" s="6" t="inlineStr">
        <x:is>
          <x:t xml:space="preserve">AVMD-001</x:t>
        </x:is>
      </x:c>
      <x:c r="C49" s="6" t="inlineStr">
        <x:is>
          <x:t xml:space="preserve">PVD-02 - PVD-03</x:t>
        </x:is>
      </x:c>
      <x:c r="D49" s="6" t="inlineStr">
        <x:is>
          <x:t xml:space="preserve">PVD-02</x:t>
        </x:is>
      </x:c>
      <x:c r="E49" s="6" t="inlineStr">
        <x:is>
          <x:t xml:space="preserve">PVD-03</x:t>
        </x:is>
      </x:c>
      <x:c r="F49" s="6" t="inlineStr">
        <x:is>
          <x:t xml:space="preserve">PEAD</x:t>
        </x:is>
      </x:c>
      <x:c r="G49" s="6" t="n">
        <x:v>450</x:v>
      </x:c>
      <x:c r="H49" s="6" t="inlineStr">
        <x:is>
          <x:t xml:space="preserve">Método Não Destrutivo - MND</x:t>
        </x:is>
      </x:c>
      <x:c r="I49" s="7" t="n">
        <x:v>59.67</x:v>
      </x:c>
      <x:c r="J49" s="7" t="n">
        <x:v>4.76</x:v>
      </x:c>
      <x:c r="K49" s="7" t="n">
        <x:v>5.16</x:v>
      </x:c>
      <x:c r="L49" s="7" t="n">
        <x:v>5.26</x:v>
      </x:c>
      <x:c r="M49" s="6" t="inlineStr">
        <x:is>
          <x:t xml:space="preserve">concluída</x:t>
        </x:is>
      </x:c>
      <x:c r="N49" s="6" t="inlineStr">
        <x:is>
          <x:t xml:space="preserve">01.CT AGUA VERMELHA MD_PVD-02 A PVD-03.pdf</x:t>
        </x:is>
      </x:c>
      <x:c r="O49" s="7" t="n">
        <x:v>-23.5143135</x:v>
      </x:c>
      <x:c r="P49" s="7" t="n">
        <x:v>-46.4176499</x:v>
      </x:c>
      <x:c r="Q49" s="7" t="n">
        <x:v>-23.5148292</x:v>
      </x:c>
      <x:c r="R49" s="7" t="n">
        <x:v>-46.4174803</x:v>
      </x:c>
    </x:row>
    <x:row r="50">
      <x:c r="A50" s="6" t="inlineStr">
        <x:is>
          <x:t xml:space="preserve">agua_md</x:t>
        </x:is>
      </x:c>
      <x:c r="B50" s="6" t="inlineStr">
        <x:is>
          <x:t xml:space="preserve">AVMD-002</x:t>
        </x:is>
      </x:c>
      <x:c r="C50" s="6" t="inlineStr">
        <x:is>
          <x:t xml:space="preserve">PVD-03 - PVD-04</x:t>
        </x:is>
      </x:c>
      <x:c r="D50" s="6" t="inlineStr">
        <x:is>
          <x:t xml:space="preserve">PVD-03</x:t>
        </x:is>
      </x:c>
      <x:c r="E50" s="6" t="inlineStr">
        <x:is>
          <x:t xml:space="preserve">PVD-04</x:t>
        </x:is>
      </x:c>
      <x:c r="F50" s="6" t="inlineStr">
        <x:is>
          <x:t xml:space="preserve">PEAD</x:t>
        </x:is>
      </x:c>
      <x:c r="G50" s="6" t="n">
        <x:v>450</x:v>
      </x:c>
      <x:c r="H50" s="6" t="inlineStr">
        <x:is>
          <x:t xml:space="preserve">Método Não Destrutivo - MND</x:t>
        </x:is>
      </x:c>
      <x:c r="I50" s="7" t="n">
        <x:v>54.89</x:v>
      </x:c>
      <x:c r="J50" s="7" t="n">
        <x:v>5.16</x:v>
      </x:c>
      <x:c r="K50" s="7" t="n">
        <x:v>5.35</x:v>
      </x:c>
      <x:c r="L50" s="7" t="n">
        <x:v>5.35</x:v>
      </x:c>
      <x:c r="M50" s="6" t="inlineStr">
        <x:is>
          <x:t xml:space="preserve">concluída</x:t>
        </x:is>
      </x:c>
      <x:c r="N50" s="6" t="inlineStr">
        <x:is>
          <x:t xml:space="preserve">01.CT AGUA VERMELHA MD_PVD-03 A PVD-04.pdf</x:t>
        </x:is>
      </x:c>
      <x:c r="O50" s="7" t="n">
        <x:v>-23.5148292</x:v>
      </x:c>
      <x:c r="P50" s="7" t="n">
        <x:v>-46.4174803</x:v>
      </x:c>
      <x:c r="Q50" s="7" t="n">
        <x:v>-23.5152916</x:v>
      </x:c>
      <x:c r="R50" s="7" t="n">
        <x:v>-46.4172861</x:v>
      </x:c>
    </x:row>
    <x:row r="51">
      <x:c r="A51" s="6" t="inlineStr">
        <x:is>
          <x:t xml:space="preserve">agua_md</x:t>
        </x:is>
      </x:c>
      <x:c r="B51" s="6" t="inlineStr">
        <x:is>
          <x:t xml:space="preserve">AVMD-003</x:t>
        </x:is>
      </x:c>
      <x:c r="C51" s="6" t="inlineStr">
        <x:is>
          <x:t xml:space="preserve">PVD-04 - PVD-05</x:t>
        </x:is>
      </x:c>
      <x:c r="D51" s="6" t="inlineStr">
        <x:is>
          <x:t xml:space="preserve">PVD-04</x:t>
        </x:is>
      </x:c>
      <x:c r="E51" s="6" t="inlineStr">
        <x:is>
          <x:t xml:space="preserve">PVD-05</x:t>
        </x:is>
      </x:c>
      <x:c r="F51" s="6" t="inlineStr">
        <x:is>
          <x:t xml:space="preserve">PEAD</x:t>
        </x:is>
      </x:c>
      <x:c r="G51" s="6" t="n">
        <x:v>450</x:v>
      </x:c>
      <x:c r="H51" s="6" t="inlineStr">
        <x:is>
          <x:t xml:space="preserve">Método Não Destrutivo - MND</x:t>
        </x:is>
      </x:c>
      <x:c r="I51" s="7" t="n">
        <x:v>55.45</x:v>
      </x:c>
      <x:c r="J51" s="7" t="n">
        <x:v>5.35</x:v>
      </x:c>
      <x:c r="K51" s="7" t="n">
        <x:v>5.86</x:v>
      </x:c>
      <x:c r="L51" s="7" t="n">
        <x:v>5.86</x:v>
      </x:c>
      <x:c r="M51" s="6" t="inlineStr">
        <x:is>
          <x:t xml:space="preserve">concluída</x:t>
        </x:is>
      </x:c>
      <x:c r="N51" s="6" t="inlineStr">
        <x:is>
          <x:t xml:space="preserve">01.CT AGUA VERMELHA MD_PVD-04 AO PVD-05.pdf</x:t>
        </x:is>
      </x:c>
      <x:c r="O51" s="7" t="n">
        <x:v>-23.5152916</x:v>
      </x:c>
      <x:c r="P51" s="7" t="n">
        <x:v>-46.4172861</x:v>
      </x:c>
      <x:c r="Q51" s="7" t="n">
        <x:v>-23.5157592</x:v>
      </x:c>
      <x:c r="R51" s="7" t="n">
        <x:v>-46.4170918</x:v>
      </x:c>
    </x:row>
    <x:row r="52">
      <x:c r="A52" s="6" t="inlineStr">
        <x:is>
          <x:t xml:space="preserve">agua_md</x:t>
        </x:is>
      </x:c>
      <x:c r="B52" s="6" t="inlineStr">
        <x:is>
          <x:t xml:space="preserve">AVMD-004</x:t>
        </x:is>
      </x:c>
      <x:c r="C52" s="6" t="inlineStr">
        <x:is>
          <x:t xml:space="preserve">PVE-D0 - PVD-02</x:t>
        </x:is>
      </x:c>
      <x:c r="D52" s="6" t="inlineStr">
        <x:is>
          <x:t xml:space="preserve">PVE-D0</x:t>
        </x:is>
      </x:c>
      <x:c r="E52" s="6" t="inlineStr">
        <x:is>
          <x:t xml:space="preserve">PVD-02</x:t>
        </x:is>
      </x:c>
      <x:c r="F52" s="6" t="inlineStr">
        <x:is>
          <x:t xml:space="preserve">PEAD</x:t>
        </x:is>
      </x:c>
      <x:c r="G52" s="6" t="n">
        <x:v>450</x:v>
      </x:c>
      <x:c r="H52" s="6" t="inlineStr">
        <x:is>
          <x:t xml:space="preserve">Método Não Destrutivo - MND</x:t>
        </x:is>
      </x:c>
      <x:c r="I52" s="7" t="n">
        <x:v>40.79</x:v>
      </x:c>
      <x:c r="J52" s="7" t="n">
        <x:v>4.4</x:v>
      </x:c>
      <x:c r="K52" s="7" t="n">
        <x:v>4.76</x:v>
      </x:c>
      <x:c r="L52" s="7" t="n">
        <x:v>4.76</x:v>
      </x:c>
      <x:c r="M52" s="6" t="inlineStr">
        <x:is>
          <x:t xml:space="preserve">concluída</x:t>
        </x:is>
      </x:c>
      <x:c r="N52" s="6" t="inlineStr">
        <x:is>
          <x:t xml:space="preserve">01.CT AGUA VERMELHA MD_PVE-D0 A PVD-02.pdf</x:t>
        </x:is>
      </x:c>
      <x:c r="O52" s="7" t="n">
        <x:v>-23.5141944</x:v>
      </x:c>
      <x:c r="P52" s="7" t="n">
        <x:v>-46.4180279</x:v>
      </x:c>
      <x:c r="Q52" s="7" t="n">
        <x:v>-23.5143135</x:v>
      </x:c>
      <x:c r="R52" s="7" t="n">
        <x:v>-46.4176499</x:v>
      </x:c>
    </x:row>
    <x:row r="53">
      <x:c r="A53" s="6" t="inlineStr">
        <x:is>
          <x:t xml:space="preserve">agua_md</x:t>
        </x:is>
      </x:c>
      <x:c r="B53" s="6" t="inlineStr">
        <x:is>
          <x:t xml:space="preserve">AVMD-005</x:t>
        </x:is>
      </x:c>
      <x:c r="C53" s="6" t="inlineStr">
        <x:is>
          <x:t xml:space="preserve">PVD-05 - PVD-06</x:t>
        </x:is>
      </x:c>
      <x:c r="D53" s="6" t="inlineStr">
        <x:is>
          <x:t xml:space="preserve">PVD-05</x:t>
        </x:is>
      </x:c>
      <x:c r="E53" s="6" t="inlineStr">
        <x:is>
          <x:t xml:space="preserve">PVD-06</x:t>
        </x:is>
      </x:c>
      <x:c r="F53" s="6" t="inlineStr">
        <x:is>
          <x:t xml:space="preserve">PEAD</x:t>
        </x:is>
      </x:c>
      <x:c r="G53" s="6" t="n">
        <x:v>450</x:v>
      </x:c>
      <x:c r="H53" s="6" t="inlineStr">
        <x:is>
          <x:t xml:space="preserve">Método Não Destrutivo - MND</x:t>
        </x:is>
      </x:c>
      <x:c r="I53" s="7" t="n">
        <x:v>51.71</x:v>
      </x:c>
      <x:c r="J53" s="7" t="n">
        <x:v>5.86</x:v>
      </x:c>
      <x:c r="K53" s="7" t="n">
        <x:v>6.09</x:v>
      </x:c>
      <x:c r="L53" s="7" t="n">
        <x:v>6.1</x:v>
      </x:c>
      <x:c r="M53" s="6" t="inlineStr">
        <x:is>
          <x:t xml:space="preserve">concluída</x:t>
        </x:is>
      </x:c>
      <x:c r="N53" s="6" t="inlineStr">
        <x:is>
          <x:t xml:space="preserve">05.CT AGUA VERMELHA MD_PVD-05 AO PVD-06.pdf</x:t>
        </x:is>
      </x:c>
      <x:c r="O53" s="7" t="n">
        <x:v>-23.5157592</x:v>
      </x:c>
      <x:c r="P53" s="7" t="n">
        <x:v>-46.4170918</x:v>
      </x:c>
      <x:c r="Q53" s="7" t="n">
        <x:v>-23.516196</x:v>
      </x:c>
      <x:c r="R53" s="7" t="n">
        <x:v>-46.4169127</x:v>
      </x:c>
    </x:row>
    <x:row r="54">
      <x:c r="A54" s="6" t="inlineStr">
        <x:is>
          <x:t xml:space="preserve">agua_md</x:t>
        </x:is>
      </x:c>
      <x:c r="B54" s="6" t="inlineStr">
        <x:is>
          <x:t xml:space="preserve">AVMD-006</x:t>
        </x:is>
      </x:c>
      <x:c r="C54" s="6" t="inlineStr">
        <x:is>
          <x:t xml:space="preserve">PVD-06 - PVD-07</x:t>
        </x:is>
      </x:c>
      <x:c r="D54" s="6" t="inlineStr">
        <x:is>
          <x:t xml:space="preserve">PVD-06</x:t>
        </x:is>
      </x:c>
      <x:c r="E54" s="6" t="inlineStr">
        <x:is>
          <x:t xml:space="preserve">PVD-07</x:t>
        </x:is>
      </x:c>
      <x:c r="F54" s="6" t="inlineStr">
        <x:is>
          <x:t xml:space="preserve">PEAD</x:t>
        </x:is>
      </x:c>
      <x:c r="G54" s="6" t="n">
        <x:v>450</x:v>
      </x:c>
      <x:c r="H54" s="6" t="inlineStr">
        <x:is>
          <x:t xml:space="preserve">Método Não Destrutivo - MND</x:t>
        </x:is>
      </x:c>
      <x:c r="I54" s="7" t="n">
        <x:v>67.05</x:v>
      </x:c>
      <x:c r="J54" s="7" t="n">
        <x:v>6.09</x:v>
      </x:c>
      <x:c r="K54" s="7" t="n">
        <x:v>5.3</x:v>
      </x:c>
      <x:c r="L54" s="7" t="n">
        <x:v>6.13</x:v>
      </x:c>
      <x:c r="M54" s="6" t="inlineStr">
        <x:is>
          <x:t xml:space="preserve">concluída</x:t>
        </x:is>
      </x:c>
      <x:c r="N54" s="6" t="inlineStr">
        <x:is>
          <x:t xml:space="preserve">06.CT AGUA VERMELHA MD_PVD-06 AO PVD-07.pdf</x:t>
        </x:is>
      </x:c>
      <x:c r="O54" s="7" t="n">
        <x:v>-23.516196</x:v>
      </x:c>
      <x:c r="P54" s="7" t="n">
        <x:v>-46.4169127</x:v>
      </x:c>
      <x:c r="Q54" s="7" t="n">
        <x:v>-23.5167619</x:v>
      </x:c>
      <x:c r="R54" s="7" t="n">
        <x:v>-46.416679</x:v>
      </x:c>
    </x:row>
    <x:row r="55">
      <x:c r="A55" s="6" t="inlineStr">
        <x:is>
          <x:t xml:space="preserve">agua_md</x:t>
        </x:is>
      </x:c>
      <x:c r="B55" s="6" t="inlineStr">
        <x:is>
          <x:t xml:space="preserve">AVMD-007</x:t>
        </x:is>
      </x:c>
      <x:c r="C55" s="6" t="inlineStr">
        <x:is>
          <x:t xml:space="preserve">PVD-07 - PVD-08</x:t>
        </x:is>
      </x:c>
      <x:c r="D55" s="6" t="inlineStr">
        <x:is>
          <x:t xml:space="preserve">PVD-07</x:t>
        </x:is>
      </x:c>
      <x:c r="E55" s="6" t="inlineStr">
        <x:is>
          <x:t xml:space="preserve">PVD-08</x:t>
        </x:is>
      </x:c>
      <x:c r="F55" s="6" t="inlineStr">
        <x:is>
          <x:t xml:space="preserve">PEAD</x:t>
        </x:is>
      </x:c>
      <x:c r="G55" s="6" t="n">
        <x:v>450</x:v>
      </x:c>
      <x:c r="H55" s="6" t="inlineStr">
        <x:is>
          <x:t xml:space="preserve">Método Não Destrutivo - MND</x:t>
        </x:is>
      </x:c>
      <x:c r="I55" s="7" t="n">
        <x:v>32.99</x:v>
      </x:c>
      <x:c r="J55" s="7" t="n">
        <x:v>5.3</x:v>
      </x:c>
      <x:c r="K55" s="7" t="n">
        <x:v>5.45</x:v>
      </x:c>
      <x:c r="L55" s="7" t="n">
        <x:v>5.46</x:v>
      </x:c>
      <x:c r="M55" s="6" t="inlineStr">
        <x:is>
          <x:t xml:space="preserve">concluída</x:t>
        </x:is>
      </x:c>
      <x:c r="N55" s="6" t="inlineStr">
        <x:is>
          <x:t xml:space="preserve">07.CT AGUA VERMELHA MD_PVD-07 AO PVD-08.pdf</x:t>
        </x:is>
      </x:c>
      <x:c r="O55" s="7" t="n">
        <x:v>-23.5167619</x:v>
      </x:c>
      <x:c r="P55" s="7" t="n">
        <x:v>-46.416679</x:v>
      </x:c>
      <x:c r="Q55" s="7" t="n">
        <x:v>-23.5170236</x:v>
      </x:c>
      <x:c r="R55" s="7" t="n">
        <x:v>-46.4165246</x:v>
      </x:c>
    </x:row>
    <x:row r="56">
      <x:c r="A56" s="6" t="inlineStr">
        <x:is>
          <x:t xml:space="preserve">agua_md</x:t>
        </x:is>
      </x:c>
      <x:c r="B56" s="6" t="inlineStr">
        <x:is>
          <x:t xml:space="preserve">AVMD-008</x:t>
        </x:is>
      </x:c>
      <x:c r="C56" s="6" t="inlineStr">
        <x:is>
          <x:t xml:space="preserve">PVD-08 - PVD-09</x:t>
        </x:is>
      </x:c>
      <x:c r="D56" s="6" t="inlineStr">
        <x:is>
          <x:t xml:space="preserve">PVD-08</x:t>
        </x:is>
      </x:c>
      <x:c r="E56" s="6" t="inlineStr">
        <x:is>
          <x:t xml:space="preserve">PVD-09</x:t>
        </x:is>
      </x:c>
      <x:c r="F56" s="6" t="inlineStr">
        <x:is>
          <x:t xml:space="preserve">PEAD</x:t>
        </x:is>
      </x:c>
      <x:c r="G56" s="6" t="n">
        <x:v>450</x:v>
      </x:c>
      <x:c r="H56" s="6" t="inlineStr">
        <x:is>
          <x:t xml:space="preserve">Método Não Destrutivo - MND</x:t>
        </x:is>
      </x:c>
      <x:c r="I56" s="7" t="n">
        <x:v>35.48</x:v>
      </x:c>
      <x:c r="J56" s="7" t="n">
        <x:v>5.45</x:v>
      </x:c>
      <x:c r="K56" s="7" t="n">
        <x:v>5.5</x:v>
      </x:c>
      <x:c r="L56" s="7" t="n">
        <x:v>5.55</x:v>
      </x:c>
      <x:c r="M56" s="6" t="inlineStr">
        <x:is>
          <x:t xml:space="preserve">concluída</x:t>
        </x:is>
      </x:c>
      <x:c r="N56" s="6" t="inlineStr">
        <x:is>
          <x:t xml:space="preserve">08.CT AGUA VERMELHA MD_PVD-08 AO PVD-09.pdf</x:t>
        </x:is>
      </x:c>
      <x:c r="O56" s="7" t="n">
        <x:v>-23.5170236</x:v>
      </x:c>
      <x:c r="P56" s="7" t="n">
        <x:v>-46.4165246</x:v>
      </x:c>
      <x:c r="Q56" s="7" t="n">
        <x:v>-23.5172967</x:v>
      </x:c>
      <x:c r="R56" s="7" t="n">
        <x:v>-46.4163427</x:v>
      </x:c>
    </x:row>
    <x:row r="57">
      <x:c r="A57" s="6" t="inlineStr">
        <x:is>
          <x:t xml:space="preserve">agua_md</x:t>
        </x:is>
      </x:c>
      <x:c r="B57" s="6" t="inlineStr">
        <x:is>
          <x:t xml:space="preserve">AVMD-009</x:t>
        </x:is>
      </x:c>
      <x:c r="C57" s="6" t="inlineStr">
        <x:is>
          <x:t xml:space="preserve">PVD-09 - PVD-10</x:t>
        </x:is>
      </x:c>
      <x:c r="D57" s="6" t="inlineStr">
        <x:is>
          <x:t xml:space="preserve">PVD-09</x:t>
        </x:is>
      </x:c>
      <x:c r="E57" s="6" t="inlineStr">
        <x:is>
          <x:t xml:space="preserve">PVD-10</x:t>
        </x:is>
      </x:c>
      <x:c r="F57" s="6" t="inlineStr">
        <x:is>
          <x:t xml:space="preserve">PEAD</x:t>
        </x:is>
      </x:c>
      <x:c r="G57" s="6" t="n">
        <x:v>450</x:v>
      </x:c>
      <x:c r="H57" s="6" t="inlineStr">
        <x:is>
          <x:t xml:space="preserve">Método Não Destrutivo - MND</x:t>
        </x:is>
      </x:c>
      <x:c r="I57" s="7" t="n">
        <x:v>34.06</x:v>
      </x:c>
      <x:c r="J57" s="7" t="n">
        <x:v>5.5</x:v>
      </x:c>
      <x:c r="K57" s="7" t="n">
        <x:v>5.4</x:v>
      </x:c>
      <x:c r="L57" s="7" t="n">
        <x:v>5.55</x:v>
      </x:c>
      <x:c r="M57" s="6" t="inlineStr">
        <x:is>
          <x:t xml:space="preserve">concluída</x:t>
        </x:is>
      </x:c>
      <x:c r="N57" s="6" t="inlineStr">
        <x:is>
          <x:t xml:space="preserve">09.CT AGUA VERMELHA MD_PVD-09 AO PVD-10.pdf</x:t>
        </x:is>
      </x:c>
      <x:c r="O57" s="7" t="n">
        <x:v>-23.5172967</x:v>
      </x:c>
      <x:c r="P57" s="7" t="n">
        <x:v>-46.4163427</x:v>
      </x:c>
      <x:c r="Q57" s="7" t="n">
        <x:v>-23.5175596</x:v>
      </x:c>
      <x:c r="R57" s="7" t="n">
        <x:v>-46.4161695</x:v>
      </x:c>
    </x:row>
    <x:row r="58">
      <x:c r="A58" s="6" t="inlineStr">
        <x:is>
          <x:t xml:space="preserve">agua_md</x:t>
        </x:is>
      </x:c>
      <x:c r="B58" s="6" t="inlineStr">
        <x:is>
          <x:t xml:space="preserve">AVMD-010</x:t>
        </x:is>
      </x:c>
      <x:c r="C58" s="6" t="inlineStr">
        <x:is>
          <x:t xml:space="preserve">PVD-10 - PVD-11</x:t>
        </x:is>
      </x:c>
      <x:c r="D58" s="6" t="inlineStr">
        <x:is>
          <x:t xml:space="preserve">PVD-10</x:t>
        </x:is>
      </x:c>
      <x:c r="E58" s="6" t="inlineStr">
        <x:is>
          <x:t xml:space="preserve">PVD-11</x:t>
        </x:is>
      </x:c>
      <x:c r="F58" s="6" t="inlineStr">
        <x:is>
          <x:t xml:space="preserve">PEAD</x:t>
        </x:is>
      </x:c>
      <x:c r="G58" s="6" t="n">
        <x:v>450</x:v>
      </x:c>
      <x:c r="H58" s="6" t="inlineStr">
        <x:is>
          <x:t xml:space="preserve">Método Não Destrutivo - MND</x:t>
        </x:is>
      </x:c>
      <x:c r="I58" s="7" t="n">
        <x:v>34.1</x:v>
      </x:c>
      <x:c r="J58" s="7" t="n">
        <x:v>5.4</x:v>
      </x:c>
      <x:c r="K58" s="7" t="n">
        <x:v>5.3</x:v>
      </x:c>
      <x:c r="L58" s="7" t="n">
        <x:v>5.41</x:v>
      </x:c>
      <x:c r="M58" s="6" t="inlineStr">
        <x:is>
          <x:t xml:space="preserve">concluída</x:t>
        </x:is>
      </x:c>
      <x:c r="N58" s="6" t="inlineStr">
        <x:is>
          <x:t xml:space="preserve">10.CT AGUA VERMELHA MD_PVD-10 AO PVD-11.pdf</x:t>
        </x:is>
      </x:c>
      <x:c r="O58" s="7" t="n">
        <x:v>-23.5175596</x:v>
      </x:c>
      <x:c r="P58" s="7" t="n">
        <x:v>-46.4161695</x:v>
      </x:c>
      <x:c r="Q58" s="7" t="n">
        <x:v>-23.517822</x:v>
      </x:c>
      <x:c r="R58" s="7" t="n">
        <x:v>-46.4159948</x:v>
      </x:c>
    </x:row>
    <x:row r="59">
      <x:c r="A59" s="6" t="inlineStr">
        <x:is>
          <x:t xml:space="preserve">agua_md</x:t>
        </x:is>
      </x:c>
      <x:c r="B59" s="6" t="inlineStr">
        <x:is>
          <x:t xml:space="preserve">AVMD-011</x:t>
        </x:is>
      </x:c>
      <x:c r="C59" s="6" t="inlineStr">
        <x:is>
          <x:t xml:space="preserve">PVD-11 - PVD-12</x:t>
        </x:is>
      </x:c>
      <x:c r="D59" s="6" t="inlineStr">
        <x:is>
          <x:t xml:space="preserve">PVD-11</x:t>
        </x:is>
      </x:c>
      <x:c r="E59" s="6" t="inlineStr">
        <x:is>
          <x:t xml:space="preserve">PVD-12</x:t>
        </x:is>
      </x:c>
      <x:c r="F59" s="6" t="inlineStr">
        <x:is>
          <x:t xml:space="preserve">PEAD</x:t>
        </x:is>
      </x:c>
      <x:c r="G59" s="6" t="n">
        <x:v>450</x:v>
      </x:c>
      <x:c r="H59" s="6" t="inlineStr">
        <x:is>
          <x:t xml:space="preserve">Método Não Destrutivo - MND</x:t>
        </x:is>
      </x:c>
      <x:c r="I59" s="7" t="n">
        <x:v>35.72</x:v>
      </x:c>
      <x:c r="J59" s="7" t="n">
        <x:v>5.3</x:v>
      </x:c>
      <x:c r="K59" s="7" t="n">
        <x:v>5.77</x:v>
      </x:c>
      <x:c r="L59" s="7" t="n">
        <x:v>5.77</x:v>
      </x:c>
      <x:c r="M59" s="6" t="inlineStr">
        <x:is>
          <x:t xml:space="preserve">concluída</x:t>
        </x:is>
      </x:c>
      <x:c r="N59" s="6" t="inlineStr">
        <x:is>
          <x:t xml:space="preserve">10.CT AGUA VERMELHA MD_PVD-11 AO PVD-12.pdf</x:t>
        </x:is>
      </x:c>
      <x:c r="O59" s="7" t="n">
        <x:v>-23.517822</x:v>
      </x:c>
      <x:c r="P59" s="7" t="n">
        <x:v>-46.4159948</x:v>
      </x:c>
      <x:c r="Q59" s="7" t="n">
        <x:v>-23.5180987</x:v>
      </x:c>
      <x:c r="R59" s="7" t="n">
        <x:v>-46.4158149</x:v>
      </x:c>
    </x:row>
    <x:row r="60">
      <x:c r="A60" s="6" t="inlineStr">
        <x:is>
          <x:t xml:space="preserve">agua_md</x:t>
        </x:is>
      </x:c>
      <x:c r="B60" s="6" t="inlineStr">
        <x:is>
          <x:t xml:space="preserve">AVMD-012</x:t>
        </x:is>
      </x:c>
      <x:c r="C60" s="6" t="inlineStr">
        <x:is>
          <x:t xml:space="preserve">PVD-12 - PVD-13</x:t>
        </x:is>
      </x:c>
      <x:c r="D60" s="6" t="inlineStr">
        <x:is>
          <x:t xml:space="preserve">PVD-12</x:t>
        </x:is>
      </x:c>
      <x:c r="E60" s="6" t="inlineStr">
        <x:is>
          <x:t xml:space="preserve">PVD-13</x:t>
        </x:is>
      </x:c>
      <x:c r="F60" s="6" t="inlineStr">
        <x:is>
          <x:t xml:space="preserve">PEAD</x:t>
        </x:is>
      </x:c>
      <x:c r="G60" s="6" t="n">
        <x:v>450</x:v>
      </x:c>
      <x:c r="H60" s="6" t="inlineStr">
        <x:is>
          <x:t xml:space="preserve">Método Não Destrutivo - MND</x:t>
        </x:is>
      </x:c>
      <x:c r="I60" s="7" t="n">
        <x:v>34.41</x:v>
      </x:c>
      <x:c r="J60" s="7" t="n">
        <x:v>5.77</x:v>
      </x:c>
      <x:c r="K60" s="7" t="n">
        <x:v>5.7</x:v>
      </x:c>
      <x:c r="L60" s="7" t="n">
        <x:v>5.8</x:v>
      </x:c>
      <x:c r="M60" s="6" t="inlineStr">
        <x:is>
          <x:t xml:space="preserve">concluída</x:t>
        </x:is>
      </x:c>
      <x:c r="N60" s="6" t="inlineStr">
        <x:is>
          <x:t xml:space="preserve">10.CT AGUA VERMELHA MD_PVD-12 AO PVD-13.pdf</x:t>
        </x:is>
      </x:c>
      <x:c r="O60" s="7" t="n">
        <x:v>-23.5180987</x:v>
      </x:c>
      <x:c r="P60" s="7" t="n">
        <x:v>-46.4158149</x:v>
      </x:c>
      <x:c r="Q60" s="7" t="n">
        <x:v>-23.5183638</x:v>
      </x:c>
      <x:c r="R60" s="7" t="n">
        <x:v>-46.4156391</x:v>
      </x:c>
    </x:row>
    <x:row r="61">
      <x:c r="A61" s="6" t="inlineStr">
        <x:is>
          <x:t xml:space="preserve">agua_md</x:t>
        </x:is>
      </x:c>
      <x:c r="B61" s="6" t="inlineStr">
        <x:is>
          <x:t xml:space="preserve">AVMD-013</x:t>
        </x:is>
      </x:c>
      <x:c r="C61" s="6" t="inlineStr">
        <x:is>
          <x:t xml:space="preserve">PVD-13 - PVD-14</x:t>
        </x:is>
      </x:c>
      <x:c r="D61" s="6" t="inlineStr">
        <x:is>
          <x:t xml:space="preserve">PVD-13</x:t>
        </x:is>
      </x:c>
      <x:c r="E61" s="6" t="inlineStr">
        <x:is>
          <x:t xml:space="preserve">PVD-14</x:t>
        </x:is>
      </x:c>
      <x:c r="F61" s="6" t="inlineStr">
        <x:is>
          <x:t xml:space="preserve">PEAD</x:t>
        </x:is>
      </x:c>
      <x:c r="G61" s="6" t="n">
        <x:v>450</x:v>
      </x:c>
      <x:c r="H61" s="6" t="inlineStr">
        <x:is>
          <x:t xml:space="preserve">Método Não Destrutivo - MND</x:t>
        </x:is>
      </x:c>
      <x:c r="I61" s="7" t="n">
        <x:v>47.44</x:v>
      </x:c>
      <x:c r="J61" s="7" t="n">
        <x:v>5.7</x:v>
      </x:c>
      <x:c r="K61" s="7" t="n">
        <x:v>5.85</x:v>
      </x:c>
      <x:c r="L61" s="7" t="n">
        <x:v>5.96</x:v>
      </x:c>
      <x:c r="M61" s="6" t="inlineStr">
        <x:is>
          <x:t xml:space="preserve">concluída</x:t>
        </x:is>
      </x:c>
      <x:c r="N61" s="6" t="inlineStr">
        <x:is>
          <x:t xml:space="preserve">11.CT AGUA VERMELHA MD_PVD-13 AO PVD-14.pdf</x:t>
        </x:is>
      </x:c>
      <x:c r="O61" s="7" t="n">
        <x:v>-23.5183638</x:v>
      </x:c>
      <x:c r="P61" s="7" t="n">
        <x:v>-46.4156391</x:v>
      </x:c>
      <x:c r="Q61" s="7" t="n">
        <x:v>-23.5187039</x:v>
      </x:c>
      <x:c r="R61" s="7" t="n">
        <x:v>-46.4153284</x:v>
      </x:c>
    </x:row>
    <x:row r="62">
      <x:c r="A62" s="6" t="inlineStr">
        <x:is>
          <x:t xml:space="preserve">agua_md</x:t>
        </x:is>
      </x:c>
      <x:c r="B62" s="6" t="inlineStr">
        <x:is>
          <x:t xml:space="preserve">AVMD-014</x:t>
        </x:is>
      </x:c>
      <x:c r="C62" s="6" t="inlineStr">
        <x:is>
          <x:t xml:space="preserve">PVD-14 - PVD-16</x:t>
        </x:is>
      </x:c>
      <x:c r="D62" s="6" t="inlineStr">
        <x:is>
          <x:t xml:space="preserve">PVD-14</x:t>
        </x:is>
      </x:c>
      <x:c r="E62" s="6" t="inlineStr">
        <x:is>
          <x:t xml:space="preserve">PVD-16</x:t>
        </x:is>
      </x:c>
      <x:c r="F62" s="6" t="inlineStr">
        <x:is>
          <x:t xml:space="preserve">PEAD</x:t>
        </x:is>
      </x:c>
      <x:c r="G62" s="6" t="n">
        <x:v>450</x:v>
      </x:c>
      <x:c r="H62" s="6" t="inlineStr">
        <x:is>
          <x:t xml:space="preserve">Método Não Destrutivo - MND</x:t>
        </x:is>
      </x:c>
      <x:c r="I62" s="7" t="n">
        <x:v>67.05</x:v>
      </x:c>
      <x:c r="J62" s="7" t="n">
        <x:v>5.85</x:v>
      </x:c>
      <x:c r="K62" s="7" t="n">
        <x:v>5.6</x:v>
      </x:c>
      <x:c r="L62" s="7" t="n">
        <x:v>5.87</x:v>
      </x:c>
      <x:c r="M62" s="6" t="inlineStr">
        <x:is>
          <x:t xml:space="preserve">concluída</x:t>
        </x:is>
      </x:c>
      <x:c r="N62" s="6" t="inlineStr">
        <x:is>
          <x:t xml:space="preserve">11.CT AGUA VERMELHA MD_PVD-14 AO PVD-16.pdf</x:t>
        </x:is>
      </x:c>
      <x:c r="O62" s="7" t="n">
        <x:v>-23.5187039</x:v>
      </x:c>
      <x:c r="P62" s="7" t="n">
        <x:v>-46.4153284</x:v>
      </x:c>
      <x:c r="Q62" s="7" t="n">
        <x:v>-23.5191096</x:v>
      </x:c>
      <x:c r="R62" s="7" t="n">
        <x:v>-46.4146424</x:v>
      </x:c>
    </x:row>
    <x:row r="63">
      <x:c r="A63" s="6" t="inlineStr">
        <x:is>
          <x:t xml:space="preserve">agua_md</x:t>
        </x:is>
      </x:c>
      <x:c r="B63" s="6" t="inlineStr">
        <x:is>
          <x:t xml:space="preserve">AVMD-015</x:t>
        </x:is>
      </x:c>
      <x:c r="C63" s="6" t="inlineStr">
        <x:is>
          <x:t xml:space="preserve">PVD-16 - PVD-17</x:t>
        </x:is>
      </x:c>
      <x:c r="D63" s="6" t="inlineStr">
        <x:is>
          <x:t xml:space="preserve">PVD-16</x:t>
        </x:is>
      </x:c>
      <x:c r="E63" s="6" t="inlineStr">
        <x:is>
          <x:t xml:space="preserve">PVD-17</x:t>
        </x:is>
      </x:c>
      <x:c r="F63" s="6" t="inlineStr">
        <x:is>
          <x:t xml:space="preserve">PEAD</x:t>
        </x:is>
      </x:c>
      <x:c r="G63" s="6" t="n">
        <x:v>450</x:v>
      </x:c>
      <x:c r="H63" s="6" t="inlineStr">
        <x:is>
          <x:t xml:space="preserve">Método Não Destrutivo - MND</x:t>
        </x:is>
      </x:c>
      <x:c r="I63" s="7" t="n">
        <x:v>65.45</x:v>
      </x:c>
      <x:c r="J63" s="7" t="n">
        <x:v>5.6</x:v>
      </x:c>
      <x:c r="K63" s="7" t="n">
        <x:v>4.75</x:v>
      </x:c>
      <x:c r="L63" s="7" t="n">
        <x:v>5.71</x:v>
      </x:c>
      <x:c r="M63" s="6" t="inlineStr">
        <x:is>
          <x:t xml:space="preserve">concluída</x:t>
        </x:is>
      </x:c>
      <x:c r="N63" s="6" t="inlineStr">
        <x:is>
          <x:t xml:space="preserve">12.CT AGUA VERMELHA MD_PVD-16 AO PVD-17.pdf</x:t>
        </x:is>
      </x:c>
      <x:c r="O63" s="7" t="n">
        <x:v>-23.5191096</x:v>
      </x:c>
      <x:c r="P63" s="7" t="n">
        <x:v>-46.4146424</x:v>
      </x:c>
      <x:c r="Q63" s="7" t="n">
        <x:v>-23.5195629</x:v>
      </x:c>
      <x:c r="R63" s="7" t="n">
        <x:v>-46.4150489</x:v>
      </x:c>
    </x:row>
    <x:row r="64">
      <x:c r="A64" s="6" t="inlineStr">
        <x:is>
          <x:t xml:space="preserve">agua_md</x:t>
        </x:is>
      </x:c>
      <x:c r="B64" s="6" t="inlineStr">
        <x:is>
          <x:t xml:space="preserve">AVMD-016</x:t>
        </x:is>
      </x:c>
      <x:c r="C64" s="6" t="inlineStr">
        <x:is>
          <x:t xml:space="preserve">PVD-17 - PVD-18</x:t>
        </x:is>
      </x:c>
      <x:c r="D64" s="6" t="inlineStr">
        <x:is>
          <x:t xml:space="preserve">PVD-17</x:t>
        </x:is>
      </x:c>
      <x:c r="E64" s="6" t="inlineStr">
        <x:is>
          <x:t xml:space="preserve">PVD-18</x:t>
        </x:is>
      </x:c>
      <x:c r="F64" s="6" t="inlineStr">
        <x:is>
          <x:t xml:space="preserve">PEAD</x:t>
        </x:is>
      </x:c>
      <x:c r="G64" s="6" t="n">
        <x:v>450</x:v>
      </x:c>
      <x:c r="H64" s="6" t="inlineStr">
        <x:is>
          <x:t xml:space="preserve">Método Não Destrutivo - MND</x:t>
        </x:is>
      </x:c>
      <x:c r="I64" s="7" t="n">
        <x:v>20.35</x:v>
      </x:c>
      <x:c r="J64" s="7" t="n">
        <x:v>4.75</x:v>
      </x:c>
      <x:c r="K64" s="7" t="n">
        <x:v>4.15</x:v>
      </x:c>
      <x:c r="L64" s="7" t="n">
        <x:v>4.75</x:v>
      </x:c>
      <x:c r="M64" s="6" t="inlineStr">
        <x:is>
          <x:t xml:space="preserve">concluída</x:t>
        </x:is>
      </x:c>
      <x:c r="N64" s="6" t="inlineStr">
        <x:is>
          <x:t xml:space="preserve">12.CT AGUA VERMELHA MD_PVD-17 AO PVD-18.pdf</x:t>
        </x:is>
      </x:c>
      <x:c r="O64" s="7" t="n">
        <x:v>-23.5195629</x:v>
      </x:c>
      <x:c r="P64" s="7" t="n">
        <x:v>-46.4150489</x:v>
      </x:c>
      <x:c r="Q64" s="7" t="n">
        <x:v>-23.5197067</x:v>
      </x:c>
      <x:c r="R64" s="7" t="n">
        <x:v>-46.4151731</x:v>
      </x:c>
    </x:row>
    <x:row r="65">
      <x:c r="A65" s="6" t="inlineStr">
        <x:is>
          <x:t xml:space="preserve">agua_md</x:t>
        </x:is>
      </x:c>
      <x:c r="B65" s="6" t="inlineStr">
        <x:is>
          <x:t xml:space="preserve">AVMD-017</x:t>
        </x:is>
      </x:c>
      <x:c r="C65" s="6" t="inlineStr">
        <x:is>
          <x:t xml:space="preserve">PVD-18 - PVD-19</x:t>
        </x:is>
      </x:c>
      <x:c r="D65" s="6" t="inlineStr">
        <x:is>
          <x:t xml:space="preserve">PVD-18</x:t>
        </x:is>
      </x:c>
      <x:c r="E65" s="6" t="inlineStr">
        <x:is>
          <x:t xml:space="preserve">PVD-19</x:t>
        </x:is>
      </x:c>
      <x:c r="F65" s="6" t="inlineStr">
        <x:is>
          <x:t xml:space="preserve">PEAD</x:t>
        </x:is>
      </x:c>
      <x:c r="G65" s="6" t="n">
        <x:v>450</x:v>
      </x:c>
      <x:c r="H65" s="6" t="inlineStr">
        <x:is>
          <x:t xml:space="preserve">Método Não Destrutivo - MND</x:t>
        </x:is>
      </x:c>
      <x:c r="I65" s="7" t="n">
        <x:v>43.87</x:v>
      </x:c>
      <x:c r="J65" s="7" t="n">
        <x:v>4.2</x:v>
      </x:c>
      <x:c r="K65" s="7" t="n">
        <x:v>3.3</x:v>
      </x:c>
      <x:c r="L65" s="7" t="n">
        <x:v>4.2</x:v>
      </x:c>
      <x:c r="M65" s="6" t="inlineStr">
        <x:is>
          <x:t xml:space="preserve">concluída</x:t>
        </x:is>
      </x:c>
      <x:c r="N65" s="6" t="inlineStr">
        <x:is>
          <x:t xml:space="preserve">12.CT AGUA VERMELHA MD_PVD-18 AO PVD-19.pdf</x:t>
        </x:is>
      </x:c>
      <x:c r="O65" s="7" t="n">
        <x:v>-23.5197067</x:v>
      </x:c>
      <x:c r="P65" s="7" t="n">
        <x:v>-46.4151731</x:v>
      </x:c>
      <x:c r="Q65" s="7" t="n">
        <x:v>-23.5200465</x:v>
      </x:c>
      <x:c r="R65" s="7" t="n">
        <x:v>-46.4153941</x:v>
      </x:c>
    </x:row>
    <x:row r="66">
      <x:c r="A66" s="6" t="inlineStr">
        <x:is>
          <x:t xml:space="preserve">agua_md</x:t>
        </x:is>
      </x:c>
      <x:c r="B66" s="6" t="inlineStr">
        <x:is>
          <x:t xml:space="preserve">AVMD-018</x:t>
        </x:is>
      </x:c>
      <x:c r="C66" s="6" t="inlineStr">
        <x:is>
          <x:t xml:space="preserve">PVD-07 - PI-D7.3</x:t>
        </x:is>
      </x:c>
      <x:c r="D66" s="6" t="inlineStr">
        <x:is>
          <x:t xml:space="preserve">PVD-07</x:t>
        </x:is>
      </x:c>
      <x:c r="E66" s="6" t="inlineStr">
        <x:is>
          <x:t xml:space="preserve">PI-D7.3</x:t>
        </x:is>
      </x:c>
      <x:c r="F66" s="6" t="inlineStr">
        <x:is>
          <x:t xml:space="preserve">PEAD</x:t>
        </x:is>
      </x:c>
      <x:c r="G66" s="6" t="n">
        <x:v>225</x:v>
      </x:c>
      <x:c r="H66" s="6" t="inlineStr">
        <x:is>
          <x:t xml:space="preserve">Método Não Destrutivo - MND</x:t>
        </x:is>
      </x:c>
      <x:c r="I66" s="7" t="n">
        <x:v>56.06</x:v>
      </x:c>
      <x:c r="J66" s="7" t="n">
        <x:v>4.7</x:v>
      </x:c>
      <x:c r="K66" s="7" t="n">
        <x:v>1.5</x:v>
      </x:c>
      <x:c r="L66" s="7" t="n">
        <x:v>4.7</x:v>
      </x:c>
      <x:c r="M66" s="6" t="inlineStr">
        <x:is>
          <x:t xml:space="preserve">concluída</x:t>
        </x:is>
      </x:c>
      <x:c r="N66" s="6" t="inlineStr">
        <x:is>
          <x:t xml:space="preserve">13.CT AGUA VERMELHA MD_PVD-07 AO PI-D07.3.pdf</x:t>
        </x:is>
      </x:c>
      <x:c r="O66" s="7" t="n">
        <x:v>-23.5167619</x:v>
      </x:c>
      <x:c r="P66" s="7" t="n">
        <x:v>-46.416679</x:v>
      </x:c>
      <x:c r="Q66" s="7" t="n">
        <x:v>-23.5169806</x:v>
      </x:c>
      <x:c r="R66" s="7" t="n">
        <x:v>-46.4171725</x:v>
      </x:c>
    </x:row>
    <x:row r="67">
      <x:c r="A67" s="6" t="inlineStr">
        <x:is>
          <x:t xml:space="preserve">agua_md</x:t>
        </x:is>
      </x:c>
      <x:c r="B67" s="6" t="inlineStr">
        <x:is>
          <x:t xml:space="preserve">AVMD-019</x:t>
        </x:is>
      </x:c>
      <x:c r="C67" s="6" t="inlineStr">
        <x:is>
          <x:t xml:space="preserve">PVD-10 - PV-D10.1</x:t>
        </x:is>
      </x:c>
      <x:c r="D67" s="6" t="inlineStr">
        <x:is>
          <x:t xml:space="preserve">PVD-10</x:t>
        </x:is>
      </x:c>
      <x:c r="E67" s="6" t="inlineStr">
        <x:is>
          <x:t xml:space="preserve">PV-D10.1</x:t>
        </x:is>
      </x:c>
      <x:c r="F67" s="6" t="inlineStr">
        <x:is>
          <x:t xml:space="preserve">PEAD</x:t>
        </x:is>
      </x:c>
      <x:c r="G67" s="6" t="n">
        <x:v>225</x:v>
      </x:c>
      <x:c r="H67" s="6" t="inlineStr">
        <x:is>
          <x:t xml:space="preserve">Método Não Destrutivo - MND</x:t>
        </x:is>
      </x:c>
      <x:c r="I67" s="7" t="n">
        <x:v>28.69</x:v>
      </x:c>
      <x:c r="J67" s="7" t="n">
        <x:v>4.6</x:v>
      </x:c>
      <x:c r="K67" s="7" t="n">
        <x:v>2.8</x:v>
      </x:c>
      <x:c r="L67" s="7" t="n">
        <x:v>4.6</x:v>
      </x:c>
      <x:c r="M67" s="6" t="inlineStr">
        <x:is>
          <x:t xml:space="preserve">concluída</x:t>
        </x:is>
      </x:c>
      <x:c r="N67" s="6" t="inlineStr">
        <x:is>
          <x:t xml:space="preserve">FL.19.CT AGUA VERMELHA MD_PVD-10 AO PVD-10.1.pdf</x:t>
        </x:is>
      </x:c>
      <x:c r="O67" s="7" t="n">
        <x:v>-23.5175596</x:v>
      </x:c>
      <x:c r="P67" s="7" t="n">
        <x:v>-46.4161695</x:v>
      </x:c>
      <x:c r="Q67" s="7" t="n">
        <x:v>-23.5176744</x:v>
      </x:c>
      <x:c r="R67" s="7" t="n">
        <x:v>-46.4164241</x:v>
      </x:c>
    </x:row>
    <x:row r="68">
      <x:c r="A68" s="6" t="inlineStr">
        <x:is>
          <x:t xml:space="preserve">agua_md</x:t>
        </x:is>
      </x:c>
      <x:c r="B68" s="6" t="inlineStr">
        <x:is>
          <x:t xml:space="preserve">AVMD-020</x:t>
        </x:is>
      </x:c>
      <x:c r="C68" s="6" t="inlineStr">
        <x:is>
          <x:t xml:space="preserve">PV-D10.1 - PID-10.2</x:t>
        </x:is>
      </x:c>
      <x:c r="D68" s="6" t="inlineStr">
        <x:is>
          <x:t xml:space="preserve">PV-D10.1</x:t>
        </x:is>
      </x:c>
      <x:c r="E68" s="6" t="inlineStr">
        <x:is>
          <x:t xml:space="preserve">PID-10.2</x:t>
        </x:is>
      </x:c>
      <x:c r="F68" s="6" t="inlineStr">
        <x:is>
          <x:t xml:space="preserve">PEAD</x:t>
        </x:is>
      </x:c>
      <x:c r="G68" s="6" t="n">
        <x:v>225</x:v>
      </x:c>
      <x:c r="H68" s="6" t="inlineStr">
        <x:is>
          <x:t xml:space="preserve">Método Não Destrutivo - MND</x:t>
        </x:is>
      </x:c>
      <x:c r="I68" s="7" t="n">
        <x:v>19.75</x:v>
      </x:c>
      <x:c r="J68" s="7" t="n">
        <x:v>2.8</x:v>
      </x:c>
      <x:c r="K68" s="7" t="n">
        <x:v>1.95</x:v>
      </x:c>
      <x:c r="L68" s="7" t="n">
        <x:v>2.8</x:v>
      </x:c>
      <x:c r="M68" s="6" t="inlineStr">
        <x:is>
          <x:t xml:space="preserve">concluída</x:t>
        </x:is>
      </x:c>
      <x:c r="N68" s="6" t="inlineStr">
        <x:is>
          <x:t xml:space="preserve">FL.20.CT AGUA VERMELHA MD_PVD-10.1 AO PID-10.2.pdf</x:t>
        </x:is>
      </x:c>
      <x:c r="O68" s="7" t="n">
        <x:v>-23.5176744</x:v>
      </x:c>
      <x:c r="P68" s="7" t="n">
        <x:v>-46.4164241</x:v>
      </x:c>
      <x:c r="Q68" s="7" t="n">
        <x:v>-23.517768</x:v>
      </x:c>
      <x:c r="R68" s="7" t="n">
        <x:v>-46.4165888</x:v>
      </x:c>
    </x:row>
    <x:row r="69">
      <x:c r="A69" s="6" t="inlineStr">
        <x:is>
          <x:t xml:space="preserve">agua_md</x:t>
        </x:is>
      </x:c>
      <x:c r="B69" s="6" t="inlineStr">
        <x:is>
          <x:t xml:space="preserve">AVMD-021</x:t>
        </x:is>
      </x:c>
      <x:c r="C69" s="6" t="inlineStr">
        <x:is>
          <x:t xml:space="preserve">PVD-13 - PVD-13.1</x:t>
        </x:is>
      </x:c>
      <x:c r="D69" s="6" t="inlineStr">
        <x:is>
          <x:t xml:space="preserve">PVD-13</x:t>
        </x:is>
      </x:c>
      <x:c r="E69" s="6" t="inlineStr">
        <x:is>
          <x:t xml:space="preserve">PVD-13.1</x:t>
        </x:is>
      </x:c>
      <x:c r="F69" s="6" t="inlineStr">
        <x:is>
          <x:t xml:space="preserve">PEAD</x:t>
        </x:is>
      </x:c>
      <x:c r="G69" s="6" t="n">
        <x:v>225</x:v>
      </x:c>
      <x:c r="H69" s="6" t="inlineStr">
        <x:is>
          <x:t xml:space="preserve">Método Não Destrutivo - MND</x:t>
        </x:is>
      </x:c>
      <x:c r="I69" s="7" t="n">
        <x:v>27.71</x:v>
      </x:c>
      <x:c r="J69" s="7" t="n">
        <x:v>3.8</x:v>
      </x:c>
      <x:c r="K69" s="7" t="n">
        <x:v>2.1</x:v>
      </x:c>
      <x:c r="L69" s="7" t="n">
        <x:v>3.8</x:v>
      </x:c>
      <x:c r="M69" s="6" t="inlineStr">
        <x:is>
          <x:t xml:space="preserve">concluída</x:t>
        </x:is>
      </x:c>
      <x:c r="N69" s="6" t="inlineStr">
        <x:is>
          <x:t xml:space="preserve">FL.21.CT AGUA VERMELHA MD_PVD-13 AO PVD-13.1.pdf</x:t>
        </x:is>
      </x:c>
      <x:c r="O69" s="7" t="n">
        <x:v>-23.5183638</x:v>
      </x:c>
      <x:c r="P69" s="7" t="n">
        <x:v>-46.4156391</x:v>
      </x:c>
      <x:c r="Q69" s="7" t="n">
        <x:v>-23.5184887</x:v>
      </x:c>
      <x:c r="R69" s="7" t="n">
        <x:v>-46.4158784</x:v>
      </x:c>
    </x:row>
    <x:row r="70">
      <x:c r="A70" s="6" t="inlineStr">
        <x:is>
          <x:t xml:space="preserve">agua_md</x:t>
        </x:is>
      </x:c>
      <x:c r="B70" s="6" t="inlineStr">
        <x:is>
          <x:t xml:space="preserve">AVMD-022</x:t>
        </x:is>
      </x:c>
      <x:c r="C70" s="6" t="inlineStr">
        <x:is>
          <x:t xml:space="preserve">PVD-06 - PVD-06.1</x:t>
        </x:is>
      </x:c>
      <x:c r="D70" s="6" t="inlineStr">
        <x:is>
          <x:t xml:space="preserve">PVD-06</x:t>
        </x:is>
      </x:c>
      <x:c r="E70" s="6" t="inlineStr">
        <x:is>
          <x:t xml:space="preserve">PVD-06.1</x:t>
        </x:is>
      </x:c>
      <x:c r="F70" s="6" t="inlineStr">
        <x:is>
          <x:t xml:space="preserve">PEAD</x:t>
        </x:is>
      </x:c>
      <x:c r="G70" s="6" t="n">
        <x:v>225</x:v>
      </x:c>
      <x:c r="H70" s="6" t="inlineStr">
        <x:is>
          <x:t xml:space="preserve">Método Não Destrutivo - MND</x:t>
        </x:is>
      </x:c>
      <x:c r="I70" s="7" t="n">
        <x:v>34.29</x:v>
      </x:c>
      <x:c r="J70" s="6" t="n">
        <x:v>3</x:v>
      </x:c>
      <x:c r="K70" s="7" t="n">
        <x:v>2.7</x:v>
      </x:c>
      <x:c r="L70" s="6" t="n">
        <x:v>3</x:v>
      </x:c>
      <x:c r="M70" s="6" t="inlineStr">
        <x:is>
          <x:t xml:space="preserve">concluída</x:t>
        </x:is>
      </x:c>
      <x:c r="N70" s="6" t="inlineStr">
        <x:is>
          <x:t xml:space="preserve">FL.22.CT AGUA VERMELHA MD_PVD-06 AO PVD-06.1.pdf</x:t>
        </x:is>
      </x:c>
      <x:c r="O70" s="7" t="n">
        <x:v>-23.5161952</x:v>
      </x:c>
      <x:c r="P70" s="7" t="n">
        <x:v>-46.4169114</x:v>
      </x:c>
      <x:c r="Q70" s="7" t="n">
        <x:v>-23.5163277</x:v>
      </x:c>
      <x:c r="R70" s="7" t="n">
        <x:v>-46.417215</x:v>
      </x:c>
    </x:row>
    <x:row r="71">
      <x:c r="A71" s="6" t="inlineStr">
        <x:is>
          <x:t xml:space="preserve">agua_boa</x:t>
        </x:is>
      </x:c>
      <x:c r="B71" s="6" t="inlineStr">
        <x:is>
          <x:t xml:space="preserve">ABOA-001</x:t>
        </x:is>
      </x:c>
      <x:c r="C71" s="6" t="inlineStr">
        <x:is>
          <x:t xml:space="preserve">PVE-01 - PV-03</x:t>
        </x:is>
      </x:c>
      <x:c r="D71" s="6" t="inlineStr">
        <x:is>
          <x:t xml:space="preserve">PVE-01</x:t>
        </x:is>
      </x:c>
      <x:c r="E71" s="6" t="inlineStr">
        <x:is>
          <x:t xml:space="preserve">PV-03</x:t>
        </x:is>
      </x:c>
      <x:c r="F71" s="6" t="inlineStr">
        <x:is>
          <x:t xml:space="preserve">PEAD</x:t>
        </x:is>
      </x:c>
      <x:c r="G71" s="6" t="n">
        <x:v>355</x:v>
      </x:c>
      <x:c r="H71" s="6" t="inlineStr">
        <x:is>
          <x:t xml:space="preserve">Método Não Destrutivo - MND</x:t>
        </x:is>
      </x:c>
      <x:c r="I71" s="7" t="n">
        <x:v>78.08</x:v>
      </x:c>
      <x:c r="J71" s="7" t="n">
        <x:v>2.4</x:v>
      </x:c>
      <x:c r="K71" s="7" t="n">
        <x:v>3.5</x:v>
      </x:c>
      <x:c r="L71" s="7" t="n">
        <x:v>3.5</x:v>
      </x:c>
      <x:c r="M71" s="6" t="inlineStr">
        <x:is>
          <x:t xml:space="preserve">concluída</x:t>
        </x:is>
      </x:c>
      <x:c r="N71" s="6" t="inlineStr">
        <x:is>
          <x:t xml:space="preserve">FL.01.PLANO DE FURO_AGUA_BOA_PVE-01 AO PV-03.pdf</x:t>
        </x:is>
      </x:c>
      <x:c r="O71" s="7" t="n">
        <x:v>-23.5250641</x:v>
      </x:c>
      <x:c r="P71" s="7" t="n">
        <x:v>-46.4163198</x:v>
      </x:c>
      <x:c r="Q71" s="7" t="n">
        <x:v>-23.5257678</x:v>
      </x:c>
      <x:c r="R71" s="7" t="n">
        <x:v>-46.4163253</x:v>
      </x:c>
    </x:row>
    <x:row r="72">
      <x:c r="A72" s="6" t="inlineStr">
        <x:is>
          <x:t xml:space="preserve">agua_boa</x:t>
        </x:is>
      </x:c>
      <x:c r="B72" s="6" t="inlineStr">
        <x:is>
          <x:t xml:space="preserve">ABOA-002</x:t>
        </x:is>
      </x:c>
      <x:c r="C72" s="6" t="inlineStr">
        <x:is>
          <x:t xml:space="preserve">PV-03 - PV-04</x:t>
        </x:is>
      </x:c>
      <x:c r="D72" s="6" t="inlineStr">
        <x:is>
          <x:t xml:space="preserve">PV-03</x:t>
        </x:is>
      </x:c>
      <x:c r="E72" s="6" t="inlineStr">
        <x:is>
          <x:t xml:space="preserve">PV-04</x:t>
        </x:is>
      </x:c>
      <x:c r="F72" s="6" t="inlineStr">
        <x:is>
          <x:t xml:space="preserve">PEAD</x:t>
        </x:is>
      </x:c>
      <x:c r="G72" s="6" t="n">
        <x:v>355</x:v>
      </x:c>
      <x:c r="H72" s="6" t="inlineStr">
        <x:is>
          <x:t xml:space="preserve">Método Não Destrutivo - MND</x:t>
        </x:is>
      </x:c>
      <x:c r="I72" s="7" t="n">
        <x:v>30.79</x:v>
      </x:c>
      <x:c r="J72" s="7" t="n">
        <x:v>3.5</x:v>
      </x:c>
      <x:c r="K72" s="6" t="n">
        <x:v>2</x:v>
      </x:c>
      <x:c r="L72" s="7" t="n">
        <x:v>3.5</x:v>
      </x:c>
      <x:c r="M72" s="6" t="inlineStr">
        <x:is>
          <x:t xml:space="preserve">concluída</x:t>
        </x:is>
      </x:c>
      <x:c r="N72" s="6" t="inlineStr">
        <x:is>
          <x:t xml:space="preserve">FL.02.PLANO DE FURO_AGUA_BOA_PV-03 AO PV-04.pdf</x:t>
        </x:is>
      </x:c>
      <x:c r="O72" s="7" t="n">
        <x:v>-23.5257678</x:v>
      </x:c>
      <x:c r="P72" s="7" t="n">
        <x:v>-46.4163253</x:v>
      </x:c>
      <x:c r="Q72" s="7" t="n">
        <x:v>-23.5258094</x:v>
      </x:c>
      <x:c r="R72" s="7" t="n">
        <x:v>-46.4160365</x:v>
      </x:c>
    </x:row>
    <x:row r="73">
      <x:c r="A73" s="6" t="inlineStr">
        <x:is>
          <x:t xml:space="preserve">pacheco</x:t>
        </x:is>
      </x:c>
      <x:c r="B73" s="6" t="inlineStr">
        <x:is>
          <x:t xml:space="preserve">PACH-001</x:t>
        </x:is>
      </x:c>
      <x:c r="C73" s="6" t="inlineStr">
        <x:is>
          <x:t xml:space="preserve">PV-00 - PV-02</x:t>
        </x:is>
      </x:c>
      <x:c r="D73" s="6" t="inlineStr">
        <x:is>
          <x:t xml:space="preserve">PV-00</x:t>
        </x:is>
      </x:c>
      <x:c r="E73" s="6" t="inlineStr">
        <x:is>
          <x:t xml:space="preserve">PV-02</x:t>
        </x:is>
      </x:c>
      <x:c r="F73" s="6" t="inlineStr">
        <x:is>
          <x:t xml:space="preserve">PEAD</x:t>
        </x:is>
      </x:c>
      <x:c r="G73" s="6" t="n">
        <x:v>355</x:v>
      </x:c>
      <x:c r="H73" s="6" t="inlineStr">
        <x:is>
          <x:t xml:space="preserve">Método Não Destrutivo - MND</x:t>
        </x:is>
      </x:c>
      <x:c r="I73" s="7" t="n">
        <x:v>65.70099999999999</x:v>
      </x:c>
      <x:c r="J73" s="7" t="n">
        <x:v>2.1</x:v>
      </x:c>
      <x:c r="K73" s="7" t="n">
        <x:v>6.5</x:v>
      </x:c>
      <x:c r="L73" s="7" t="n">
        <x:v>6.5</x:v>
      </x:c>
      <x:c r="M73" s="6" t="inlineStr">
        <x:is>
          <x:t xml:space="preserve">concluída</x:t>
        </x:is>
      </x:c>
      <x:c r="N73" s="6" t="inlineStr">
        <x:is>
          <x:t xml:space="preserve">01.RCE PACHECO JORDÃO_PV-00 AO PV-02.pdf</x:t>
        </x:is>
      </x:c>
      <x:c r="O73" s="7" t="n">
        <x:v>-23.494913</x:v>
      </x:c>
      <x:c r="P73" s="7" t="n">
        <x:v>-46.3858496</x:v>
      </x:c>
      <x:c r="Q73" s="7" t="n">
        <x:v>-23.4953506</x:v>
      </x:c>
      <x:c r="R73" s="7" t="n">
        <x:v>-46.3862839</x:v>
      </x:c>
    </x:row>
    <x:row r="74">
      <x:c r="A74" s="6" t="inlineStr">
        <x:is>
          <x:t xml:space="preserve">pacheco</x:t>
        </x:is>
      </x:c>
      <x:c r="B74" s="6" t="inlineStr">
        <x:is>
          <x:t xml:space="preserve">PACH-002</x:t>
        </x:is>
      </x:c>
      <x:c r="C74" s="6" t="inlineStr">
        <x:is>
          <x:t xml:space="preserve">PV-02 - PV-03</x:t>
        </x:is>
      </x:c>
      <x:c r="D74" s="6" t="inlineStr">
        <x:is>
          <x:t xml:space="preserve">PV-02</x:t>
        </x:is>
      </x:c>
      <x:c r="E74" s="6" t="inlineStr">
        <x:is>
          <x:t xml:space="preserve">PV-03</x:t>
        </x:is>
      </x:c>
      <x:c r="F74" s="6" t="inlineStr">
        <x:is>
          <x:t xml:space="preserve">PEAD</x:t>
        </x:is>
      </x:c>
      <x:c r="G74" s="6" t="n">
        <x:v>355</x:v>
      </x:c>
      <x:c r="H74" s="6" t="inlineStr">
        <x:is>
          <x:t xml:space="preserve">Método Não Destrutivo - MND</x:t>
        </x:is>
      </x:c>
      <x:c r="I74" s="7" t="n">
        <x:v>77.441</x:v>
      </x:c>
      <x:c r="J74" s="7" t="n">
        <x:v>6.5</x:v>
      </x:c>
      <x:c r="K74" s="7" t="n">
        <x:v>4.11</x:v>
      </x:c>
      <x:c r="L74" s="7" t="n">
        <x:v>6.5</x:v>
      </x:c>
      <x:c r="M74" s="6" t="inlineStr">
        <x:is>
          <x:t xml:space="preserve">concluída</x:t>
        </x:is>
      </x:c>
      <x:c r="N74" s="6" t="inlineStr">
        <x:is>
          <x:t xml:space="preserve">02.RCE PACHECO JORDÃO_PV-02 AO PV-03.pdf</x:t>
        </x:is>
      </x:c>
      <x:c r="O74" s="7" t="n">
        <x:v>-23.4953506</x:v>
      </x:c>
      <x:c r="P74" s="7" t="n">
        <x:v>-46.3862839</x:v>
      </x:c>
      <x:c r="Q74" s="7" t="n">
        <x:v>-23.4957558</x:v>
      </x:c>
      <x:c r="R74" s="7" t="n">
        <x:v>-46.3856659</x:v>
      </x:c>
    </x:row>
    <x:row r="75">
      <x:c r="A75" s="6" t="inlineStr">
        <x:is>
          <x:t xml:space="preserve">pacheco</x:t>
        </x:is>
      </x:c>
      <x:c r="B75" s="6" t="inlineStr">
        <x:is>
          <x:t xml:space="preserve">PACH-003</x:t>
        </x:is>
      </x:c>
      <x:c r="C75" s="6" t="inlineStr">
        <x:is>
          <x:t xml:space="preserve">PV-03 - PV-04.1</x:t>
        </x:is>
      </x:c>
      <x:c r="D75" s="6" t="inlineStr">
        <x:is>
          <x:t xml:space="preserve">PV-03</x:t>
        </x:is>
      </x:c>
      <x:c r="E75" s="6" t="inlineStr">
        <x:is>
          <x:t xml:space="preserve">PV-04.1</x:t>
        </x:is>
      </x:c>
      <x:c r="F75" s="6" t="inlineStr">
        <x:is>
          <x:t xml:space="preserve">PEAD</x:t>
        </x:is>
      </x:c>
      <x:c r="G75" s="6" t="n">
        <x:v>355</x:v>
      </x:c>
      <x:c r="H75" s="6" t="inlineStr">
        <x:is>
          <x:t xml:space="preserve">Método Não Destrutivo - MND</x:t>
        </x:is>
      </x:c>
      <x:c r="I75" s="7" t="n">
        <x:v>68.29900000000001</x:v>
      </x:c>
      <x:c r="J75" s="7" t="n">
        <x:v>4.11</x:v>
      </x:c>
      <x:c r="K75" s="7" t="n">
        <x:v>2.95</x:v>
      </x:c>
      <x:c r="L75" s="7" t="n">
        <x:v>4.17</x:v>
      </x:c>
      <x:c r="M75" s="6" t="inlineStr">
        <x:is>
          <x:t xml:space="preserve">concluída</x:t>
        </x:is>
      </x:c>
      <x:c r="N75" s="6" t="inlineStr">
        <x:is>
          <x:t xml:space="preserve">03.RCE PACHECO JORDÃO_PV-03 AO PV-04.1.pdf</x:t>
        </x:is>
      </x:c>
      <x:c r="O75" s="7" t="n">
        <x:v>-23.4957558</x:v>
      </x:c>
      <x:c r="P75" s="7" t="n">
        <x:v>-46.3856659</x:v>
      </x:c>
      <x:c r="Q75" s="7" t="n">
        <x:v>-23.4961133</x:v>
      </x:c>
      <x:c r="R75" s="7" t="n">
        <x:v>-46.3851209</x:v>
      </x:c>
    </x:row>
    <x:row r="76">
      <x:c r="A76" s="6" t="inlineStr">
        <x:is>
          <x:t xml:space="preserve">luis_botelho</x:t>
        </x:is>
      </x:c>
      <x:c r="B76" s="6" t="inlineStr">
        <x:is>
          <x:t xml:space="preserve">LBM-001</x:t>
        </x:is>
      </x:c>
      <x:c r="C76" s="6" t="inlineStr">
        <x:is>
          <x:t xml:space="preserve">PV-04 - PV-05</x:t>
        </x:is>
      </x:c>
      <x:c r="D76" s="6" t="inlineStr">
        <x:is>
          <x:t xml:space="preserve">PV-04</x:t>
        </x:is>
      </x:c>
      <x:c r="E76" s="6" t="inlineStr">
        <x:is>
          <x:t xml:space="preserve">PV-05</x:t>
        </x:is>
      </x:c>
      <x:c r="F76" s="6" t="inlineStr">
        <x:is>
          <x:t xml:space="preserve">PEAD</x:t>
        </x:is>
      </x:c>
      <x:c r="G76" s="6" t="n">
        <x:v>355</x:v>
      </x:c>
      <x:c r="H76" s="6" t="inlineStr">
        <x:is>
          <x:t xml:space="preserve">Método Não Destrutivo - MND</x:t>
        </x:is>
      </x:c>
      <x:c r="I76" s="7" t="n">
        <x:v>71.84999999999999</x:v>
      </x:c>
      <x:c r="J76" s="7" t="n">
        <x:v>2.45</x:v>
      </x:c>
      <x:c r="K76" s="6" t="n">
        <x:v>2</x:v>
      </x:c>
      <x:c r="L76" s="7" t="n">
        <x:v>3.07</x:v>
      </x:c>
      <x:c r="M76" s="6" t="inlineStr">
        <x:is>
          <x:t xml:space="preserve">concluída</x:t>
        </x:is>
      </x:c>
      <x:c r="N76" s="6" t="inlineStr">
        <x:is>
          <x:t xml:space="preserve">CT LUIS BOTELHO MOURÃO - FL.01.PLANO DE FURO_PV-04 AO PV-05.pdf</x:t>
        </x:is>
      </x:c>
      <x:c r="O76" s="7" t="n">
        <x:v>-23.48322</x:v>
      </x:c>
      <x:c r="P76" s="7" t="n">
        <x:v>-46.3889245</x:v>
      </x:c>
      <x:c r="Q76" s="7" t="n">
        <x:v>-23.4829583</x:v>
      </x:c>
      <x:c r="R76" s="7" t="n">
        <x:v>-46.3882807</x:v>
      </x:c>
    </x:row>
    <x:row r="77">
      <x:c r="A77" s="6" t="inlineStr">
        <x:is>
          <x:t xml:space="preserve">luis_botelho</x:t>
        </x:is>
      </x:c>
      <x:c r="B77" s="6" t="inlineStr">
        <x:is>
          <x:t xml:space="preserve">LBM-002</x:t>
        </x:is>
      </x:c>
      <x:c r="C77" s="6" t="inlineStr">
        <x:is>
          <x:t xml:space="preserve">PV-05 - PV-06</x:t>
        </x:is>
      </x:c>
      <x:c r="D77" s="6" t="inlineStr">
        <x:is>
          <x:t xml:space="preserve">PV-05</x:t>
        </x:is>
      </x:c>
      <x:c r="E77" s="6" t="inlineStr">
        <x:is>
          <x:t xml:space="preserve">PV-06</x:t>
        </x:is>
      </x:c>
      <x:c r="F77" s="6" t="inlineStr">
        <x:is>
          <x:t xml:space="preserve">PEAD</x:t>
        </x:is>
      </x:c>
      <x:c r="G77" s="6" t="n">
        <x:v>355</x:v>
      </x:c>
      <x:c r="H77" s="6" t="inlineStr">
        <x:is>
          <x:t xml:space="preserve">Método Não Destrutivo - MND</x:t>
        </x:is>
      </x:c>
      <x:c r="I77" s="7" t="n">
        <x:v>76.40000000000001</x:v>
      </x:c>
      <x:c r="J77" s="6" t="n">
        <x:v>2</x:v>
      </x:c>
      <x:c r="K77" s="6" t="n">
        <x:v>4</x:v>
      </x:c>
      <x:c r="L77" s="6" t="n">
        <x:v>4</x:v>
      </x:c>
      <x:c r="M77" s="6" t="inlineStr">
        <x:is>
          <x:t xml:space="preserve">concluída</x:t>
        </x:is>
      </x:c>
      <x:c r="N77" s="6" t="inlineStr">
        <x:is>
          <x:t xml:space="preserve">CT LUIS BOTELHO MOURÃO - FL.02.PLANO DE FURO_PV-05 AO PV-06.pdf</x:t>
        </x:is>
      </x:c>
      <x:c r="O77" s="7" t="n">
        <x:v>-23.4829583</x:v>
      </x:c>
      <x:c r="P77" s="7" t="n">
        <x:v>-46.3882807</x:v>
      </x:c>
      <x:c r="Q77" s="7" t="n">
        <x:v>-23.4835271</x:v>
      </x:c>
      <x:c r="R77" s="7" t="n">
        <x:v>-46.3878549</x:v>
      </x:c>
    </x:row>
    <x:row r="78">
      <x:c r="A78" s="6" t="inlineStr">
        <x:is>
          <x:t xml:space="preserve">luis_botelho</x:t>
        </x:is>
      </x:c>
      <x:c r="B78" s="6" t="inlineStr">
        <x:is>
          <x:t xml:space="preserve">LBM-003</x:t>
        </x:is>
      </x:c>
      <x:c r="C78" s="6" t="inlineStr">
        <x:is>
          <x:t xml:space="preserve">PV-06 - PV-07</x:t>
        </x:is>
      </x:c>
      <x:c r="D78" s="6" t="inlineStr">
        <x:is>
          <x:t xml:space="preserve">PV-06</x:t>
        </x:is>
      </x:c>
      <x:c r="E78" s="6" t="inlineStr">
        <x:is>
          <x:t xml:space="preserve">PV-07</x:t>
        </x:is>
      </x:c>
      <x:c r="F78" s="6" t="inlineStr">
        <x:is>
          <x:t xml:space="preserve">PEAD</x:t>
        </x:is>
      </x:c>
      <x:c r="G78" s="6" t="n">
        <x:v>355</x:v>
      </x:c>
      <x:c r="H78" s="6" t="inlineStr">
        <x:is>
          <x:t xml:space="preserve">Método Não Destrutivo - MND</x:t>
        </x:is>
      </x:c>
      <x:c r="I78" s="7" t="n">
        <x:v>49.49</x:v>
      </x:c>
      <x:c r="J78" s="6" t="n">
        <x:v>4</x:v>
      </x:c>
      <x:c r="K78" s="7" t="n">
        <x:v>5.7</x:v>
      </x:c>
      <x:c r="L78" s="7" t="n">
        <x:v>5.7</x:v>
      </x:c>
      <x:c r="M78" s="6" t="inlineStr">
        <x:is>
          <x:t xml:space="preserve">concluída</x:t>
        </x:is>
      </x:c>
      <x:c r="N78" s="6" t="inlineStr">
        <x:is>
          <x:t xml:space="preserve">CT LUIS BOTELHO MOURÃO - FL.03.PLANO DE FURO_PV-06 AO PV-07.pdf</x:t>
        </x:is>
      </x:c>
      <x:c r="O78" s="7" t="n">
        <x:v>-23.4835271</x:v>
      </x:c>
      <x:c r="P78" s="7" t="n">
        <x:v>-46.3878549</x:v>
      </x:c>
      <x:c r="Q78" s="7" t="n">
        <x:v>-23.4838882</x:v>
      </x:c>
      <x:c r="R78" s="7" t="n">
        <x:v>-46.3875693</x:v>
      </x:c>
    </x:row>
    <x:row r="79">
      <x:c r="A79" s="6" t="inlineStr">
        <x:is>
          <x:t xml:space="preserve">luis_botelho</x:t>
        </x:is>
      </x:c>
      <x:c r="B79" s="6" t="inlineStr">
        <x:is>
          <x:t xml:space="preserve">LBM-004</x:t>
        </x:is>
      </x:c>
      <x:c r="C79" s="6" t="inlineStr">
        <x:is>
          <x:t xml:space="preserve">PV-02 - PV-04</x:t>
        </x:is>
      </x:c>
      <x:c r="D79" s="6" t="inlineStr">
        <x:is>
          <x:t xml:space="preserve">PV-02</x:t>
        </x:is>
      </x:c>
      <x:c r="E79" s="6" t="inlineStr">
        <x:is>
          <x:t xml:space="preserve">PV-04</x:t>
        </x:is>
      </x:c>
      <x:c r="F79" s="6" t="inlineStr">
        <x:is>
          <x:t xml:space="preserve">PEAD</x:t>
        </x:is>
      </x:c>
      <x:c r="G79" s="6" t="n">
        <x:v>355</x:v>
      </x:c>
      <x:c r="H79" s="6" t="inlineStr">
        <x:is>
          <x:t xml:space="preserve">Método Não Destrutivo - MND</x:t>
        </x:is>
      </x:c>
      <x:c r="I79" s="7" t="n">
        <x:v>158.17</x:v>
      </x:c>
      <x:c r="J79" s="7" t="n">
        <x:v>3.05</x:v>
      </x:c>
      <x:c r="K79" s="7" t="n">
        <x:v>2.45</x:v>
      </x:c>
      <x:c r="L79" s="7" t="n">
        <x:v>3.06</x:v>
      </x:c>
      <x:c r="M79" s="6" t="inlineStr">
        <x:is>
          <x:t xml:space="preserve">concluída</x:t>
        </x:is>
      </x:c>
      <x:c r="N79" s="6" t="inlineStr">
        <x:is>
          <x:t xml:space="preserve">CT LUIS BOTELHO MOURÃO - FL.04.PLANO DE FURO_PV-02 AO PV-04.pdf</x:t>
        </x:is>
      </x:c>
      <x:c r="O79" s="7" t="n">
        <x:v>-23.482268</x:v>
      </x:c>
      <x:c r="P79" s="7" t="n">
        <x:v>-46.3900765</x:v>
      </x:c>
      <x:c r="Q79" s="7" t="n">
        <x:v>-23.48322</x:v>
      </x:c>
      <x:c r="R79" s="7" t="n">
        <x:v>-46.3889245</x:v>
      </x:c>
    </x:row>
    <x:row r="80">
      <x:c r="A80" s="6" t="inlineStr">
        <x:is>
          <x:t xml:space="preserve">luis_botelho</x:t>
        </x:is>
      </x:c>
      <x:c r="B80" s="6" t="inlineStr">
        <x:is>
          <x:t xml:space="preserve">LBM-005</x:t>
        </x:is>
      </x:c>
      <x:c r="C80" s="6" t="inlineStr">
        <x:is>
          <x:t xml:space="preserve">PV-07 - PV-08</x:t>
        </x:is>
      </x:c>
      <x:c r="D80" s="6" t="inlineStr">
        <x:is>
          <x:t xml:space="preserve">PV-07</x:t>
        </x:is>
      </x:c>
      <x:c r="E80" s="6" t="inlineStr">
        <x:is>
          <x:t xml:space="preserve">PV-08</x:t>
        </x:is>
      </x:c>
      <x:c r="F80" s="6" t="inlineStr">
        <x:is>
          <x:t xml:space="preserve">PEAD</x:t>
        </x:is>
      </x:c>
      <x:c r="G80" s="6" t="n">
        <x:v>355</x:v>
      </x:c>
      <x:c r="H80" s="6" t="inlineStr">
        <x:is>
          <x:t xml:space="preserve">Método Não Destrutivo - MND</x:t>
        </x:is>
      </x:c>
      <x:c r="I80" s="7" t="n">
        <x:v>61.95</x:v>
      </x:c>
      <x:c r="J80" s="7" t="n">
        <x:v>5.7</x:v>
      </x:c>
      <x:c r="K80" s="7" t="n">
        <x:v>2.9</x:v>
      </x:c>
      <x:c r="L80" s="7" t="n">
        <x:v>5.7</x:v>
      </x:c>
      <x:c r="M80" s="6" t="inlineStr">
        <x:is>
          <x:t xml:space="preserve">concluída</x:t>
        </x:is>
      </x:c>
      <x:c r="N80" s="6" t="inlineStr">
        <x:is>
          <x:t xml:space="preserve">CT LUIS BOTELHO MOURÃO - FL.05.PLANO DE FURO_PV-07 AO PV-08_R02.pdf</x:t>
        </x:is>
      </x:c>
      <x:c r="O80" s="7" t="n">
        <x:v>-23.4838882</x:v>
      </x:c>
      <x:c r="P80" s="7" t="n">
        <x:v>-46.3875693</x:v>
      </x:c>
      <x:c r="Q80" s="7" t="n">
        <x:v>-23.484219</x:v>
      </x:c>
      <x:c r="R80" s="7" t="n">
        <x:v>-46.3880585</x:v>
      </x:c>
    </x:row>
    <x:row r="81">
      <x:c r="A81" s="6" t="inlineStr">
        <x:is>
          <x:t xml:space="preserve">lageado_montante_bl54_55_56</x:t>
        </x:is>
      </x:c>
      <x:c r="B81" s="6" t="inlineStr">
        <x:is>
          <x:t xml:space="preserve">LAG-001</x:t>
        </x:is>
      </x:c>
      <x:c r="C81" s="6" t="inlineStr">
        <x:is>
          <x:t xml:space="preserve">PV-01A - PV-01B</x:t>
        </x:is>
      </x:c>
      <x:c r="D81" s="6" t="inlineStr">
        <x:is>
          <x:t xml:space="preserve">PV-01A</x:t>
        </x:is>
      </x:c>
      <x:c r="E81" s="6" t="inlineStr">
        <x:is>
          <x:t xml:space="preserve">PV-01B</x:t>
        </x:is>
      </x:c>
      <x:c r="F81" s="6" t="inlineStr">
        <x:is>
          <x:t xml:space="preserve">PEAD</x:t>
        </x:is>
      </x:c>
      <x:c r="G81" s="6" t="n">
        <x:v>355</x:v>
      </x:c>
      <x:c r="H81" s="6" t="inlineStr">
        <x:is>
          <x:t xml:space="preserve">Método Não Destrutivo - MND</x:t>
        </x:is>
      </x:c>
      <x:c r="I81" s="7" t="n">
        <x:v>56.22</x:v>
      </x:c>
      <x:c r="J81" s="6" t="n">
        <x:v>2</x:v>
      </x:c>
      <x:c r="K81" s="7" t="n">
        <x:v>1.69</x:v>
      </x:c>
      <x:c r="L81" s="6" t="n">
        <x:v>2</x:v>
      </x:c>
      <x:c r="M81" s="6" t="inlineStr">
        <x:is>
          <x:t xml:space="preserve">concluída</x:t>
        </x:is>
      </x:c>
      <x:c r="N81" s="6" t="inlineStr">
        <x:is>
          <x:t xml:space="preserve">Gerado a partir do PDF CONFERÊNCIA.TRECH.pdf</x:t>
        </x:is>
      </x:c>
      <x:c r="O81" s="7" t="n">
        <x:v>-23.5326278916049</x:v>
      </x:c>
      <x:c r="P81" s="7" t="n">
        <x:v>-46.39464968890753</x:v>
      </x:c>
      <x:c r="Q81" s="7" t="n">
        <x:v>-23.53312000459179</x:v>
      </x:c>
      <x:c r="R81" s="7" t="n">
        <x:v>-46.39451412647354</x:v>
      </x:c>
    </x:row>
    <x:row r="82">
      <x:c r="A82" s="6" t="inlineStr">
        <x:is>
          <x:t xml:space="preserve">lageado_montante_bl54_55_56</x:t>
        </x:is>
      </x:c>
      <x:c r="B82" s="6" t="inlineStr">
        <x:is>
          <x:t xml:space="preserve">LAG-002</x:t>
        </x:is>
      </x:c>
      <x:c r="C82" s="6" t="inlineStr">
        <x:is>
          <x:t xml:space="preserve">PV-01B - PV-01C</x:t>
        </x:is>
      </x:c>
      <x:c r="D82" s="6" t="inlineStr">
        <x:is>
          <x:t xml:space="preserve">PV-01B</x:t>
        </x:is>
      </x:c>
      <x:c r="E82" s="6" t="inlineStr">
        <x:is>
          <x:t xml:space="preserve">PV-01C</x:t>
        </x:is>
      </x:c>
      <x:c r="F82" s="6" t="inlineStr">
        <x:is>
          <x:t xml:space="preserve">PEAD</x:t>
        </x:is>
      </x:c>
      <x:c r="G82" s="6" t="n">
        <x:v>355</x:v>
      </x:c>
      <x:c r="H82" s="6" t="inlineStr">
        <x:is>
          <x:t xml:space="preserve">Método Não Destrutivo - MND</x:t>
        </x:is>
      </x:c>
      <x:c r="I82" s="7" t="n">
        <x:v>39.88</x:v>
      </x:c>
      <x:c r="J82" s="7" t="n">
        <x:v>1.39</x:v>
      </x:c>
      <x:c r="K82" s="7" t="n">
        <x:v>1.35</x:v>
      </x:c>
      <x:c r="L82" s="7" t="n">
        <x:v>1.39</x:v>
      </x:c>
      <x:c r="M82" s="6" t="inlineStr">
        <x:is>
          <x:t xml:space="preserve">concluída</x:t>
        </x:is>
      </x:c>
      <x:c r="N82" s="6" t="inlineStr">
        <x:is>
          <x:t xml:space="preserve">Gerado a partir do PDF CONFERÊNCIA.TRECH.pdf</x:t>
        </x:is>
      </x:c>
      <x:c r="O82" s="7" t="n">
        <x:v>-23.53312000459179</x:v>
      </x:c>
      <x:c r="P82" s="7" t="n">
        <x:v>-46.39451412647354</x:v>
      </x:c>
      <x:c r="Q82" s="7" t="n">
        <x:v>-23.53346577729172</x:v>
      </x:c>
      <x:c r="R82" s="7" t="n">
        <x:v>-46.39440497485721</x:v>
      </x:c>
    </x:row>
    <x:row r="83">
      <x:c r="A83" s="6" t="inlineStr">
        <x:is>
          <x:t xml:space="preserve">lageado_montante_bl54_55_56</x:t>
        </x:is>
      </x:c>
      <x:c r="B83" s="6" t="inlineStr">
        <x:is>
          <x:t xml:space="preserve">LAG-003</x:t>
        </x:is>
      </x:c>
      <x:c r="C83" s="6" t="inlineStr">
        <x:is>
          <x:t xml:space="preserve">PV-01C - PV-01D</x:t>
        </x:is>
      </x:c>
      <x:c r="D83" s="6" t="inlineStr">
        <x:is>
          <x:t xml:space="preserve">PV-01C</x:t>
        </x:is>
      </x:c>
      <x:c r="E83" s="6" t="inlineStr">
        <x:is>
          <x:t xml:space="preserve">PV-01D</x:t>
        </x:is>
      </x:c>
      <x:c r="F83" s="6" t="inlineStr">
        <x:is>
          <x:t xml:space="preserve">PEAD</x:t>
        </x:is>
      </x:c>
      <x:c r="G83" s="6" t="n">
        <x:v>355</x:v>
      </x:c>
      <x:c r="H83" s="6" t="inlineStr">
        <x:is>
          <x:t xml:space="preserve">Método Não Destrutivo - MND</x:t>
        </x:is>
      </x:c>
      <x:c r="I83" s="7" t="n">
        <x:v>67.84999999999999</x:v>
      </x:c>
      <x:c r="J83" s="7" t="n">
        <x:v>1.35</x:v>
      </x:c>
      <x:c r="K83" s="7" t="n">
        <x:v>1.93</x:v>
      </x:c>
      <x:c r="L83" s="7" t="n">
        <x:v>1.93</x:v>
      </x:c>
      <x:c r="M83" s="6" t="inlineStr">
        <x:is>
          <x:t xml:space="preserve">concluída</x:t>
        </x:is>
      </x:c>
      <x:c r="N83" s="6" t="inlineStr">
        <x:is>
          <x:t xml:space="preserve">Gerado a partir do PDF CONFERÊNCIA.TRECH.pdf</x:t>
        </x:is>
      </x:c>
      <x:c r="O83" s="7" t="n">
        <x:v>-23.53346577729172</x:v>
      </x:c>
      <x:c r="P83" s="7" t="n">
        <x:v>-46.39440497485721</x:v>
      </x:c>
      <x:c r="Q83" s="7" t="n">
        <x:v>-23.53404573562335</x:v>
      </x:c>
      <x:c r="R83" s="7" t="n">
        <x:v>-46.39419068518728</x:v>
      </x:c>
    </x:row>
    <x:row r="84">
      <x:c r="A84" s="6" t="inlineStr">
        <x:is>
          <x:t xml:space="preserve">lageado_montante_bl54_55_56</x:t>
        </x:is>
      </x:c>
      <x:c r="B84" s="6" t="inlineStr">
        <x:is>
          <x:t xml:space="preserve">LAG-004</x:t>
        </x:is>
      </x:c>
      <x:c r="C84" s="6" t="inlineStr">
        <x:is>
          <x:t xml:space="preserve">PV-01D - PV-01E</x:t>
        </x:is>
      </x:c>
      <x:c r="D84" s="6" t="inlineStr">
        <x:is>
          <x:t xml:space="preserve">PV-01D</x:t>
        </x:is>
      </x:c>
      <x:c r="E84" s="6" t="inlineStr">
        <x:is>
          <x:t xml:space="preserve">PV-01E</x:t>
        </x:is>
      </x:c>
      <x:c r="F84" s="6" t="inlineStr">
        <x:is>
          <x:t xml:space="preserve">PEAD</x:t>
        </x:is>
      </x:c>
      <x:c r="G84" s="6" t="n">
        <x:v>355</x:v>
      </x:c>
      <x:c r="H84" s="6" t="inlineStr">
        <x:is>
          <x:t xml:space="preserve">Método Não Destrutivo - MND</x:t>
        </x:is>
      </x:c>
      <x:c r="I84" s="7" t="n">
        <x:v>64.77</x:v>
      </x:c>
      <x:c r="J84" s="7" t="n">
        <x:v>1.93</x:v>
      </x:c>
      <x:c r="K84" s="7" t="n">
        <x:v>2.22</x:v>
      </x:c>
      <x:c r="L84" s="7" t="n">
        <x:v>2.22</x:v>
      </x:c>
      <x:c r="M84" s="6" t="inlineStr">
        <x:is>
          <x:t xml:space="preserve">concluída</x:t>
        </x:is>
      </x:c>
      <x:c r="N84" s="6" t="inlineStr">
        <x:is>
          <x:t xml:space="preserve">Gerado a partir do PDF CONFERÊNCIA.TRECH.pdf</x:t>
        </x:is>
      </x:c>
      <x:c r="O84" s="7" t="n">
        <x:v>-23.53404573562335</x:v>
      </x:c>
      <x:c r="P84" s="7" t="n">
        <x:v>-46.39419068518728</x:v>
      </x:c>
      <x:c r="Q84" s="7" t="n">
        <x:v>-23.53454910944457</x:v>
      </x:c>
      <x:c r="R84" s="7" t="n">
        <x:v>-46.39386767658851</x:v>
      </x:c>
    </x:row>
    <x:row r="85">
      <x:c r="A85" s="6" t="inlineStr">
        <x:is>
          <x:t xml:space="preserve">lageado_montante_bl54_55_56</x:t>
        </x:is>
      </x:c>
      <x:c r="B85" s="6" t="inlineStr">
        <x:is>
          <x:t xml:space="preserve">LAG-005</x:t>
        </x:is>
      </x:c>
      <x:c r="C85" s="6" t="inlineStr">
        <x:is>
          <x:t xml:space="preserve">PV-01E - PV-01</x:t>
        </x:is>
      </x:c>
      <x:c r="D85" s="6" t="inlineStr">
        <x:is>
          <x:t xml:space="preserve">PV-01E</x:t>
        </x:is>
      </x:c>
      <x:c r="E85" s="6" t="inlineStr">
        <x:is>
          <x:t xml:space="preserve">PV-01</x:t>
        </x:is>
      </x:c>
      <x:c r="F85" s="6" t="inlineStr">
        <x:is>
          <x:t xml:space="preserve">PEAD</x:t>
        </x:is>
      </x:c>
      <x:c r="G85" s="6" t="n">
        <x:v>355</x:v>
      </x:c>
      <x:c r="H85" s="6" t="inlineStr">
        <x:is>
          <x:t xml:space="preserve">Método Não Destrutivo - MND</x:t>
        </x:is>
      </x:c>
      <x:c r="I85" s="7" t="n">
        <x:v>17.82</x:v>
      </x:c>
      <x:c r="J85" s="7" t="n">
        <x:v>1.84</x:v>
      </x:c>
      <x:c r="K85" s="7" t="n">
        <x:v>2.44</x:v>
      </x:c>
      <x:c r="L85" s="7" t="n">
        <x:v>2.44</x:v>
      </x:c>
      <x:c r="M85" s="6" t="inlineStr">
        <x:is>
          <x:t xml:space="preserve">concluída</x:t>
        </x:is>
      </x:c>
      <x:c r="N85" s="6" t="inlineStr">
        <x:is>
          <x:t xml:space="preserve">Gerado a partir do PDF CONFERÊNCIA.TRECH.pdf</x:t>
        </x:is>
      </x:c>
      <x:c r="O85" s="7" t="n">
        <x:v>-23.53454910944457</x:v>
      </x:c>
      <x:c r="P85" s="7" t="n">
        <x:v>-46.39386767658851</x:v>
      </x:c>
      <x:c r="Q85" s="7" t="n">
        <x:v>-23.53466869634124</x:v>
      </x:c>
      <x:c r="R85" s="7" t="n">
        <x:v>-46.39375090848446</x:v>
      </x:c>
    </x:row>
    <x:row r="86">
      <x:c r="A86" s="6" t="inlineStr">
        <x:is>
          <x:t xml:space="preserve">lageado_montante_bl54_55_56</x:t>
        </x:is>
      </x:c>
      <x:c r="B86" s="6" t="inlineStr">
        <x:is>
          <x:t xml:space="preserve">LAG-006</x:t>
        </x:is>
      </x:c>
      <x:c r="C86" s="6" t="inlineStr">
        <x:is>
          <x:t xml:space="preserve">PV-01 - PV-03</x:t>
        </x:is>
      </x:c>
      <x:c r="D86" s="6" t="inlineStr">
        <x:is>
          <x:t xml:space="preserve">PV-01</x:t>
        </x:is>
      </x:c>
      <x:c r="E86" s="6" t="inlineStr">
        <x:is>
          <x:t xml:space="preserve">PV-03</x:t>
        </x:is>
      </x:c>
      <x:c r="F86" s="6" t="inlineStr">
        <x:is>
          <x:t xml:space="preserve">PEAD</x:t>
        </x:is>
      </x:c>
      <x:c r="G86" s="6" t="n">
        <x:v>355</x:v>
      </x:c>
      <x:c r="H86" s="6" t="inlineStr">
        <x:is>
          <x:t xml:space="preserve">Método Não Destrutivo - MND</x:t>
        </x:is>
      </x:c>
      <x:c r="I86" s="7" t="n">
        <x:v>96.02</x:v>
      </x:c>
      <x:c r="J86" s="7" t="n">
        <x:v>2.44</x:v>
      </x:c>
      <x:c r="K86" s="7" t="n">
        <x:v>3.89</x:v>
      </x:c>
      <x:c r="L86" s="7" t="n">
        <x:v>3.89</x:v>
      </x:c>
      <x:c r="M86" s="6" t="inlineStr">
        <x:is>
          <x:t xml:space="preserve">concluída</x:t>
        </x:is>
      </x:c>
      <x:c r="N86" s="6" t="inlineStr">
        <x:is>
          <x:t xml:space="preserve">Gerado a partir do PDF CONFERÊNCIA.TRECH.pdf</x:t>
        </x:is>
      </x:c>
      <x:c r="O86" s="7" t="n">
        <x:v>-23.53466869634124</x:v>
      </x:c>
      <x:c r="P86" s="7" t="n">
        <x:v>-46.39375090848446</x:v>
      </x:c>
      <x:c r="Q86" s="7" t="n">
        <x:v>-23.53553578166015</x:v>
      </x:c>
      <x:c r="R86" s="7" t="n">
        <x:v>-46.3937548244613</x:v>
      </x:c>
    </x:row>
    <x:row r="87">
      <x:c r="A87" s="6" t="inlineStr">
        <x:is>
          <x:t xml:space="preserve">lageado_montante_bl54_55_56</x:t>
        </x:is>
      </x:c>
      <x:c r="B87" s="6" t="inlineStr">
        <x:is>
          <x:t xml:space="preserve">LAG-007</x:t>
        </x:is>
      </x:c>
      <x:c r="C87" s="6" t="inlineStr">
        <x:is>
          <x:t xml:space="preserve">PV-03 - PV-04</x:t>
        </x:is>
      </x:c>
      <x:c r="D87" s="6" t="inlineStr">
        <x:is>
          <x:t xml:space="preserve">PV-03</x:t>
        </x:is>
      </x:c>
      <x:c r="E87" s="6" t="inlineStr">
        <x:is>
          <x:t xml:space="preserve">PV-04</x:t>
        </x:is>
      </x:c>
      <x:c r="F87" s="6" t="inlineStr">
        <x:is>
          <x:t xml:space="preserve">PEAD</x:t>
        </x:is>
      </x:c>
      <x:c r="G87" s="6" t="n">
        <x:v>355</x:v>
      </x:c>
      <x:c r="H87" s="6" t="inlineStr">
        <x:is>
          <x:t xml:space="preserve">Método Não Destrutivo - MND</x:t>
        </x:is>
      </x:c>
      <x:c r="I87" s="7" t="n">
        <x:v>60.18</x:v>
      </x:c>
      <x:c r="J87" s="7" t="n">
        <x:v>3.89</x:v>
      </x:c>
      <x:c r="K87" s="7" t="n">
        <x:v>4.37</x:v>
      </x:c>
      <x:c r="L87" s="7" t="n">
        <x:v>4.37</x:v>
      </x:c>
      <x:c r="M87" s="6" t="inlineStr">
        <x:is>
          <x:t xml:space="preserve">concluída</x:t>
        </x:is>
      </x:c>
      <x:c r="N87" s="6" t="inlineStr">
        <x:is>
          <x:t xml:space="preserve">Gerado a partir do PDF CONFERÊNCIA.TRECH.pdf</x:t>
        </x:is>
      </x:c>
      <x:c r="O87" s="7" t="n">
        <x:v>-23.53553578166015</x:v>
      </x:c>
      <x:c r="P87" s="7" t="n">
        <x:v>-46.3937548244613</x:v>
      </x:c>
      <x:c r="Q87" s="7" t="n">
        <x:v>-23.53607455706142</x:v>
      </x:c>
      <x:c r="R87" s="7" t="n">
        <x:v>-46.39367774404879</x:v>
      </x:c>
    </x:row>
    <x:row r="88">
      <x:c r="A88" s="6" t="inlineStr">
        <x:is>
          <x:t xml:space="preserve">lageado_montante_bl54_55_56</x:t>
        </x:is>
      </x:c>
      <x:c r="B88" s="6" t="inlineStr">
        <x:is>
          <x:t xml:space="preserve">LAG-008</x:t>
        </x:is>
      </x:c>
      <x:c r="C88" s="6" t="inlineStr">
        <x:is>
          <x:t xml:space="preserve">PV-04 - PV-05</x:t>
        </x:is>
      </x:c>
      <x:c r="D88" s="6" t="inlineStr">
        <x:is>
          <x:t xml:space="preserve">PV-04</x:t>
        </x:is>
      </x:c>
      <x:c r="E88" s="6" t="inlineStr">
        <x:is>
          <x:t xml:space="preserve">PV-05</x:t>
        </x:is>
      </x:c>
      <x:c r="F88" s="6" t="inlineStr">
        <x:is>
          <x:t xml:space="preserve">PEAD</x:t>
        </x:is>
      </x:c>
      <x:c r="G88" s="6" t="n">
        <x:v>355</x:v>
      </x:c>
      <x:c r="H88" s="6" t="inlineStr">
        <x:is>
          <x:t xml:space="preserve">Método Não Destrutivo - MND</x:t>
        </x:is>
      </x:c>
      <x:c r="I88" s="7" t="n">
        <x:v>56.12</x:v>
      </x:c>
      <x:c r="J88" s="7" t="n">
        <x:v>3.32</x:v>
      </x:c>
      <x:c r="K88" s="7" t="n">
        <x:v>3.27</x:v>
      </x:c>
      <x:c r="L88" s="7" t="n">
        <x:v>3.32</x:v>
      </x:c>
      <x:c r="M88" s="6" t="inlineStr">
        <x:is>
          <x:t xml:space="preserve">concluída</x:t>
        </x:is>
      </x:c>
      <x:c r="N88" s="6" t="inlineStr">
        <x:is>
          <x:t xml:space="preserve">Gerado a partir do PDF CONFERÊNCIA.TRECH.pdf</x:t>
        </x:is>
      </x:c>
      <x:c r="O88" s="7" t="n">
        <x:v>-23.53607455706142</x:v>
      </x:c>
      <x:c r="P88" s="7" t="n">
        <x:v>-46.39367774404879</x:v>
      </x:c>
      <x:c r="Q88" s="7" t="n">
        <x:v>-23.5365812938391</x:v>
      </x:c>
      <x:c r="R88" s="7" t="n">
        <x:v>-46.3936698506046</x:v>
      </x:c>
    </x:row>
    <x:row r="89">
      <x:c r="A89" s="6" t="inlineStr">
        <x:is>
          <x:t xml:space="preserve">lageado_montante_bl54_55_56</x:t>
        </x:is>
      </x:c>
      <x:c r="B89" s="6" t="inlineStr">
        <x:is>
          <x:t xml:space="preserve">LAG-009</x:t>
        </x:is>
      </x:c>
      <x:c r="C89" s="6" t="inlineStr">
        <x:is>
          <x:t xml:space="preserve">PV-05 - PV-07</x:t>
        </x:is>
      </x:c>
      <x:c r="D89" s="6" t="inlineStr">
        <x:is>
          <x:t xml:space="preserve">PV-05</x:t>
        </x:is>
      </x:c>
      <x:c r="E89" s="6" t="inlineStr">
        <x:is>
          <x:t xml:space="preserve">PV-07</x:t>
        </x:is>
      </x:c>
      <x:c r="F89" s="6" t="inlineStr">
        <x:is>
          <x:t xml:space="preserve">PEAD</x:t>
        </x:is>
      </x:c>
      <x:c r="G89" s="6" t="n">
        <x:v>355</x:v>
      </x:c>
      <x:c r="H89" s="6" t="inlineStr">
        <x:is>
          <x:t xml:space="preserve">Método Não Destrutivo - MND</x:t>
        </x:is>
      </x:c>
      <x:c r="I89" s="7" t="n">
        <x:v>72.08</x:v>
      </x:c>
      <x:c r="J89" s="7" t="n">
        <x:v>3.27</x:v>
      </x:c>
      <x:c r="K89" s="6" t="n">
        <x:v>4</x:v>
      </x:c>
      <x:c r="L89" s="6" t="n">
        <x:v>4</x:v>
      </x:c>
      <x:c r="M89" s="6" t="inlineStr">
        <x:is>
          <x:t xml:space="preserve">concluída</x:t>
        </x:is>
      </x:c>
      <x:c r="N89" s="6" t="inlineStr">
        <x:is>
          <x:t xml:space="preserve">Gerado a partir do PDF CONFERÊNCIA.TRECH.pdf</x:t>
        </x:is>
      </x:c>
      <x:c r="O89" s="7" t="n">
        <x:v>-23.5365812938391</x:v>
      </x:c>
      <x:c r="P89" s="7" t="n">
        <x:v>-46.3936698506046</x:v>
      </x:c>
      <x:c r="Q89" s="7" t="n">
        <x:v>-23.5372304548352</x:v>
      </x:c>
      <x:c r="R89" s="7" t="n">
        <x:v>-46.3936179990968</x:v>
      </x:c>
    </x:row>
    <x:row r="90">
      <x:c r="A90" s="6" t="inlineStr">
        <x:is>
          <x:t xml:space="preserve">lageado_montante_bl54_55_56</x:t>
        </x:is>
      </x:c>
      <x:c r="B90" s="6" t="inlineStr">
        <x:is>
          <x:t xml:space="preserve">LAG-010</x:t>
        </x:is>
      </x:c>
      <x:c r="C90" s="6" t="inlineStr">
        <x:is>
          <x:t xml:space="preserve">PV-07 - PV-08</x:t>
        </x:is>
      </x:c>
      <x:c r="D90" s="6" t="inlineStr">
        <x:is>
          <x:t xml:space="preserve">PV-07</x:t>
        </x:is>
      </x:c>
      <x:c r="E90" s="6" t="inlineStr">
        <x:is>
          <x:t xml:space="preserve">PV-08</x:t>
        </x:is>
      </x:c>
      <x:c r="F90" s="6" t="inlineStr">
        <x:is>
          <x:t xml:space="preserve">PEAD</x:t>
        </x:is>
      </x:c>
      <x:c r="G90" s="6" t="n">
        <x:v>355</x:v>
      </x:c>
      <x:c r="H90" s="6" t="inlineStr">
        <x:is>
          <x:t xml:space="preserve">Método Não Destrutivo - MND</x:t>
        </x:is>
      </x:c>
      <x:c r="I90" s="7" t="n">
        <x:v>62.85</x:v>
      </x:c>
      <x:c r="J90" s="7" t="n">
        <x:v>3.92</x:v>
      </x:c>
      <x:c r="K90" s="7" t="n">
        <x:v>4.8</x:v>
      </x:c>
      <x:c r="L90" s="7" t="n">
        <x:v>4.8</x:v>
      </x:c>
      <x:c r="M90" s="6" t="inlineStr">
        <x:is>
          <x:t xml:space="preserve">concluída</x:t>
        </x:is>
      </x:c>
      <x:c r="N90" s="6" t="inlineStr">
        <x:is>
          <x:t xml:space="preserve">Gerado a partir do PDF CONFERÊNCIA.TRECH.pdf</x:t>
        </x:is>
      </x:c>
      <x:c r="O90" s="7" t="n">
        <x:v>-23.5372304548352</x:v>
      </x:c>
      <x:c r="P90" s="7" t="n">
        <x:v>-46.3936179990968</x:v>
      </x:c>
      <x:c r="Q90" s="7" t="n">
        <x:v>-23.53776999032625</x:v>
      </x:c>
      <x:c r="R90" s="7" t="n">
        <x:v>-46.39342680270682</x:v>
      </x:c>
    </x:row>
    <x:row r="91">
      <x:c r="A91" s="6" t="inlineStr">
        <x:is>
          <x:t xml:space="preserve">lageado_montante_bl54_55_56</x:t>
        </x:is>
      </x:c>
      <x:c r="B91" s="6" t="inlineStr">
        <x:is>
          <x:t xml:space="preserve">LAG-011</x:t>
        </x:is>
      </x:c>
      <x:c r="C91" s="6" t="inlineStr">
        <x:is>
          <x:t xml:space="preserve">PV-08 - PV-10</x:t>
        </x:is>
      </x:c>
      <x:c r="D91" s="6" t="inlineStr">
        <x:is>
          <x:t xml:space="preserve">PV-08</x:t>
        </x:is>
      </x:c>
      <x:c r="E91" s="6" t="inlineStr">
        <x:is>
          <x:t xml:space="preserve">PV-10</x:t>
        </x:is>
      </x:c>
      <x:c r="F91" s="6" t="inlineStr">
        <x:is>
          <x:t xml:space="preserve">PEAD</x:t>
        </x:is>
      </x:c>
      <x:c r="G91" s="6" t="n">
        <x:v>355</x:v>
      </x:c>
      <x:c r="H91" s="6" t="inlineStr">
        <x:is>
          <x:t xml:space="preserve">Método Não Destrutivo - MND</x:t>
        </x:is>
      </x:c>
      <x:c r="I91" s="7" t="n">
        <x:v>82.81999999999999</x:v>
      </x:c>
      <x:c r="J91" s="7" t="n">
        <x:v>4.74</x:v>
      </x:c>
      <x:c r="K91" s="7" t="n">
        <x:v>4.38</x:v>
      </x:c>
      <x:c r="L91" s="7" t="n">
        <x:v>4.74</x:v>
      </x:c>
      <x:c r="M91" s="6" t="inlineStr">
        <x:is>
          <x:t xml:space="preserve">concluída</x:t>
        </x:is>
      </x:c>
      <x:c r="N91" s="6" t="inlineStr">
        <x:is>
          <x:t xml:space="preserve">Gerado a partir do PDF CONFERÊNCIA.TRECH.pdf</x:t>
        </x:is>
      </x:c>
      <x:c r="O91" s="7" t="n">
        <x:v>-23.53776999032625</x:v>
      </x:c>
      <x:c r="P91" s="7" t="n">
        <x:v>-46.39342680270682</x:v>
      </x:c>
      <x:c r="Q91" s="7" t="n">
        <x:v>-23.53846179682679</x:v>
      </x:c>
      <x:c r="R91" s="7" t="n">
        <x:v>-46.39311866798782</x:v>
      </x:c>
    </x:row>
    <x:row r="92">
      <x:c r="A92" s="6" t="inlineStr">
        <x:is>
          <x:t xml:space="preserve">lageado_montante_bl54_55_56</x:t>
        </x:is>
      </x:c>
      <x:c r="B92" s="6" t="inlineStr">
        <x:is>
          <x:t xml:space="preserve">LAG-012</x:t>
        </x:is>
      </x:c>
      <x:c r="C92" s="6" t="inlineStr">
        <x:is>
          <x:t xml:space="preserve">PV-10 - PV-12</x:t>
        </x:is>
      </x:c>
      <x:c r="D92" s="6" t="inlineStr">
        <x:is>
          <x:t xml:space="preserve">PV-10</x:t>
        </x:is>
      </x:c>
      <x:c r="E92" s="6" t="inlineStr">
        <x:is>
          <x:t xml:space="preserve">PV-12</x:t>
        </x:is>
      </x:c>
      <x:c r="F92" s="6" t="inlineStr">
        <x:is>
          <x:t xml:space="preserve">PEAD</x:t>
        </x:is>
      </x:c>
      <x:c r="G92" s="6" t="n">
        <x:v>355</x:v>
      </x:c>
      <x:c r="H92" s="6" t="inlineStr">
        <x:is>
          <x:t xml:space="preserve">Método Não Destrutivo - MND</x:t>
        </x:is>
      </x:c>
      <x:c r="I92" s="7" t="n">
        <x:v>90.87</x:v>
      </x:c>
      <x:c r="J92" s="7" t="n">
        <x:v>4.3</x:v>
      </x:c>
      <x:c r="K92" s="7" t="n">
        <x:v>4.22</x:v>
      </x:c>
      <x:c r="L92" s="7" t="n">
        <x:v>4.3</x:v>
      </x:c>
      <x:c r="M92" s="6" t="inlineStr">
        <x:is>
          <x:t xml:space="preserve">concluída</x:t>
        </x:is>
      </x:c>
      <x:c r="N92" s="6" t="inlineStr">
        <x:is>
          <x:t xml:space="preserve">Gerado a partir do PDF CONFERÊNCIA.TRECH.pdf</x:t>
        </x:is>
      </x:c>
      <x:c r="O92" s="7" t="n">
        <x:v>-23.53846179682679</x:v>
      </x:c>
      <x:c r="P92" s="7" t="n">
        <x:v>-46.39311866798782</x:v>
      </x:c>
      <x:c r="Q92" s="7" t="n">
        <x:v>-23.53917773203096</x:v>
      </x:c>
      <x:c r="R92" s="7" t="n">
        <x:v>-46.39268360325681</x:v>
      </x:c>
    </x:row>
    <x:row r="93">
      <x:c r="A93" s="6" t="inlineStr">
        <x:is>
          <x:t xml:space="preserve">lageado_montante_bl54_55_56</x:t>
        </x:is>
      </x:c>
      <x:c r="B93" s="6" t="inlineStr">
        <x:is>
          <x:t xml:space="preserve">LAG-013</x:t>
        </x:is>
      </x:c>
      <x:c r="C93" s="6" t="inlineStr">
        <x:is>
          <x:t xml:space="preserve">PV-12 - PV-16</x:t>
        </x:is>
      </x:c>
      <x:c r="D93" s="6" t="inlineStr">
        <x:is>
          <x:t xml:space="preserve">PV-12</x:t>
        </x:is>
      </x:c>
      <x:c r="E93" s="6" t="inlineStr">
        <x:is>
          <x:t xml:space="preserve">PV-16</x:t>
        </x:is>
      </x:c>
      <x:c r="F93" s="6" t="inlineStr">
        <x:is>
          <x:t xml:space="preserve">PEAD</x:t>
        </x:is>
      </x:c>
      <x:c r="G93" s="6" t="n">
        <x:v>355</x:v>
      </x:c>
      <x:c r="H93" s="6" t="inlineStr">
        <x:is>
          <x:t xml:space="preserve">Método Não Destrutivo - MND</x:t>
        </x:is>
      </x:c>
      <x:c r="I93" s="7" t="n">
        <x:v>70.93000000000001</x:v>
      </x:c>
      <x:c r="J93" s="7" t="n">
        <x:v>4.22</x:v>
      </x:c>
      <x:c r="K93" s="7" t="n">
        <x:v>4.9</x:v>
      </x:c>
      <x:c r="L93" s="7" t="n">
        <x:v>4.9</x:v>
      </x:c>
      <x:c r="M93" s="6" t="inlineStr">
        <x:is>
          <x:t xml:space="preserve">concluída</x:t>
        </x:is>
      </x:c>
      <x:c r="N93" s="6" t="inlineStr">
        <x:is>
          <x:t xml:space="preserve">Gerado a partir do PDF CONFERÊNCIA.TRECH.pdf</x:t>
        </x:is>
      </x:c>
      <x:c r="O93" s="7" t="n">
        <x:v>-23.53917773203096</x:v>
      </x:c>
      <x:c r="P93" s="7" t="n">
        <x:v>-46.39268360325681</x:v>
      </x:c>
      <x:c r="Q93" s="7" t="n">
        <x:v>-23.53980921080421</x:v>
      </x:c>
      <x:c r="R93" s="7" t="n">
        <x:v>-46.39256709774173</x:v>
      </x:c>
    </x:row>
    <x:row r="94">
      <x:c r="A94" s="6" t="inlineStr">
        <x:is>
          <x:t xml:space="preserve">lageado_montante_bl54_55_56</x:t>
        </x:is>
      </x:c>
      <x:c r="B94" s="6" t="inlineStr">
        <x:is>
          <x:t xml:space="preserve">LAG-014</x:t>
        </x:is>
      </x:c>
      <x:c r="C94" s="6" t="inlineStr">
        <x:is>
          <x:t xml:space="preserve">PV-16 - PV-18</x:t>
        </x:is>
      </x:c>
      <x:c r="D94" s="6" t="inlineStr">
        <x:is>
          <x:t xml:space="preserve">PV-16</x:t>
        </x:is>
      </x:c>
      <x:c r="E94" s="6" t="inlineStr">
        <x:is>
          <x:t xml:space="preserve">PV-18</x:t>
        </x:is>
      </x:c>
      <x:c r="F94" s="6" t="inlineStr">
        <x:is>
          <x:t xml:space="preserve">PEAD</x:t>
        </x:is>
      </x:c>
      <x:c r="G94" s="6" t="n">
        <x:v>355</x:v>
      </x:c>
      <x:c r="H94" s="6" t="inlineStr">
        <x:is>
          <x:t xml:space="preserve">Método Não Destrutivo - MND</x:t>
        </x:is>
      </x:c>
      <x:c r="I94" s="7" t="n">
        <x:v>62.27</x:v>
      </x:c>
      <x:c r="J94" s="7" t="n">
        <x:v>4.9</x:v>
      </x:c>
      <x:c r="K94" s="7" t="n">
        <x:v>4.4</x:v>
      </x:c>
      <x:c r="L94" s="7" t="n">
        <x:v>4.9</x:v>
      </x:c>
      <x:c r="M94" s="6" t="inlineStr">
        <x:is>
          <x:t xml:space="preserve">concluída</x:t>
        </x:is>
      </x:c>
      <x:c r="N94" s="6" t="inlineStr">
        <x:is>
          <x:t xml:space="preserve">Gerado a partir do PDF CONFERÊNCIA.TRECH.pdf</x:t>
        </x:is>
      </x:c>
      <x:c r="O94" s="7" t="n">
        <x:v>-23.53980921080421</x:v>
      </x:c>
      <x:c r="P94" s="7" t="n">
        <x:v>-46.39256709774173</x:v>
      </x:c>
      <x:c r="Q94" s="7" t="n">
        <x:v>-23.5402381725206</x:v>
      </x:c>
      <x:c r="R94" s="7" t="n">
        <x:v>-46.3921727505767</x:v>
      </x:c>
    </x:row>
    <x:row r="95">
      <x:c r="A95" s="6" t="inlineStr">
        <x:is>
          <x:t xml:space="preserve">lageado_montante_bl54_55_56</x:t>
        </x:is>
      </x:c>
      <x:c r="B95" s="6" t="inlineStr">
        <x:is>
          <x:t xml:space="preserve">LAG-015</x:t>
        </x:is>
      </x:c>
      <x:c r="C95" s="6" t="inlineStr">
        <x:is>
          <x:t xml:space="preserve">PV-18 - PV-19</x:t>
        </x:is>
      </x:c>
      <x:c r="D95" s="6" t="inlineStr">
        <x:is>
          <x:t xml:space="preserve">PV-18</x:t>
        </x:is>
      </x:c>
      <x:c r="E95" s="6" t="inlineStr">
        <x:is>
          <x:t xml:space="preserve">PV-19</x:t>
        </x:is>
      </x:c>
      <x:c r="F95" s="6" t="inlineStr">
        <x:is>
          <x:t xml:space="preserve">PEAD</x:t>
        </x:is>
      </x:c>
      <x:c r="G95" s="6" t="n">
        <x:v>355</x:v>
      </x:c>
      <x:c r="H95" s="6" t="inlineStr">
        <x:is>
          <x:t xml:space="preserve">Método Não Destrutivo - MND</x:t>
        </x:is>
      </x:c>
      <x:c r="I95" s="7" t="n">
        <x:v>76.75</x:v>
      </x:c>
      <x:c r="J95" s="7" t="n">
        <x:v>4.4</x:v>
      </x:c>
      <x:c r="K95" s="7" t="n">
        <x:v>4.01</x:v>
      </x:c>
      <x:c r="L95" s="7" t="n">
        <x:v>4.4</x:v>
      </x:c>
      <x:c r="M95" s="6" t="inlineStr">
        <x:is>
          <x:t xml:space="preserve">concluída</x:t>
        </x:is>
      </x:c>
      <x:c r="N95" s="6" t="inlineStr">
        <x:is>
          <x:t xml:space="preserve">Gerado a partir do PDF CONFERÊNCIA.TRECH.pdf</x:t>
        </x:is>
      </x:c>
      <x:c r="O95" s="7" t="n">
        <x:v>-23.5402381725206</x:v>
      </x:c>
      <x:c r="P95" s="7" t="n">
        <x:v>-46.3921727505767</x:v>
      </x:c>
      <x:c r="Q95" s="7" t="n">
        <x:v>-23.54078048237465</x:v>
      </x:c>
      <x:c r="R95" s="7" t="n">
        <x:v>-46.39170460077867</x:v>
      </x:c>
    </x:row>
    <x:row r="96">
      <x:c r="A96" s="6" t="inlineStr">
        <x:is>
          <x:t xml:space="preserve">lageado_montante_bl54_55_56</x:t>
        </x:is>
      </x:c>
      <x:c r="B96" s="6" t="inlineStr">
        <x:is>
          <x:t xml:space="preserve">LAG-016</x:t>
        </x:is>
      </x:c>
      <x:c r="C96" s="6" t="inlineStr">
        <x:is>
          <x:t xml:space="preserve">PV-03 - PV-03.1</x:t>
        </x:is>
      </x:c>
      <x:c r="D96" s="6" t="inlineStr">
        <x:is>
          <x:t xml:space="preserve">PV-03</x:t>
        </x:is>
      </x:c>
      <x:c r="E96" s="6" t="inlineStr">
        <x:is>
          <x:t xml:space="preserve">PV-03.1</x:t>
        </x:is>
      </x:c>
      <x:c r="F96" s="6" t="inlineStr">
        <x:is>
          <x:t xml:space="preserve">PEAD</x:t>
        </x:is>
      </x:c>
      <x:c r="G96" s="6" t="n">
        <x:v>355</x:v>
      </x:c>
      <x:c r="H96" s="6" t="inlineStr">
        <x:is>
          <x:t xml:space="preserve">Método Não Destrutivo - MND</x:t>
        </x:is>
      </x:c>
      <x:c r="I96" s="7" t="n">
        <x:v>23.87</x:v>
      </x:c>
      <x:c r="J96" s="7" t="n">
        <x:v>3.89</x:v>
      </x:c>
      <x:c r="K96" s="7" t="n">
        <x:v>1.57</x:v>
      </x:c>
      <x:c r="L96" s="7" t="n">
        <x:v>3.89</x:v>
      </x:c>
      <x:c r="M96" s="6" t="inlineStr">
        <x:is>
          <x:t xml:space="preserve">concluída</x:t>
        </x:is>
      </x:c>
      <x:c r="N96" s="6" t="inlineStr">
        <x:is>
          <x:t xml:space="preserve">Gerado a partir do PDF CONFERÊNCIA.TRECH.pdf</x:t>
        </x:is>
      </x:c>
      <x:c r="O96" s="7" t="n">
        <x:v>-23.53553578166015</x:v>
      </x:c>
      <x:c r="P96" s="7" t="n">
        <x:v>-46.3937548244613</x:v>
      </x:c>
      <x:c r="Q96" s="7" t="n">
        <x:v>-23.53549548700187</x:v>
      </x:c>
      <x:c r="R96" s="7" t="n">
        <x:v>-46.39398448300136</x:v>
      </x:c>
    </x:row>
    <x:row r="97">
      <x:c r="A97" s="6" t="inlineStr">
        <x:is>
          <x:t xml:space="preserve">lageado_montante_bl54_55_56</x:t>
        </x:is>
      </x:c>
      <x:c r="B97" s="6" t="inlineStr">
        <x:is>
          <x:t xml:space="preserve">LAG-017</x:t>
        </x:is>
      </x:c>
      <x:c r="C97" s="6" t="inlineStr">
        <x:is>
          <x:t xml:space="preserve">PV-03.1 - PI-03.2</x:t>
        </x:is>
      </x:c>
      <x:c r="D97" s="6" t="inlineStr">
        <x:is>
          <x:t xml:space="preserve">PV-03.1</x:t>
        </x:is>
      </x:c>
      <x:c r="E97" s="6" t="inlineStr">
        <x:is>
          <x:t xml:space="preserve">PI-03.2</x:t>
        </x:is>
      </x:c>
      <x:c r="F97" s="6" t="inlineStr">
        <x:is>
          <x:t xml:space="preserve">PEAD</x:t>
        </x:is>
      </x:c>
      <x:c r="G97" s="6" t="n">
        <x:v>355</x:v>
      </x:c>
      <x:c r="H97" s="6" t="inlineStr">
        <x:is>
          <x:t xml:space="preserve">Método Não Destrutivo - MND</x:t>
        </x:is>
      </x:c>
      <x:c r="I97" s="7" t="n">
        <x:v>26.99</x:v>
      </x:c>
      <x:c r="J97" s="7" t="n">
        <x:v>1.57</x:v>
      </x:c>
      <x:c r="K97" s="7" t="n">
        <x:v>1.31</x:v>
      </x:c>
      <x:c r="L97" s="7" t="n">
        <x:v>1.57</x:v>
      </x:c>
      <x:c r="M97" s="6" t="inlineStr">
        <x:is>
          <x:t xml:space="preserve">concluída</x:t>
        </x:is>
      </x:c>
      <x:c r="N97" s="6" t="inlineStr">
        <x:is>
          <x:t xml:space="preserve">Gerado a partir do PDF CONFERÊNCIA.TRECH.pdf</x:t>
        </x:is>
      </x:c>
      <x:c r="O97" s="7" t="n">
        <x:v>-23.53549548700187</x:v>
      </x:c>
      <x:c r="P97" s="7" t="n">
        <x:v>-46.39398448300136</x:v>
      </x:c>
      <x:c r="Q97" s="7" t="n">
        <x:v>-23.53537486097723</x:v>
      </x:c>
      <x:c r="R97" s="7" t="n">
        <x:v>-46.39421417616888</x:v>
      </x:c>
    </x:row>
    <x:row r="98">
      <x:c r="A98" s="6" t="inlineStr">
        <x:is>
          <x:t xml:space="preserve">lageado_montante_bl54_55_56</x:t>
        </x:is>
      </x:c>
      <x:c r="B98" s="6" t="inlineStr">
        <x:is>
          <x:t xml:space="preserve">LAG-018</x:t>
        </x:is>
      </x:c>
      <x:c r="C98" s="6" t="inlineStr">
        <x:is>
          <x:t xml:space="preserve">PV-04 - PV-04.1</x:t>
        </x:is>
      </x:c>
      <x:c r="D98" s="6" t="inlineStr">
        <x:is>
          <x:t xml:space="preserve">PV-04</x:t>
        </x:is>
      </x:c>
      <x:c r="E98" s="6" t="inlineStr">
        <x:is>
          <x:t xml:space="preserve">PV-04.1</x:t>
        </x:is>
      </x:c>
      <x:c r="F98" s="6" t="inlineStr">
        <x:is>
          <x:t xml:space="preserve">PEAD</x:t>
        </x:is>
      </x:c>
      <x:c r="G98" s="6" t="n">
        <x:v>355</x:v>
      </x:c>
      <x:c r="H98" s="6" t="inlineStr">
        <x:is>
          <x:t xml:space="preserve">Método Não Destrutivo - MND</x:t>
        </x:is>
      </x:c>
      <x:c r="I98" s="7" t="n">
        <x:v>21.24</x:v>
      </x:c>
      <x:c r="J98" s="7" t="n">
        <x:v>4.14</x:v>
      </x:c>
      <x:c r="K98" s="7" t="n">
        <x:v>3.32</x:v>
      </x:c>
      <x:c r="L98" s="7" t="n">
        <x:v>4.14</x:v>
      </x:c>
      <x:c r="M98" s="6" t="inlineStr">
        <x:is>
          <x:t xml:space="preserve">concluída</x:t>
        </x:is>
      </x:c>
      <x:c r="N98" s="6" t="inlineStr">
        <x:is>
          <x:t xml:space="preserve">Gerado a partir do PDF CONFERÊNCIA.TRECH.pdf</x:t>
        </x:is>
      </x:c>
      <x:c r="O98" s="7" t="n">
        <x:v>-23.53607455706142</x:v>
      </x:c>
      <x:c r="P98" s="7" t="n">
        <x:v>-46.39367774404879</x:v>
      </x:c>
      <x:c r="Q98" s="7" t="n">
        <x:v>-23.53605766386822</x:v>
      </x:c>
      <x:c r="R98" s="7" t="n">
        <x:v>-46.39388499437673</x:v>
      </x:c>
    </x:row>
    <x:row r="99">
      <x:c r="A99" s="6" t="inlineStr">
        <x:is>
          <x:t xml:space="preserve">lageado_montante_bl54_55_56</x:t>
        </x:is>
      </x:c>
      <x:c r="B99" s="6" t="inlineStr">
        <x:is>
          <x:t xml:space="preserve">LAG-019</x:t>
        </x:is>
      </x:c>
      <x:c r="C99" s="6" t="inlineStr">
        <x:is>
          <x:t xml:space="preserve">PV-04.1 - PVE-04.2</x:t>
        </x:is>
      </x:c>
      <x:c r="D99" s="6" t="inlineStr">
        <x:is>
          <x:t xml:space="preserve">PV-04.1</x:t>
        </x:is>
      </x:c>
      <x:c r="E99" s="6" t="inlineStr">
        <x:is>
          <x:t xml:space="preserve">PVE-04.2</x:t>
        </x:is>
      </x:c>
      <x:c r="F99" s="6" t="inlineStr">
        <x:is>
          <x:t xml:space="preserve">PEAD</x:t>
        </x:is>
      </x:c>
      <x:c r="G99" s="6" t="n">
        <x:v>355</x:v>
      </x:c>
      <x:c r="H99" s="6" t="inlineStr">
        <x:is>
          <x:t xml:space="preserve">Método Não Destrutivo - MND</x:t>
        </x:is>
      </x:c>
      <x:c r="I99" s="7" t="n">
        <x:v>4.98</x:v>
      </x:c>
      <x:c r="J99" s="6" t="n">
        <x:v>2</x:v>
      </x:c>
      <x:c r="K99" s="6" t="n">
        <x:v>2</x:v>
      </x:c>
      <x:c r="L99" s="6" t="n">
        <x:v>2</x:v>
      </x:c>
      <x:c r="M99" s="6" t="inlineStr">
        <x:is>
          <x:t xml:space="preserve">concluída</x:t>
        </x:is>
      </x:c>
      <x:c r="N99" s="6" t="inlineStr">
        <x:is>
          <x:t xml:space="preserve">Gerado a partir do PDF CONFERÊNCIA.TRECH.pdf</x:t>
        </x:is>
      </x:c>
      <x:c r="O99" s="7" t="n">
        <x:v>-23.53605766386822</x:v>
      </x:c>
      <x:c r="P99" s="7" t="n">
        <x:v>-46.39388499437673</x:v>
      </x:c>
      <x:c r="Q99" s="7" t="n">
        <x:v>-23.5360705112229</x:v>
      </x:c>
      <x:c r="R99" s="7" t="n">
        <x:v>-46.3939317832732</x:v>
      </x:c>
    </x:row>
    <x:row r="100">
      <x:c r="A100" s="6" t="inlineStr">
        <x:is>
          <x:t xml:space="preserve">lageado_montante_bl54_55_56</x:t>
        </x:is>
      </x:c>
      <x:c r="B100" s="6" t="inlineStr">
        <x:is>
          <x:t xml:space="preserve">LAG-020</x:t>
        </x:is>
      </x:c>
      <x:c r="C100" s="6" t="inlineStr">
        <x:is>
          <x:t xml:space="preserve">PV-05 - PV-05.1</x:t>
        </x:is>
      </x:c>
      <x:c r="D100" s="6" t="inlineStr">
        <x:is>
          <x:t xml:space="preserve">PV-05</x:t>
        </x:is>
      </x:c>
      <x:c r="E100" s="6" t="inlineStr">
        <x:is>
          <x:t xml:space="preserve">PV-05.1</x:t>
        </x:is>
      </x:c>
      <x:c r="F100" s="6" t="inlineStr">
        <x:is>
          <x:t xml:space="preserve">PEAD</x:t>
        </x:is>
      </x:c>
      <x:c r="G100" s="6" t="n">
        <x:v>355</x:v>
      </x:c>
      <x:c r="H100" s="6" t="inlineStr">
        <x:is>
          <x:t xml:space="preserve">Método Não Destrutivo - MND</x:t>
        </x:is>
      </x:c>
      <x:c r="I100" s="7" t="n">
        <x:v>16.04</x:v>
      </x:c>
      <x:c r="J100" s="7" t="n">
        <x:v>3.27</x:v>
      </x:c>
      <x:c r="K100" s="7" t="n">
        <x:v>2.96</x:v>
      </x:c>
      <x:c r="L100" s="7" t="n">
        <x:v>3.27</x:v>
      </x:c>
      <x:c r="M100" s="6" t="inlineStr">
        <x:is>
          <x:t xml:space="preserve">concluída</x:t>
        </x:is>
      </x:c>
      <x:c r="N100" s="6" t="inlineStr">
        <x:is>
          <x:t xml:space="preserve">Gerado a partir do PDF CONFERÊNCIA.TRECH.pdf</x:t>
        </x:is>
      </x:c>
      <x:c r="O100" s="7" t="n">
        <x:v>-23.5365812938391</x:v>
      </x:c>
      <x:c r="P100" s="7" t="n">
        <x:v>-46.3936698506046</x:v>
      </x:c>
      <x:c r="Q100" s="7" t="n">
        <x:v>-23.53658191850404</x:v>
      </x:c>
      <x:c r="R100" s="7" t="n">
        <x:v>-46.39382694973283</x:v>
      </x:c>
    </x:row>
    <x:row r="101">
      <x:c r="A101" s="6" t="inlineStr">
        <x:is>
          <x:t xml:space="preserve">lageado_montante_bl54_55_56</x:t>
        </x:is>
      </x:c>
      <x:c r="B101" s="6" t="inlineStr">
        <x:is>
          <x:t xml:space="preserve">LAG-021</x:t>
        </x:is>
      </x:c>
      <x:c r="C101" s="6" t="inlineStr">
        <x:is>
          <x:t xml:space="preserve">PV-07 - PV-07.1</x:t>
        </x:is>
      </x:c>
      <x:c r="D101" s="6" t="inlineStr">
        <x:is>
          <x:t xml:space="preserve">PV-07</x:t>
        </x:is>
      </x:c>
      <x:c r="E101" s="6" t="inlineStr">
        <x:is>
          <x:t xml:space="preserve">PV-07.1</x:t>
        </x:is>
      </x:c>
      <x:c r="F101" s="6" t="inlineStr">
        <x:is>
          <x:t xml:space="preserve">PEAD</x:t>
        </x:is>
      </x:c>
      <x:c r="G101" s="6" t="n">
        <x:v>355</x:v>
      </x:c>
      <x:c r="H101" s="6" t="inlineStr">
        <x:is>
          <x:t xml:space="preserve">Método Não Destrutivo - MND</x:t>
        </x:is>
      </x:c>
      <x:c r="I101" s="7" t="n">
        <x:v>22.39</x:v>
      </x:c>
      <x:c r="J101" s="7" t="n">
        <x:v>3.86</x:v>
      </x:c>
      <x:c r="K101" s="7" t="n">
        <x:v>2.92</x:v>
      </x:c>
      <x:c r="L101" s="7" t="n">
        <x:v>3.86</x:v>
      </x:c>
      <x:c r="M101" s="6" t="inlineStr">
        <x:is>
          <x:t xml:space="preserve">concluída</x:t>
        </x:is>
      </x:c>
      <x:c r="N101" s="6" t="inlineStr">
        <x:is>
          <x:t xml:space="preserve">Gerado a partir do PDF CONFERÊNCIA.TRECH.pdf</x:t>
        </x:is>
      </x:c>
      <x:c r="O101" s="7" t="n">
        <x:v>-23.5372304548352</x:v>
      </x:c>
      <x:c r="P101" s="7" t="n">
        <x:v>-46.3936179990968</x:v>
      </x:c>
      <x:c r="Q101" s="7" t="n">
        <x:v>-23.53726504952773</x:v>
      </x:c>
      <x:c r="R101" s="7" t="n">
        <x:v>-46.39383408049343</x:v>
      </x:c>
    </x:row>
    <x:row r="102">
      <x:c r="A102" s="6" t="inlineStr">
        <x:is>
          <x:t xml:space="preserve">lageado_montante_bl54_55_56</x:t>
        </x:is>
      </x:c>
      <x:c r="B102" s="6" t="inlineStr">
        <x:is>
          <x:t xml:space="preserve">LAG-022</x:t>
        </x:is>
      </x:c>
      <x:c r="C102" s="6" t="inlineStr">
        <x:is>
          <x:t xml:space="preserve">PV-07.1 - PI-07.2</x:t>
        </x:is>
      </x:c>
      <x:c r="D102" s="6" t="inlineStr">
        <x:is>
          <x:t xml:space="preserve">PV-07.1</x:t>
        </x:is>
      </x:c>
      <x:c r="E102" s="6" t="inlineStr">
        <x:is>
          <x:t xml:space="preserve">PI-07.2</x:t>
        </x:is>
      </x:c>
      <x:c r="F102" s="6" t="inlineStr">
        <x:is>
          <x:t xml:space="preserve">PEAD</x:t>
        </x:is>
      </x:c>
      <x:c r="G102" s="6" t="n">
        <x:v>355</x:v>
      </x:c>
      <x:c r="H102" s="6" t="inlineStr">
        <x:is>
          <x:t xml:space="preserve">Método Não Destrutivo - MND</x:t>
        </x:is>
      </x:c>
      <x:c r="I102" s="7" t="n">
        <x:v>6.04</x:v>
      </x:c>
      <x:c r="J102" s="7" t="n">
        <x:v>1.14</x:v>
      </x:c>
      <x:c r="K102" s="6" t="n">
        <x:v>1</x:v>
      </x:c>
      <x:c r="L102" s="7" t="n">
        <x:v>1.14</x:v>
      </x:c>
      <x:c r="M102" s="6" t="inlineStr">
        <x:is>
          <x:t xml:space="preserve">concluída</x:t>
        </x:is>
      </x:c>
      <x:c r="N102" s="6" t="inlineStr">
        <x:is>
          <x:t xml:space="preserve">Gerado a partir do PDF CONFERÊNCIA.TRECH.pdf</x:t>
        </x:is>
      </x:c>
      <x:c r="O102" s="7" t="n">
        <x:v>-23.53726504952773</x:v>
      </x:c>
      <x:c r="P102" s="7" t="n">
        <x:v>-46.39383408049343</x:v>
      </x:c>
      <x:c r="Q102" s="7" t="n">
        <x:v>-23.53730466481291</x:v>
      </x:c>
      <x:c r="R102" s="7" t="n">
        <x:v>-46.3938748145216</x:v>
      </x:c>
    </x:row>
    <x:row r="103">
      <x:c r="A103" s="6" t="inlineStr">
        <x:is>
          <x:t xml:space="preserve">lageado_montante_bl54_55_56</x:t>
        </x:is>
      </x:c>
      <x:c r="B103" s="6" t="inlineStr">
        <x:is>
          <x:t xml:space="preserve">LAG-023</x:t>
        </x:is>
      </x:c>
      <x:c r="C103" s="6" t="inlineStr">
        <x:is>
          <x:t xml:space="preserve">PV-08 - PV-08.1</x:t>
        </x:is>
      </x:c>
      <x:c r="D103" s="6" t="inlineStr">
        <x:is>
          <x:t xml:space="preserve">PV-08</x:t>
        </x:is>
      </x:c>
      <x:c r="E103" s="6" t="inlineStr">
        <x:is>
          <x:t xml:space="preserve">PV-08.1</x:t>
        </x:is>
      </x:c>
      <x:c r="F103" s="6" t="inlineStr">
        <x:is>
          <x:t xml:space="preserve">PEAD</x:t>
        </x:is>
      </x:c>
      <x:c r="G103" s="6" t="n">
        <x:v>355</x:v>
      </x:c>
      <x:c r="H103" s="6" t="inlineStr">
        <x:is>
          <x:t xml:space="preserve">Método Não Destrutivo - MND</x:t>
        </x:is>
      </x:c>
      <x:c r="I103" s="7" t="n">
        <x:v>18.29</x:v>
      </x:c>
      <x:c r="J103" s="7" t="n">
        <x:v>4.63</x:v>
      </x:c>
      <x:c r="K103" s="7" t="n">
        <x:v>2.62</x:v>
      </x:c>
      <x:c r="L103" s="7" t="n">
        <x:v>4.63</x:v>
      </x:c>
      <x:c r="M103" s="6" t="inlineStr">
        <x:is>
          <x:t xml:space="preserve">concluída</x:t>
        </x:is>
      </x:c>
      <x:c r="N103" s="6" t="inlineStr">
        <x:is>
          <x:t xml:space="preserve">Gerado a partir do PDF CONFERÊNCIA.TRECH.pdf</x:t>
        </x:is>
      </x:c>
      <x:c r="O103" s="7" t="n">
        <x:v>-23.53776999032625</x:v>
      </x:c>
      <x:c r="P103" s="7" t="n">
        <x:v>-46.39342680270682</x:v>
      </x:c>
      <x:c r="Q103" s="7" t="n">
        <x:v>-23.53781207606009</x:v>
      </x:c>
      <x:c r="R103" s="7" t="n">
        <x:v>-46.39360008089176</x:v>
      </x:c>
    </x:row>
    <x:row r="104">
      <x:c r="A104" s="6" t="inlineStr">
        <x:is>
          <x:t xml:space="preserve">lageado_montante_bl54_55_56</x:t>
        </x:is>
      </x:c>
      <x:c r="B104" s="6" t="inlineStr">
        <x:is>
          <x:t xml:space="preserve">LAG-024</x:t>
        </x:is>
      </x:c>
      <x:c r="C104" s="6" t="inlineStr">
        <x:is>
          <x:t xml:space="preserve">PV-12 - PV-12.1</x:t>
        </x:is>
      </x:c>
      <x:c r="D104" s="6" t="inlineStr">
        <x:is>
          <x:t xml:space="preserve">PV-12</x:t>
        </x:is>
      </x:c>
      <x:c r="E104" s="6" t="inlineStr">
        <x:is>
          <x:t xml:space="preserve">PV-12.1</x:t>
        </x:is>
      </x:c>
      <x:c r="F104" s="6" t="inlineStr">
        <x:is>
          <x:t xml:space="preserve">PEAD</x:t>
        </x:is>
      </x:c>
      <x:c r="G104" s="6" t="n">
        <x:v>355</x:v>
      </x:c>
      <x:c r="H104" s="6" t="inlineStr">
        <x:is>
          <x:t xml:space="preserve">Método Não Destrutivo - MND</x:t>
        </x:is>
      </x:c>
      <x:c r="I104" s="7" t="n">
        <x:v>14.32</x:v>
      </x:c>
      <x:c r="J104" s="7" t="n">
        <x:v>4.14</x:v>
      </x:c>
      <x:c r="K104" s="7" t="n">
        <x:v>2.77</x:v>
      </x:c>
      <x:c r="L104" s="7" t="n">
        <x:v>4.14</x:v>
      </x:c>
      <x:c r="M104" s="6" t="inlineStr">
        <x:is>
          <x:t xml:space="preserve">concluída</x:t>
        </x:is>
      </x:c>
      <x:c r="N104" s="6" t="inlineStr">
        <x:is>
          <x:t xml:space="preserve">Gerado a partir do PDF CONFERÊNCIA.TRECH.pdf</x:t>
        </x:is>
      </x:c>
      <x:c r="O104" s="7" t="n">
        <x:v>-23.53917773203096</x:v>
      </x:c>
      <x:c r="P104" s="7" t="n">
        <x:v>-46.39268360325681</x:v>
      </x:c>
      <x:c r="Q104" s="7" t="n">
        <x:v>-23.53922794299835</x:v>
      </x:c>
      <x:c r="R104" s="7" t="n">
        <x:v>-46.39281288040892</x:v>
      </x:c>
    </x:row>
    <x:row r="105">
      <x:c r="A105" s="6" t="inlineStr">
        <x:is>
          <x:t xml:space="preserve">lageado_montante_bl54_55_56</x:t>
        </x:is>
      </x:c>
      <x:c r="B105" s="6" t="inlineStr">
        <x:is>
          <x:t xml:space="preserve">LAG-025</x:t>
        </x:is>
      </x:c>
      <x:c r="C105" s="6" t="inlineStr">
        <x:is>
          <x:t xml:space="preserve">PV-12.1 - PVE-12.2</x:t>
        </x:is>
      </x:c>
      <x:c r="D105" s="6" t="inlineStr">
        <x:is>
          <x:t xml:space="preserve">PV-12.1</x:t>
        </x:is>
      </x:c>
      <x:c r="E105" s="6" t="inlineStr">
        <x:is>
          <x:t xml:space="preserve">PVE-12.2</x:t>
        </x:is>
      </x:c>
      <x:c r="F105" s="6" t="inlineStr">
        <x:is>
          <x:t xml:space="preserve">PEAD</x:t>
        </x:is>
      </x:c>
      <x:c r="G105" s="6" t="n">
        <x:v>355</x:v>
      </x:c>
      <x:c r="H105" s="6" t="inlineStr">
        <x:is>
          <x:t xml:space="preserve">Método Não Destrutivo - MND</x:t>
        </x:is>
      </x:c>
      <x:c r="I105" s="7" t="n">
        <x:v>1.56</x:v>
      </x:c>
      <x:c r="J105" s="7" t="n">
        <x:v>2.3</x:v>
      </x:c>
      <x:c r="K105" s="7" t="n">
        <x:v>1.98</x:v>
      </x:c>
      <x:c r="L105" s="7" t="n">
        <x:v>2.3</x:v>
      </x:c>
      <x:c r="M105" s="6" t="inlineStr">
        <x:is>
          <x:t xml:space="preserve">concluída</x:t>
        </x:is>
      </x:c>
      <x:c r="N105" s="6" t="inlineStr">
        <x:is>
          <x:t xml:space="preserve">Gerado a partir do PDF CONFERÊNCIA.TRECH.pdf</x:t>
        </x:is>
      </x:c>
      <x:c r="O105" s="7" t="n">
        <x:v>-23.53922794299835</x:v>
      </x:c>
      <x:c r="P105" s="7" t="n">
        <x:v>-46.39281288040892</x:v>
      </x:c>
      <x:c r="Q105" s="7" t="n">
        <x:v>-23.53922858332472</x:v>
      </x:c>
      <x:c r="R105" s="7" t="n">
        <x:v>-46.39282810892448</x:v>
      </x:c>
    </x:row>
    <x:row r="106">
      <x:c r="A106" s="6" t="inlineStr">
        <x:is>
          <x:t xml:space="preserve">lageado_montante_bl54_55_56</x:t>
        </x:is>
      </x:c>
      <x:c r="B106" s="6" t="inlineStr">
        <x:is>
          <x:t xml:space="preserve">LAG-026</x:t>
        </x:is>
      </x:c>
      <x:c r="C106" s="6" t="inlineStr">
        <x:is>
          <x:t xml:space="preserve">PV-16 - PV-16.1</x:t>
        </x:is>
      </x:c>
      <x:c r="D106" s="6" t="inlineStr">
        <x:is>
          <x:t xml:space="preserve">PV-16</x:t>
        </x:is>
      </x:c>
      <x:c r="E106" s="6" t="inlineStr">
        <x:is>
          <x:t xml:space="preserve">PV-16.1</x:t>
        </x:is>
      </x:c>
      <x:c r="F106" s="6" t="inlineStr">
        <x:is>
          <x:t xml:space="preserve">PEAD</x:t>
        </x:is>
      </x:c>
      <x:c r="G106" s="6" t="n">
        <x:v>355</x:v>
      </x:c>
      <x:c r="H106" s="6" t="inlineStr">
        <x:is>
          <x:t xml:space="preserve">Método Não Destrutivo - MND</x:t>
        </x:is>
      </x:c>
      <x:c r="I106" s="7" t="n">
        <x:v>12.67</x:v>
      </x:c>
      <x:c r="J106" s="7" t="n">
        <x:v>4.47</x:v>
      </x:c>
      <x:c r="K106" s="6" t="n">
        <x:v>3</x:v>
      </x:c>
      <x:c r="L106" s="7" t="n">
        <x:v>4.47</x:v>
      </x:c>
      <x:c r="M106" s="6" t="inlineStr">
        <x:is>
          <x:t xml:space="preserve">concluída</x:t>
        </x:is>
      </x:c>
      <x:c r="N106" s="6" t="inlineStr">
        <x:is>
          <x:t xml:space="preserve">Gerado a partir do PDF CONFERÊNCIA.TRECH.pdf</x:t>
        </x:is>
      </x:c>
      <x:c r="O106" s="7" t="n">
        <x:v>-23.53980921080421</x:v>
      </x:c>
      <x:c r="P106" s="7" t="n">
        <x:v>-46.39256709774173</x:v>
      </x:c>
      <x:c r="Q106" s="7" t="n">
        <x:v>-23.53987441436012</x:v>
      </x:c>
      <x:c r="R106" s="7" t="n">
        <x:v>-46.39266901847353</x:v>
      </x:c>
    </x:row>
    <x:row r="107">
      <x:c r="A107" s="6" t="inlineStr">
        <x:is>
          <x:t xml:space="preserve">lageado_montante_bl54_55_56</x:t>
        </x:is>
      </x:c>
      <x:c r="B107" s="6" t="inlineStr">
        <x:is>
          <x:t xml:space="preserve">LAG-027</x:t>
        </x:is>
      </x:c>
      <x:c r="C107" s="6" t="inlineStr">
        <x:is>
          <x:t xml:space="preserve">PV-18 - PV-18.1</x:t>
        </x:is>
      </x:c>
      <x:c r="D107" s="6" t="inlineStr">
        <x:is>
          <x:t xml:space="preserve">PV-18</x:t>
        </x:is>
      </x:c>
      <x:c r="E107" s="6" t="inlineStr">
        <x:is>
          <x:t xml:space="preserve">PV-18.1</x:t>
        </x:is>
      </x:c>
      <x:c r="F107" s="6" t="inlineStr">
        <x:is>
          <x:t xml:space="preserve">PEAD</x:t>
        </x:is>
      </x:c>
      <x:c r="G107" s="6" t="n">
        <x:v>355</x:v>
      </x:c>
      <x:c r="H107" s="6" t="inlineStr">
        <x:is>
          <x:t xml:space="preserve">Método Não Destrutivo - MND</x:t>
        </x:is>
      </x:c>
      <x:c r="I107" s="7" t="n">
        <x:v>11.21</x:v>
      </x:c>
      <x:c r="J107" s="7" t="n">
        <x:v>4.33</x:v>
      </x:c>
      <x:c r="K107" s="7" t="n">
        <x:v>2.65</x:v>
      </x:c>
      <x:c r="L107" s="7" t="n">
        <x:v>4.33</x:v>
      </x:c>
      <x:c r="M107" s="6" t="inlineStr">
        <x:is>
          <x:t xml:space="preserve">concluída</x:t>
        </x:is>
      </x:c>
      <x:c r="N107" s="6" t="inlineStr">
        <x:is>
          <x:t xml:space="preserve">Gerado a partir do PDF CONFERÊNCIA.TRECH.pdf</x:t>
        </x:is>
      </x:c>
      <x:c r="O107" s="7" t="n">
        <x:v>-23.5402381725206</x:v>
      </x:c>
      <x:c r="P107" s="7" t="n">
        <x:v>-46.3921727505767</x:v>
      </x:c>
      <x:c r="Q107" s="7" t="n">
        <x:v>-23.54030547760047</x:v>
      </x:c>
      <x:c r="R107" s="7" t="n">
        <x:v>-46.3922548189284</x:v>
      </x:c>
    </x:row>
    <x:row r="108">
      <x:c r="A108" s="6" t="inlineStr">
        <x:is>
          <x:t xml:space="preserve">lageado_montante_bl54_55_56</x:t>
        </x:is>
      </x:c>
      <x:c r="B108" s="6" t="inlineStr">
        <x:is>
          <x:t xml:space="preserve">LAG-028</x:t>
        </x:is>
      </x:c>
      <x:c r="C108" s="6" t="inlineStr">
        <x:is>
          <x:t xml:space="preserve">PV-19 - PV-19.1</x:t>
        </x:is>
      </x:c>
      <x:c r="D108" s="6" t="inlineStr">
        <x:is>
          <x:t xml:space="preserve">PV-19</x:t>
        </x:is>
      </x:c>
      <x:c r="E108" s="6" t="inlineStr">
        <x:is>
          <x:t xml:space="preserve">PV-19.1</x:t>
        </x:is>
      </x:c>
      <x:c r="F108" s="6" t="inlineStr">
        <x:is>
          <x:t xml:space="preserve">PEAD</x:t>
        </x:is>
      </x:c>
      <x:c r="G108" s="6" t="n">
        <x:v>355</x:v>
      </x:c>
      <x:c r="H108" s="6" t="inlineStr">
        <x:is>
          <x:t xml:space="preserve">Método Não Destrutivo - MND</x:t>
        </x:is>
      </x:c>
      <x:c r="I108" s="7" t="n">
        <x:v>25.62</x:v>
      </x:c>
      <x:c r="J108" s="7" t="n">
        <x:v>3.84</x:v>
      </x:c>
      <x:c r="K108" s="7" t="n">
        <x:v>3.2</x:v>
      </x:c>
      <x:c r="L108" s="7" t="n">
        <x:v>3.84</x:v>
      </x:c>
      <x:c r="M108" s="6" t="inlineStr">
        <x:is>
          <x:t xml:space="preserve">concluída</x:t>
        </x:is>
      </x:c>
      <x:c r="N108" s="6" t="inlineStr">
        <x:is>
          <x:t xml:space="preserve">Gerado a partir do PDF CONFERÊNCIA.TRECH.pdf</x:t>
        </x:is>
      </x:c>
      <x:c r="O108" s="7" t="n">
        <x:v>-23.54078048237465</x:v>
      </x:c>
      <x:c r="P108" s="7" t="n">
        <x:v>-46.39170460077867</x:v>
      </x:c>
      <x:c r="Q108" s="7" t="n">
        <x:v>-23.54095673955473</x:v>
      </x:c>
      <x:c r="R108" s="7" t="n">
        <x:v>-46.39186720732244</x:v>
      </x:c>
    </x:row>
    <x:row r="109">
      <x:c r="A109" s="6" t="inlineStr">
        <x:is>
          <x:t xml:space="preserve">rce_souto_maior</x:t>
        </x:is>
      </x:c>
      <x:c r="B109" s="6" t="inlineStr">
        <x:is>
          <x:t xml:space="preserve">SM-001</x:t>
        </x:is>
      </x:c>
      <x:c r="C109" s="6" t="inlineStr">
        <x:is>
          <x:t xml:space="preserve">PI-7.3 - PI-7.2</x:t>
        </x:is>
      </x:c>
      <x:c r="D109" s="6" t="inlineStr">
        <x:is>
          <x:t xml:space="preserve">PI-7.3</x:t>
        </x:is>
      </x:c>
      <x:c r="E109" s="6" t="inlineStr">
        <x:is>
          <x:t xml:space="preserve">PI-7.2</x:t>
        </x:is>
      </x:c>
      <x:c r="F109" s="6" t="inlineStr">
        <x:is>
          <x:t xml:space="preserve">PVC</x:t>
        </x:is>
      </x:c>
      <x:c r="G109" s="6" t="n">
        <x:v>200</x:v>
      </x:c>
      <x:c r="H109" s="6" t="inlineStr">
        <x:is>
          <x:t xml:space="preserve">Vala a Céu Aberto - VCA</x:t>
        </x:is>
      </x:c>
      <x:c r="I109" s="7" t="n">
        <x:v>42.29</x:v>
      </x:c>
      <x:c r="J109" s="7" t="n">
        <x:v>1.23</x:v>
      </x:c>
      <x:c r="K109" s="7" t="n">
        <x:v>1.17</x:v>
      </x:c>
      <x:c r="L109" s="7" t="n">
        <x:v>1.23</x:v>
      </x:c>
      <x:c r="M109" s="6" t="inlineStr">
        <x:is>
          <x:t xml:space="preserve">concluída</x:t>
        </x:is>
      </x:c>
      <x:c r="N109" s="6" t="n"/>
      <x:c r="O109" s="7" t="n">
        <x:v>-23.5237179</x:v>
      </x:c>
      <x:c r="P109" s="7" t="n">
        <x:v>-46.3852386</x:v>
      </x:c>
      <x:c r="Q109" s="7" t="n">
        <x:v>-23.5239814</x:v>
      </x:c>
      <x:c r="R109" s="7" t="n">
        <x:v>-46.3855384</x:v>
      </x:c>
    </x:row>
    <x:row r="110">
      <x:c r="A110" s="6" t="inlineStr">
        <x:is>
          <x:t xml:space="preserve">rce_souto_maior</x:t>
        </x:is>
      </x:c>
      <x:c r="B110" s="6" t="inlineStr">
        <x:is>
          <x:t xml:space="preserve">SM-002</x:t>
        </x:is>
      </x:c>
      <x:c r="C110" s="6" t="inlineStr">
        <x:is>
          <x:t xml:space="preserve">PI-7.2 - PI-7.1</x:t>
        </x:is>
      </x:c>
      <x:c r="D110" s="6" t="inlineStr">
        <x:is>
          <x:t xml:space="preserve">PI-7.2</x:t>
        </x:is>
      </x:c>
      <x:c r="E110" s="6" t="inlineStr">
        <x:is>
          <x:t xml:space="preserve">PI-7.1</x:t>
        </x:is>
      </x:c>
      <x:c r="F110" s="6" t="inlineStr">
        <x:is>
          <x:t xml:space="preserve">PVC</x:t>
        </x:is>
      </x:c>
      <x:c r="G110" s="6" t="n">
        <x:v>200</x:v>
      </x:c>
      <x:c r="H110" s="6" t="inlineStr">
        <x:is>
          <x:t xml:space="preserve">Vala a Céu Aberto - VCA</x:t>
        </x:is>
      </x:c>
      <x:c r="I110" s="7" t="n">
        <x:v>5.19</x:v>
      </x:c>
      <x:c r="J110" s="7" t="n">
        <x:v>1.17</x:v>
      </x:c>
      <x:c r="K110" s="6" t="n">
        <x:v>1</x:v>
      </x:c>
      <x:c r="L110" s="7" t="n">
        <x:v>1.17</x:v>
      </x:c>
      <x:c r="M110" s="6" t="inlineStr">
        <x:is>
          <x:t xml:space="preserve">concluída</x:t>
        </x:is>
      </x:c>
      <x:c r="N110" s="6" t="n"/>
      <x:c r="O110" s="7" t="n">
        <x:v>-23.5239814</x:v>
      </x:c>
      <x:c r="P110" s="7" t="n">
        <x:v>-46.3855384</x:v>
      </x:c>
      <x:c r="Q110" s="7" t="n">
        <x:v>-23.5240142</x:v>
      </x:c>
      <x:c r="R110" s="7" t="n">
        <x:v>-46.3855753</x:v>
      </x:c>
    </x:row>
    <x:row r="111">
      <x:c r="A111" s="6" t="inlineStr">
        <x:is>
          <x:t xml:space="preserve">rce_souto_maior</x:t>
        </x:is>
      </x:c>
      <x:c r="B111" s="6" t="inlineStr">
        <x:is>
          <x:t xml:space="preserve">SM-003</x:t>
        </x:is>
      </x:c>
      <x:c r="C111" s="6" t="inlineStr">
        <x:is>
          <x:t xml:space="preserve">PI-7.1 - PI-7</x:t>
        </x:is>
      </x:c>
      <x:c r="D111" s="6" t="inlineStr">
        <x:is>
          <x:t xml:space="preserve">PI-7.1</x:t>
        </x:is>
      </x:c>
      <x:c r="E111" s="6" t="inlineStr">
        <x:is>
          <x:t xml:space="preserve">PI-7</x:t>
        </x:is>
      </x:c>
      <x:c r="F111" s="6" t="inlineStr">
        <x:is>
          <x:t xml:space="preserve">PVC</x:t>
        </x:is>
      </x:c>
      <x:c r="G111" s="6" t="n">
        <x:v>200</x:v>
      </x:c>
      <x:c r="H111" s="6" t="inlineStr">
        <x:is>
          <x:t xml:space="preserve">Vala a Céu Aberto - VCA</x:t>
        </x:is>
      </x:c>
      <x:c r="I111" s="7" t="n">
        <x:v>6.95</x:v>
      </x:c>
      <x:c r="J111" s="6" t="n">
        <x:v>1</x:v>
      </x:c>
      <x:c r="K111" s="7" t="n">
        <x:v>0.98</x:v>
      </x:c>
      <x:c r="L111" s="6" t="n">
        <x:v>1</x:v>
      </x:c>
      <x:c r="M111" s="6" t="inlineStr">
        <x:is>
          <x:t xml:space="preserve">concluída</x:t>
        </x:is>
      </x:c>
      <x:c r="N111" s="6" t="n"/>
      <x:c r="O111" s="7" t="n">
        <x:v>-23.5240142</x:v>
      </x:c>
      <x:c r="P111" s="7" t="n">
        <x:v>-46.3855753</x:v>
      </x:c>
      <x:c r="Q111" s="7" t="n">
        <x:v>-23.524029</x:v>
      </x:c>
      <x:c r="R111" s="7" t="n">
        <x:v>-46.385641</x:v>
      </x:c>
    </x:row>
    <x:row r="112">
      <x:c r="A112" s="6" t="inlineStr">
        <x:is>
          <x:t xml:space="preserve">rce_souto_maior</x:t>
        </x:is>
      </x:c>
      <x:c r="B112" s="6" t="inlineStr">
        <x:is>
          <x:t xml:space="preserve">SM-004</x:t>
        </x:is>
      </x:c>
      <x:c r="C112" s="6" t="inlineStr">
        <x:is>
          <x:t xml:space="preserve">PI-5.2 - PV-5.1</x:t>
        </x:is>
      </x:c>
      <x:c r="D112" s="6" t="inlineStr">
        <x:is>
          <x:t xml:space="preserve">PI-5.2</x:t>
        </x:is>
      </x:c>
      <x:c r="E112" s="6" t="inlineStr">
        <x:is>
          <x:t xml:space="preserve">PV-5.1</x:t>
        </x:is>
      </x:c>
      <x:c r="F112" s="6" t="inlineStr">
        <x:is>
          <x:t xml:space="preserve">PVC</x:t>
        </x:is>
      </x:c>
      <x:c r="G112" s="6" t="n">
        <x:v>200</x:v>
      </x:c>
      <x:c r="H112" s="6" t="inlineStr">
        <x:is>
          <x:t xml:space="preserve">Vala a Céu Aberto - VCA</x:t>
        </x:is>
      </x:c>
      <x:c r="I112" s="7" t="n">
        <x:v>22.89</x:v>
      </x:c>
      <x:c r="J112" s="7" t="n">
        <x:v>1.18</x:v>
      </x:c>
      <x:c r="K112" s="7" t="n">
        <x:v>2.28</x:v>
      </x:c>
      <x:c r="L112" s="7" t="n">
        <x:v>2.28</x:v>
      </x:c>
      <x:c r="M112" s="6" t="inlineStr">
        <x:is>
          <x:t xml:space="preserve">concluída</x:t>
        </x:is>
      </x:c>
      <x:c r="N112" s="6" t="n"/>
      <x:c r="O112" s="7" t="n">
        <x:v>-23.5238908</x:v>
      </x:c>
      <x:c r="P112" s="7" t="n">
        <x:v>-46.3863387</x:v>
      </x:c>
      <x:c r="Q112" s="7" t="n">
        <x:v>-23.5239536</x:v>
      </x:c>
      <x:c r="R112" s="7" t="n">
        <x:v>-46.386125</x:v>
      </x:c>
    </x:row>
    <x:row r="113">
      <x:c r="A113" s="6" t="inlineStr">
        <x:is>
          <x:t xml:space="preserve">rce_souto_maior</x:t>
        </x:is>
      </x:c>
      <x:c r="B113" s="6" t="inlineStr">
        <x:is>
          <x:t xml:space="preserve">SM-005</x:t>
        </x:is>
      </x:c>
      <x:c r="C113" s="6" t="inlineStr">
        <x:is>
          <x:t xml:space="preserve">PI-5.3 - PI-5.2</x:t>
        </x:is>
      </x:c>
      <x:c r="D113" s="6" t="inlineStr">
        <x:is>
          <x:t xml:space="preserve">PI-5.3</x:t>
        </x:is>
      </x:c>
      <x:c r="E113" s="6" t="inlineStr">
        <x:is>
          <x:t xml:space="preserve">PI-5.2</x:t>
        </x:is>
      </x:c>
      <x:c r="F113" s="6" t="inlineStr">
        <x:is>
          <x:t xml:space="preserve">PVC</x:t>
        </x:is>
      </x:c>
      <x:c r="G113" s="6" t="n">
        <x:v>200</x:v>
      </x:c>
      <x:c r="H113" s="6" t="inlineStr">
        <x:is>
          <x:t xml:space="preserve">Vala a Céu Aberto - VCA</x:t>
        </x:is>
      </x:c>
      <x:c r="I113" s="7" t="n">
        <x:v>35.71</x:v>
      </x:c>
      <x:c r="J113" s="7" t="n">
        <x:v>0.95</x:v>
      </x:c>
      <x:c r="K113" s="7" t="n">
        <x:v>1.18</x:v>
      </x:c>
      <x:c r="L113" s="7" t="n">
        <x:v>1.18</x:v>
      </x:c>
      <x:c r="M113" s="6" t="inlineStr">
        <x:is>
          <x:t xml:space="preserve">concluída</x:t>
        </x:is>
      </x:c>
      <x:c r="N113" s="6" t="n"/>
      <x:c r="O113" s="7" t="n">
        <x:v>-23.5237896</x:v>
      </x:c>
      <x:c r="P113" s="7" t="n">
        <x:v>-46.3866707</x:v>
      </x:c>
      <x:c r="Q113" s="7" t="n">
        <x:v>-23.5238908</x:v>
      </x:c>
      <x:c r="R113" s="7" t="n">
        <x:v>-46.3863387</x:v>
      </x:c>
    </x:row>
    <x:row r="114">
      <x:c r="A114" s="6" t="inlineStr">
        <x:is>
          <x:t xml:space="preserve">rce_souto_maior</x:t>
        </x:is>
      </x:c>
      <x:c r="B114" s="6" t="inlineStr">
        <x:is>
          <x:t xml:space="preserve">SM-006</x:t>
        </x:is>
      </x:c>
      <x:c r="C114" s="6" t="inlineStr">
        <x:is>
          <x:t xml:space="preserve">PV-4 - PV-3</x:t>
        </x:is>
      </x:c>
      <x:c r="D114" s="6" t="inlineStr">
        <x:is>
          <x:t xml:space="preserve">PV-4</x:t>
        </x:is>
      </x:c>
      <x:c r="E114" s="6" t="inlineStr">
        <x:is>
          <x:t xml:space="preserve">PV-3</x:t>
        </x:is>
      </x:c>
      <x:c r="F114" s="6" t="inlineStr">
        <x:is>
          <x:t xml:space="preserve">PEAD</x:t>
        </x:is>
      </x:c>
      <x:c r="G114" s="6" t="n">
        <x:v>355</x:v>
      </x:c>
      <x:c r="H114" s="6" t="inlineStr">
        <x:is>
          <x:t xml:space="preserve">Método Não Destrutivo - MND</x:t>
        </x:is>
      </x:c>
      <x:c r="I114" s="7" t="n">
        <x:v>71.62</x:v>
      </x:c>
      <x:c r="J114" s="6" t="n">
        <x:v>12</x:v>
      </x:c>
      <x:c r="K114" s="7" t="n">
        <x:v>9.4</x:v>
      </x:c>
      <x:c r="L114" s="6" t="n">
        <x:v>12</x:v>
      </x:c>
      <x:c r="M114" s="6" t="inlineStr">
        <x:is>
          <x:t xml:space="preserve">concluída</x:t>
        </x:is>
      </x:c>
      <x:c r="N114" s="6" t="n"/>
      <x:c r="O114" s="7" t="n">
        <x:v>-23.5237689</x:v>
      </x:c>
      <x:c r="P114" s="7" t="n">
        <x:v>-46.3868214</x:v>
      </x:c>
      <x:c r="Q114" s="7" t="n">
        <x:v>-23.5240138</x:v>
      </x:c>
      <x:c r="R114" s="7" t="n">
        <x:v>-46.3874707</x:v>
      </x:c>
    </x:row>
    <x:row r="115">
      <x:c r="A115" s="6" t="inlineStr">
        <x:is>
          <x:t xml:space="preserve">rce_souto_maior</x:t>
        </x:is>
      </x:c>
      <x:c r="B115" s="6" t="inlineStr">
        <x:is>
          <x:t xml:space="preserve">SM-007</x:t>
        </x:is>
      </x:c>
      <x:c r="C115" s="6" t="inlineStr">
        <x:is>
          <x:t xml:space="preserve">PV-3 - PV-2</x:t>
        </x:is>
      </x:c>
      <x:c r="D115" s="6" t="inlineStr">
        <x:is>
          <x:t xml:space="preserve">PV-3</x:t>
        </x:is>
      </x:c>
      <x:c r="E115" s="6" t="inlineStr">
        <x:is>
          <x:t xml:space="preserve">PV-2</x:t>
        </x:is>
      </x:c>
      <x:c r="F115" s="6" t="inlineStr">
        <x:is>
          <x:t xml:space="preserve">PEAD</x:t>
        </x:is>
      </x:c>
      <x:c r="G115" s="6" t="n">
        <x:v>355</x:v>
      </x:c>
      <x:c r="H115" s="6" t="inlineStr">
        <x:is>
          <x:t xml:space="preserve">Método Não Destrutivo - MND</x:t>
        </x:is>
      </x:c>
      <x:c r="I115" s="7" t="n">
        <x:v>74.09999999999999</x:v>
      </x:c>
      <x:c r="J115" s="7" t="n">
        <x:v>9.4</x:v>
      </x:c>
      <x:c r="K115" s="7" t="n">
        <x:v>5.72</x:v>
      </x:c>
      <x:c r="L115" s="7" t="n">
        <x:v>9.4</x:v>
      </x:c>
      <x:c r="M115" s="6" t="inlineStr">
        <x:is>
          <x:t xml:space="preserve">concluída</x:t>
        </x:is>
      </x:c>
      <x:c r="N115" s="6" t="n"/>
      <x:c r="O115" s="7" t="n">
        <x:v>-23.5240138</x:v>
      </x:c>
      <x:c r="P115" s="7" t="n">
        <x:v>-46.3874707</x:v>
      </x:c>
      <x:c r="Q115" s="7" t="n">
        <x:v>-23.5242345</x:v>
      </x:c>
      <x:c r="R115" s="7" t="n">
        <x:v>-46.3881558</x:v>
      </x:c>
    </x:row>
    <x:row r="116">
      <x:c r="A116" s="6" t="inlineStr">
        <x:is>
          <x:t xml:space="preserve">rce_souto_maior</x:t>
        </x:is>
      </x:c>
      <x:c r="B116" s="6" t="inlineStr">
        <x:is>
          <x:t xml:space="preserve">SM-008</x:t>
        </x:is>
      </x:c>
      <x:c r="C116" s="6" t="inlineStr">
        <x:is>
          <x:t xml:space="preserve">PV-2 - PI-1</x:t>
        </x:is>
      </x:c>
      <x:c r="D116" s="6" t="inlineStr">
        <x:is>
          <x:t xml:space="preserve">PV-2</x:t>
        </x:is>
      </x:c>
      <x:c r="E116" s="6" t="inlineStr">
        <x:is>
          <x:t xml:space="preserve">PI-1</x:t>
        </x:is>
      </x:c>
      <x:c r="F116" s="6" t="inlineStr">
        <x:is>
          <x:t xml:space="preserve">PEAD</x:t>
        </x:is>
      </x:c>
      <x:c r="G116" s="6" t="n">
        <x:v>355</x:v>
      </x:c>
      <x:c r="H116" s="6" t="inlineStr">
        <x:is>
          <x:t xml:space="preserve">Método Não Destrutivo - MND</x:t>
        </x:is>
      </x:c>
      <x:c r="I116" s="7" t="n">
        <x:v>82.22</x:v>
      </x:c>
      <x:c r="J116" s="7" t="n">
        <x:v>5.72</x:v>
      </x:c>
      <x:c r="K116" s="7" t="n">
        <x:v>1.85</x:v>
      </x:c>
      <x:c r="L116" s="7" t="n">
        <x:v>5.72</x:v>
      </x:c>
      <x:c r="M116" s="6" t="inlineStr">
        <x:is>
          <x:t xml:space="preserve">concluída</x:t>
        </x:is>
      </x:c>
      <x:c r="N116" s="6" t="n"/>
      <x:c r="O116" s="7" t="n">
        <x:v>-23.5242345</x:v>
      </x:c>
      <x:c r="P116" s="7" t="n">
        <x:v>-46.3881558</x:v>
      </x:c>
      <x:c r="Q116" s="7" t="n">
        <x:v>-23.5244416</x:v>
      </x:c>
      <x:c r="R116" s="7" t="n">
        <x:v>-46.3889292</x:v>
      </x:c>
    </x:row>
    <x:row r="117">
      <x:c r="A117" s="6" t="inlineStr">
        <x:is>
          <x:t xml:space="preserve">rce_souto_maior</x:t>
        </x:is>
      </x:c>
      <x:c r="B117" s="6" t="inlineStr">
        <x:is>
          <x:t xml:space="preserve">SM-009</x:t>
        </x:is>
      </x:c>
      <x:c r="C117" s="6" t="inlineStr">
        <x:is>
          <x:t xml:space="preserve">PV-5.1 - PV-5</x:t>
        </x:is>
      </x:c>
      <x:c r="D117" s="6" t="inlineStr">
        <x:is>
          <x:t xml:space="preserve">PV-5.1</x:t>
        </x:is>
      </x:c>
      <x:c r="E117" s="6" t="inlineStr">
        <x:is>
          <x:t xml:space="preserve">PV-5</x:t>
        </x:is>
      </x:c>
      <x:c r="F117" s="6" t="inlineStr">
        <x:is>
          <x:t xml:space="preserve">PVC</x:t>
        </x:is>
      </x:c>
      <x:c r="G117" s="6" t="n">
        <x:v>200</x:v>
      </x:c>
      <x:c r="H117" s="6" t="inlineStr">
        <x:is>
          <x:t xml:space="preserve">Vala a Céu Aberto - VCA</x:t>
        </x:is>
      </x:c>
      <x:c r="I117" s="7" t="n">
        <x:v>1.82</x:v>
      </x:c>
      <x:c r="J117" s="7" t="n">
        <x:v>2.3</x:v>
      </x:c>
      <x:c r="K117" s="7" t="n">
        <x:v>2.33</x:v>
      </x:c>
      <x:c r="L117" s="7" t="n">
        <x:v>2.33</x:v>
      </x:c>
      <x:c r="M117" s="6" t="inlineStr">
        <x:is>
          <x:t xml:space="preserve">concluída</x:t>
        </x:is>
      </x:c>
      <x:c r="N117" s="6" t="n"/>
      <x:c r="O117" s="7" t="n">
        <x:v>-23.5239536</x:v>
      </x:c>
      <x:c r="P117" s="7" t="n">
        <x:v>-46.386125</x:v>
      </x:c>
      <x:c r="Q117" s="7" t="n">
        <x:v>-23.523962</x:v>
      </x:c>
      <x:c r="R117" s="7" t="n">
        <x:v>-46.3861404</x:v>
      </x:c>
    </x:row>
    <x:row r="118">
      <x:c r="A118" s="6" t="inlineStr">
        <x:is>
          <x:t xml:space="preserve">rce_souto_maior</x:t>
        </x:is>
      </x:c>
      <x:c r="B118" s="6" t="inlineStr">
        <x:is>
          <x:t xml:space="preserve">SM-010</x:t>
        </x:is>
      </x:c>
      <x:c r="C118" s="6" t="inlineStr">
        <x:is>
          <x:t xml:space="preserve">PI-7 - PV-5.1</x:t>
        </x:is>
      </x:c>
      <x:c r="D118" s="6" t="inlineStr">
        <x:is>
          <x:t xml:space="preserve">PI-7</x:t>
        </x:is>
      </x:c>
      <x:c r="E118" s="6" t="inlineStr">
        <x:is>
          <x:t xml:space="preserve">PV-5.1</x:t>
        </x:is>
      </x:c>
      <x:c r="F118" s="6" t="inlineStr">
        <x:is>
          <x:t xml:space="preserve">PVC</x:t>
        </x:is>
      </x:c>
      <x:c r="G118" s="6" t="n">
        <x:v>200</x:v>
      </x:c>
      <x:c r="H118" s="6" t="inlineStr">
        <x:is>
          <x:t xml:space="preserve">Vala a Céu Aberto - VCA</x:t>
        </x:is>
      </x:c>
      <x:c r="I118" s="7" t="n">
        <x:v>50.13</x:v>
      </x:c>
      <x:c r="J118" s="7" t="n">
        <x:v>0.98</x:v>
      </x:c>
      <x:c r="K118" s="7" t="n">
        <x:v>2.28</x:v>
      </x:c>
      <x:c r="L118" s="7" t="n">
        <x:v>2.28</x:v>
      </x:c>
      <x:c r="M118" s="6" t="inlineStr">
        <x:is>
          <x:t xml:space="preserve">concluída</x:t>
        </x:is>
      </x:c>
      <x:c r="N118" s="6" t="n"/>
      <x:c r="O118" s="7" t="n">
        <x:v>-23.524029</x:v>
      </x:c>
      <x:c r="P118" s="7" t="n">
        <x:v>-46.385641</x:v>
      </x:c>
      <x:c r="Q118" s="7" t="n">
        <x:v>-23.5239536</x:v>
      </x:c>
      <x:c r="R118" s="7" t="n">
        <x:v>-46.386125</x:v>
      </x:c>
    </x:row>
    <x:row r="119">
      <x:c r="A119" s="6" t="inlineStr">
        <x:is>
          <x:t xml:space="preserve">rce_souto_maior</x:t>
        </x:is>
      </x:c>
      <x:c r="B119" s="6" t="inlineStr">
        <x:is>
          <x:t xml:space="preserve">SM-011</x:t>
        </x:is>
      </x:c>
      <x:c r="C119" s="6" t="inlineStr">
        <x:is>
          <x:t xml:space="preserve">PV-5 - PV-4</x:t>
        </x:is>
      </x:c>
      <x:c r="D119" s="6" t="inlineStr">
        <x:is>
          <x:t xml:space="preserve">PV-5</x:t>
        </x:is>
      </x:c>
      <x:c r="E119" s="6" t="inlineStr">
        <x:is>
          <x:t xml:space="preserve">PV-4</x:t>
        </x:is>
      </x:c>
      <x:c r="F119" s="6" t="inlineStr">
        <x:is>
          <x:t xml:space="preserve">PEAD</x:t>
        </x:is>
      </x:c>
      <x:c r="G119" s="6" t="n">
        <x:v>355</x:v>
      </x:c>
      <x:c r="H119" s="6" t="inlineStr">
        <x:is>
          <x:t xml:space="preserve">Método Não Destrutivo - MND</x:t>
        </x:is>
      </x:c>
      <x:c r="I119" s="7" t="n">
        <x:v>72.73999999999999</x:v>
      </x:c>
      <x:c r="J119" s="7" t="n">
        <x:v>2.72</x:v>
      </x:c>
      <x:c r="K119" s="6" t="n">
        <x:v>12</x:v>
      </x:c>
      <x:c r="L119" s="6" t="n">
        <x:v>12</x:v>
      </x:c>
      <x:c r="M119" s="6" t="inlineStr">
        <x:is>
          <x:t xml:space="preserve">concluída</x:t>
        </x:is>
      </x:c>
      <x:c r="N119" s="6" t="n"/>
      <x:c r="O119" s="7" t="n">
        <x:v>-23.523962</x:v>
      </x:c>
      <x:c r="P119" s="7" t="n">
        <x:v>-46.3861404</x:v>
      </x:c>
      <x:c r="Q119" s="7" t="n">
        <x:v>-23.5237689</x:v>
      </x:c>
      <x:c r="R119" s="7" t="n">
        <x:v>-46.3868214</x:v>
      </x:c>
    </x:row>
    <x:row r="120">
      <x:c r="A120" s="6" t="inlineStr">
        <x:is>
          <x:t xml:space="preserve">rce_souto_maior</x:t>
        </x:is>
      </x:c>
      <x:c r="B120" s="6" t="inlineStr">
        <x:is>
          <x:t xml:space="preserve">SM-012</x:t>
        </x:is>
      </x:c>
      <x:c r="C120" s="6" t="inlineStr">
        <x:is>
          <x:t xml:space="preserve">PI-1 - PONTO FINAL</x:t>
        </x:is>
      </x:c>
      <x:c r="D120" s="6" t="inlineStr">
        <x:is>
          <x:t xml:space="preserve">PI-1</x:t>
        </x:is>
      </x:c>
      <x:c r="E120" s="6" t="n"/>
      <x:c r="F120" s="6" t="inlineStr">
        <x:is>
          <x:t xml:space="preserve">PVC</x:t>
        </x:is>
      </x:c>
      <x:c r="G120" s="6" t="n">
        <x:v>300</x:v>
      </x:c>
      <x:c r="H120" s="6" t="inlineStr">
        <x:is>
          <x:t xml:space="preserve">Vala a Céu Aberto - VCA</x:t>
        </x:is>
      </x:c>
      <x:c r="I120" s="7" t="n">
        <x:v>4.71</x:v>
      </x:c>
      <x:c r="J120" s="7" t="n">
        <x:v>1.85</x:v>
      </x:c>
      <x:c r="K120" s="7" t="n">
        <x:v>1.83</x:v>
      </x:c>
      <x:c r="L120" s="7" t="n">
        <x:v>1.85</x:v>
      </x:c>
      <x:c r="M120" s="6" t="inlineStr">
        <x:is>
          <x:t xml:space="preserve">concluída</x:t>
        </x:is>
      </x:c>
      <x:c r="N120" s="6" t="n"/>
      <x:c r="O120" s="7" t="n">
        <x:v>-23.5244416</x:v>
      </x:c>
      <x:c r="P120" s="7" t="n">
        <x:v>-46.3889292</x:v>
      </x:c>
      <x:c r="Q120" s="7" t="n">
        <x:v>-23.5244614</x:v>
      </x:c>
      <x:c r="R120" s="7" t="n">
        <x:v>-46.3889701</x:v>
      </x:c>
    </x:row>
    <x:row r="121">
      <x:c r="A121" s="6" t="inlineStr">
        <x:is>
          <x:t xml:space="preserve">ct_domingos</x:t>
        </x:is>
      </x:c>
      <x:c r="B121" s="6" t="inlineStr">
        <x:is>
          <x:t xml:space="preserve">DJC-001</x:t>
        </x:is>
      </x:c>
      <x:c r="C121" s="6" t="inlineStr">
        <x:is>
          <x:t xml:space="preserve">PV-02 - PV-03</x:t>
        </x:is>
      </x:c>
      <x:c r="D121" s="6" t="inlineStr">
        <x:is>
          <x:t xml:space="preserve">PV-02</x:t>
        </x:is>
      </x:c>
      <x:c r="E121" s="6" t="inlineStr">
        <x:is>
          <x:t xml:space="preserve">PV-03</x:t>
        </x:is>
      </x:c>
      <x:c r="F121" s="6" t="inlineStr">
        <x:is>
          <x:t xml:space="preserve">Concreto</x:t>
        </x:is>
      </x:c>
      <x:c r="G121" s="6" t="n">
        <x:v>200</x:v>
      </x:c>
      <x:c r="H121" s="6" t="inlineStr">
        <x:is>
          <x:t xml:space="preserve">Outros</x:t>
        </x:is>
      </x:c>
      <x:c r="I121" s="7" t="n">
        <x:v>2.54</x:v>
      </x:c>
      <x:c r="J121" s="7" t="n">
        <x:v>3.35</x:v>
      </x:c>
      <x:c r="K121" s="7" t="n">
        <x:v>3.45</x:v>
      </x:c>
      <x:c r="L121" s="7" t="n">
        <x:v>3.45</x:v>
      </x:c>
      <x:c r="M121" s="6" t="inlineStr">
        <x:is>
          <x:t xml:space="preserve">concluída</x:t>
        </x:is>
      </x:c>
      <x:c r="N121" s="6" t="inlineStr">
        <x:is>
          <x:t xml:space="preserve">Bloco 01 | Declividade 0.0508</x:t>
        </x:is>
      </x:c>
      <x:c r="O121" s="7" t="n">
        <x:v>-23.5014853</x:v>
      </x:c>
      <x:c r="P121" s="7" t="n">
        <x:v>-46.4004879</x:v>
      </x:c>
      <x:c r="Q121" s="7" t="n">
        <x:v>-23.501508</x:v>
      </x:c>
      <x:c r="R121" s="7" t="n">
        <x:v>-46.4004909</x:v>
      </x:c>
    </x:row>
    <x:row r="122">
      <x:c r="A122" s="6" t="inlineStr">
        <x:is>
          <x:t xml:space="preserve">ct_domingos</x:t>
        </x:is>
      </x:c>
      <x:c r="B122" s="6" t="inlineStr">
        <x:is>
          <x:t xml:space="preserve">DJC-002</x:t>
        </x:is>
      </x:c>
      <x:c r="C122" s="6" t="inlineStr">
        <x:is>
          <x:t xml:space="preserve">PV-03 - PV-04</x:t>
        </x:is>
      </x:c>
      <x:c r="D122" s="6" t="inlineStr">
        <x:is>
          <x:t xml:space="preserve">PV-03</x:t>
        </x:is>
      </x:c>
      <x:c r="E122" s="6" t="inlineStr">
        <x:is>
          <x:t xml:space="preserve">PV-04</x:t>
        </x:is>
      </x:c>
      <x:c r="F122" s="6" t="inlineStr">
        <x:is>
          <x:t xml:space="preserve">Concreto</x:t>
        </x:is>
      </x:c>
      <x:c r="G122" s="6" t="n">
        <x:v>200</x:v>
      </x:c>
      <x:c r="H122" s="6" t="inlineStr">
        <x:is>
          <x:t xml:space="preserve">Outros</x:t>
        </x:is>
      </x:c>
      <x:c r="I122" s="7" t="n">
        <x:v>55.22</x:v>
      </x:c>
      <x:c r="J122" s="7" t="n">
        <x:v>3.45</x:v>
      </x:c>
      <x:c r="K122" s="7" t="n">
        <x:v>7.55</x:v>
      </x:c>
      <x:c r="L122" s="7" t="n">
        <x:v>7.55</x:v>
      </x:c>
      <x:c r="M122" s="6" t="inlineStr">
        <x:is>
          <x:t xml:space="preserve">concluída</x:t>
        </x:is>
      </x:c>
      <x:c r="N122" s="6" t="inlineStr">
        <x:is>
          <x:t xml:space="preserve">Bloco 01 | Declividade 0.0108</x:t>
        </x:is>
      </x:c>
      <x:c r="O122" s="7" t="n">
        <x:v>-23.501508</x:v>
      </x:c>
      <x:c r="P122" s="7" t="n">
        <x:v>-46.4004909</x:v>
      </x:c>
      <x:c r="Q122" s="7" t="n">
        <x:v>-23.5020067</x:v>
      </x:c>
      <x:c r="R122" s="7" t="n">
        <x:v>-46.4004973</x:v>
      </x:c>
    </x:row>
    <x:row r="123">
      <x:c r="A123" s="6" t="inlineStr">
        <x:is>
          <x:t xml:space="preserve">ct_domingos</x:t>
        </x:is>
      </x:c>
      <x:c r="B123" s="6" t="inlineStr">
        <x:is>
          <x:t xml:space="preserve">DJC-003</x:t>
        </x:is>
      </x:c>
      <x:c r="C123" s="6" t="inlineStr">
        <x:is>
          <x:t xml:space="preserve">PV-04 - PV-05</x:t>
        </x:is>
      </x:c>
      <x:c r="D123" s="6" t="inlineStr">
        <x:is>
          <x:t xml:space="preserve">PV-04</x:t>
        </x:is>
      </x:c>
      <x:c r="E123" s="6" t="inlineStr">
        <x:is>
          <x:t xml:space="preserve">PV-05</x:t>
        </x:is>
      </x:c>
      <x:c r="F123" s="6" t="inlineStr">
        <x:is>
          <x:t xml:space="preserve">Concreto</x:t>
        </x:is>
      </x:c>
      <x:c r="G123" s="6" t="n">
        <x:v>200</x:v>
      </x:c>
      <x:c r="H123" s="6" t="inlineStr">
        <x:is>
          <x:t xml:space="preserve">Outros</x:t>
        </x:is>
      </x:c>
      <x:c r="I123" s="7" t="n">
        <x:v>85.51000000000001</x:v>
      </x:c>
      <x:c r="J123" s="7" t="n">
        <x:v>7.55</x:v>
      </x:c>
      <x:c r="K123" s="7" t="n">
        <x:v>2.3</x:v>
      </x:c>
      <x:c r="L123" s="7" t="n">
        <x:v>7.55</x:v>
      </x:c>
      <x:c r="M123" s="6" t="inlineStr">
        <x:is>
          <x:t xml:space="preserve">concluída</x:t>
        </x:is>
      </x:c>
      <x:c r="N123" s="6" t="inlineStr">
        <x:is>
          <x:t xml:space="preserve">Bloco 01 | Declividade 0.0048</x:t>
        </x:is>
      </x:c>
      <x:c r="O123" s="7" t="n">
        <x:v>-23.5020067</x:v>
      </x:c>
      <x:c r="P123" s="7" t="n">
        <x:v>-46.4004973</x:v>
      </x:c>
      <x:c r="Q123" s="7" t="n">
        <x:v>-23.5020192</x:v>
      </x:c>
      <x:c r="R123" s="7" t="n">
        <x:v>-46.3996601</x:v>
      </x:c>
    </x:row>
    <x:row r="124">
      <x:c r="A124" s="6" t="inlineStr">
        <x:is>
          <x:t xml:space="preserve">ct_domingos</x:t>
        </x:is>
      </x:c>
      <x:c r="B124" s="6" t="inlineStr">
        <x:is>
          <x:t xml:space="preserve">DJC-004</x:t>
        </x:is>
      </x:c>
      <x:c r="C124" s="6" t="inlineStr">
        <x:is>
          <x:t xml:space="preserve">PV-05 - PV-12</x:t>
        </x:is>
      </x:c>
      <x:c r="D124" s="6" t="inlineStr">
        <x:is>
          <x:t xml:space="preserve">PV-05</x:t>
        </x:is>
      </x:c>
      <x:c r="E124" s="6" t="inlineStr">
        <x:is>
          <x:t xml:space="preserve">PV-12</x:t>
        </x:is>
      </x:c>
      <x:c r="F124" s="6" t="inlineStr">
        <x:is>
          <x:t xml:space="preserve">Concreto</x:t>
        </x:is>
      </x:c>
      <x:c r="G124" s="6" t="n">
        <x:v>200</x:v>
      </x:c>
      <x:c r="H124" s="6" t="inlineStr">
        <x:is>
          <x:t xml:space="preserve">Outros</x:t>
        </x:is>
      </x:c>
      <x:c r="I124" s="7" t="n">
        <x:v>11.59</x:v>
      </x:c>
      <x:c r="J124" s="7" t="n">
        <x:v>2.3</x:v>
      </x:c>
      <x:c r="K124" s="7" t="n">
        <x:v>1.97</x:v>
      </x:c>
      <x:c r="L124" s="7" t="n">
        <x:v>2.3</x:v>
      </x:c>
      <x:c r="M124" s="6" t="inlineStr">
        <x:is>
          <x:t xml:space="preserve">concluída</x:t>
        </x:is>
      </x:c>
      <x:c r="N124" s="6" t="inlineStr">
        <x:is>
          <x:t xml:space="preserve">Bloco 01 | Declividade 0.0191</x:t>
        </x:is>
      </x:c>
      <x:c r="O124" s="7" t="n">
        <x:v>-23.5020192</x:v>
      </x:c>
      <x:c r="P124" s="7" t="n">
        <x:v>-46.3996601</x:v>
      </x:c>
      <x:c r="Q124" s="7" t="n">
        <x:v>-23.5020188</x:v>
      </x:c>
      <x:c r="R124" s="7" t="n">
        <x:v>-46.3995466</x:v>
      </x:c>
    </x:row>
    <x:row r="125">
      <x:c r="A125" s="6" t="inlineStr">
        <x:is>
          <x:t xml:space="preserve">ct_domingos</x:t>
        </x:is>
      </x:c>
      <x:c r="B125" s="6" t="inlineStr">
        <x:is>
          <x:t xml:space="preserve">DJC-005</x:t>
        </x:is>
      </x:c>
      <x:c r="C125" s="6" t="inlineStr">
        <x:is>
          <x:t xml:space="preserve">PV-12 - PIE-16</x:t>
        </x:is>
      </x:c>
      <x:c r="D125" s="6" t="inlineStr">
        <x:is>
          <x:t xml:space="preserve">PV-12</x:t>
        </x:is>
      </x:c>
      <x:c r="E125" s="6" t="inlineStr">
        <x:is>
          <x:t xml:space="preserve">PIE-16</x:t>
        </x:is>
      </x:c>
      <x:c r="F125" s="6" t="inlineStr">
        <x:is>
          <x:t xml:space="preserve">Concreto</x:t>
        </x:is>
      </x:c>
      <x:c r="G125" s="6" t="n">
        <x:v>200</x:v>
      </x:c>
      <x:c r="H125" s="6" t="inlineStr">
        <x:is>
          <x:t xml:space="preserve">Outros</x:t>
        </x:is>
      </x:c>
      <x:c r="I125" s="7" t="n">
        <x:v>2.94</x:v>
      </x:c>
      <x:c r="J125" s="7" t="n">
        <x:v>1.7</x:v>
      </x:c>
      <x:c r="K125" s="7" t="n">
        <x:v>1.3</x:v>
      </x:c>
      <x:c r="L125" s="7" t="n">
        <x:v>1.7</x:v>
      </x:c>
      <x:c r="M125" s="6" t="inlineStr">
        <x:is>
          <x:t xml:space="preserve">concluída</x:t>
        </x:is>
      </x:c>
      <x:c r="N125" s="6" t="inlineStr">
        <x:is>
          <x:t xml:space="preserve">Bloco 01 | Declividade 0.1367</x:t>
        </x:is>
      </x:c>
      <x:c r="O125" s="7" t="n">
        <x:v>-23.5020188</x:v>
      </x:c>
      <x:c r="P125" s="7" t="n">
        <x:v>-46.3995466</x:v>
      </x:c>
      <x:c r="Q125" s="7" t="n">
        <x:v>-23.5019922</x:v>
      </x:c>
      <x:c r="R125" s="7" t="n">
        <x:v>-46.3995469</x:v>
      </x:c>
    </x:row>
    <x:row r="126">
      <x:c r="A126" s="6" t="inlineStr">
        <x:is>
          <x:t xml:space="preserve">ct_domingos</x:t>
        </x:is>
      </x:c>
      <x:c r="B126" s="6" t="inlineStr">
        <x:is>
          <x:t xml:space="preserve">DJC-006</x:t>
        </x:is>
      </x:c>
      <x:c r="C126" s="6" t="inlineStr">
        <x:is>
          <x:t xml:space="preserve">PV-12 - PV-13A</x:t>
        </x:is>
      </x:c>
      <x:c r="D126" s="6" t="inlineStr">
        <x:is>
          <x:t xml:space="preserve">PV-12</x:t>
        </x:is>
      </x:c>
      <x:c r="E126" s="6" t="inlineStr">
        <x:is>
          <x:t xml:space="preserve">PV-13A</x:t>
        </x:is>
      </x:c>
      <x:c r="F126" s="6" t="inlineStr">
        <x:is>
          <x:t xml:space="preserve">Concreto</x:t>
        </x:is>
      </x:c>
      <x:c r="G126" s="6" t="n">
        <x:v>200</x:v>
      </x:c>
      <x:c r="H126" s="6" t="inlineStr">
        <x:is>
          <x:t xml:space="preserve">Outros</x:t>
        </x:is>
      </x:c>
      <x:c r="I126" s="7" t="n">
        <x:v>12.12</x:v>
      </x:c>
      <x:c r="J126" s="7" t="n">
        <x:v>1.97</x:v>
      </x:c>
      <x:c r="K126" s="7" t="n">
        <x:v>1.98</x:v>
      </x:c>
      <x:c r="L126" s="7" t="n">
        <x:v>1.98</x:v>
      </x:c>
      <x:c r="M126" s="6" t="inlineStr">
        <x:is>
          <x:t xml:space="preserve">concluída</x:t>
        </x:is>
      </x:c>
      <x:c r="N126" s="6" t="inlineStr">
        <x:is>
          <x:t xml:space="preserve">Bloco 01 | Declividade 0.0012</x:t>
        </x:is>
      </x:c>
      <x:c r="O126" s="7" t="n">
        <x:v>-23.5020188</x:v>
      </x:c>
      <x:c r="P126" s="7" t="n">
        <x:v>-46.3995466</x:v>
      </x:c>
      <x:c r="Q126" s="7" t="n">
        <x:v>-23.5020171</x:v>
      </x:c>
      <x:c r="R126" s="7" t="n">
        <x:v>-46.3994279</x:v>
      </x:c>
    </x:row>
    <x:row r="127">
      <x:c r="A127" s="6" t="inlineStr">
        <x:is>
          <x:t xml:space="preserve">ct_domingos</x:t>
        </x:is>
      </x:c>
      <x:c r="B127" s="6" t="inlineStr">
        <x:is>
          <x:t xml:space="preserve">DJC-007</x:t>
        </x:is>
      </x:c>
      <x:c r="C127" s="6" t="inlineStr">
        <x:is>
          <x:t xml:space="preserve">PV-13A - PI-14.1</x:t>
        </x:is>
      </x:c>
      <x:c r="D127" s="6" t="inlineStr">
        <x:is>
          <x:t xml:space="preserve">PV-13A</x:t>
        </x:is>
      </x:c>
      <x:c r="E127" s="6" t="inlineStr">
        <x:is>
          <x:t xml:space="preserve">PI-14.1</x:t>
        </x:is>
      </x:c>
      <x:c r="F127" s="6" t="inlineStr">
        <x:is>
          <x:t xml:space="preserve">Concreto</x:t>
        </x:is>
      </x:c>
      <x:c r="G127" s="6" t="n">
        <x:v>200</x:v>
      </x:c>
      <x:c r="H127" s="6" t="inlineStr">
        <x:is>
          <x:t xml:space="preserve">Outros</x:t>
        </x:is>
      </x:c>
      <x:c r="I127" s="7" t="n">
        <x:v>3.56</x:v>
      </x:c>
      <x:c r="J127" s="7" t="n">
        <x:v>1.85</x:v>
      </x:c>
      <x:c r="K127" s="7" t="n">
        <x:v>1.3</x:v>
      </x:c>
      <x:c r="L127" s="7" t="n">
        <x:v>1.85</x:v>
      </x:c>
      <x:c r="M127" s="6" t="inlineStr">
        <x:is>
          <x:t xml:space="preserve">concluída</x:t>
        </x:is>
      </x:c>
      <x:c r="N127" s="6" t="inlineStr">
        <x:is>
          <x:t xml:space="preserve">Bloco 01 | Declividade 0.164</x:t>
        </x:is>
      </x:c>
      <x:c r="O127" s="7" t="n">
        <x:v>-23.5020171</x:v>
      </x:c>
      <x:c r="P127" s="7" t="n">
        <x:v>-46.3994279</x:v>
      </x:c>
      <x:c r="Q127" s="7" t="n">
        <x:v>-23.5019919</x:v>
      </x:c>
      <x:c r="R127" s="7" t="n">
        <x:v>-46.3994063</x:v>
      </x:c>
    </x:row>
    <x:row r="128">
      <x:c r="A128" s="6" t="inlineStr">
        <x:is>
          <x:t xml:space="preserve">ct_domingos</x:t>
        </x:is>
      </x:c>
      <x:c r="B128" s="6" t="inlineStr">
        <x:is>
          <x:t xml:space="preserve">DJC-008</x:t>
        </x:is>
      </x:c>
      <x:c r="C128" s="6" t="inlineStr">
        <x:is>
          <x:t xml:space="preserve">PV-13A - PIE-13</x:t>
        </x:is>
      </x:c>
      <x:c r="D128" s="6" t="inlineStr">
        <x:is>
          <x:t xml:space="preserve">PV-13A</x:t>
        </x:is>
      </x:c>
      <x:c r="E128" s="6" t="inlineStr">
        <x:is>
          <x:t xml:space="preserve">PIE-13</x:t>
        </x:is>
      </x:c>
      <x:c r="F128" s="6" t="inlineStr">
        <x:is>
          <x:t xml:space="preserve">Concreto</x:t>
        </x:is>
      </x:c>
      <x:c r="G128" s="6" t="n">
        <x:v>200</x:v>
      </x:c>
      <x:c r="H128" s="6" t="inlineStr">
        <x:is>
          <x:t xml:space="preserve">Outros</x:t>
        </x:is>
      </x:c>
      <x:c r="I128" s="7" t="n">
        <x:v>3.1</x:v>
      </x:c>
      <x:c r="J128" s="7" t="n">
        <x:v>1.3</x:v>
      </x:c>
      <x:c r="K128" s="7" t="n">
        <x:v>1.15</x:v>
      </x:c>
      <x:c r="L128" s="7" t="n">
        <x:v>1.3</x:v>
      </x:c>
      <x:c r="M128" s="6" t="inlineStr">
        <x:is>
          <x:t xml:space="preserve">concluída</x:t>
        </x:is>
      </x:c>
      <x:c r="N128" s="6" t="inlineStr">
        <x:is>
          <x:t xml:space="preserve">Bloco 01 | Declividade 0.0742</x:t>
        </x:is>
      </x:c>
      <x:c r="O128" s="7" t="n">
        <x:v>-23.5020171</x:v>
      </x:c>
      <x:c r="P128" s="7" t="n">
        <x:v>-46.3994279</x:v>
      </x:c>
      <x:c r="Q128" s="7" t="n">
        <x:v>-23.502019</x:v>
      </x:c>
      <x:c r="R128" s="7" t="n">
        <x:v>-46.3993976</x:v>
      </x:c>
    </x:row>
    <x:row r="129">
      <x:c r="A129" s="6" t="inlineStr">
        <x:is>
          <x:t xml:space="preserve">ct_domingos</x:t>
        </x:is>
      </x:c>
      <x:c r="B129" s="6" t="inlineStr">
        <x:is>
          <x:t xml:space="preserve">DJC-009</x:t>
        </x:is>
      </x:c>
      <x:c r="C129" s="6" t="inlineStr">
        <x:is>
          <x:t xml:space="preserve">PV-05 - PV-06</x:t>
        </x:is>
      </x:c>
      <x:c r="D129" s="6" t="inlineStr">
        <x:is>
          <x:t xml:space="preserve">PV-05</x:t>
        </x:is>
      </x:c>
      <x:c r="E129" s="6" t="inlineStr">
        <x:is>
          <x:t xml:space="preserve">PV-06</x:t>
        </x:is>
      </x:c>
      <x:c r="F129" s="6" t="inlineStr">
        <x:is>
          <x:t xml:space="preserve">Concreto</x:t>
        </x:is>
      </x:c>
      <x:c r="G129" s="6" t="n">
        <x:v>200</x:v>
      </x:c>
      <x:c r="H129" s="6" t="inlineStr">
        <x:is>
          <x:t xml:space="preserve">Outros</x:t>
        </x:is>
      </x:c>
      <x:c r="I129" s="7" t="n">
        <x:v>46.33</x:v>
      </x:c>
      <x:c r="J129" s="7" t="n">
        <x:v>1.95</x:v>
      </x:c>
      <x:c r="K129" s="7" t="n">
        <x:v>2.9</x:v>
      </x:c>
      <x:c r="L129" s="7" t="n">
        <x:v>2.9</x:v>
      </x:c>
      <x:c r="M129" s="6" t="inlineStr">
        <x:is>
          <x:t xml:space="preserve">concluída</x:t>
        </x:is>
      </x:c>
      <x:c r="N129" s="6" t="inlineStr">
        <x:is>
          <x:t xml:space="preserve">Bloco 02 | Declividade 0.0032</x:t>
        </x:is>
      </x:c>
      <x:c r="O129" s="7" t="n">
        <x:v>-23.5020192</x:v>
      </x:c>
      <x:c r="P129" s="7" t="n">
        <x:v>-46.3996601</x:v>
      </x:c>
      <x:c r="Q129" s="7" t="n">
        <x:v>-23.5024375</x:v>
      </x:c>
      <x:c r="R129" s="7" t="n">
        <x:v>-46.3996735</x:v>
      </x:c>
    </x:row>
    <x:row r="130">
      <x:c r="A130" s="6" t="inlineStr">
        <x:is>
          <x:t xml:space="preserve">ct_domingos</x:t>
        </x:is>
      </x:c>
      <x:c r="B130" s="6" t="inlineStr">
        <x:is>
          <x:t xml:space="preserve">DJC-010</x:t>
        </x:is>
      </x:c>
      <x:c r="C130" s="6" t="inlineStr">
        <x:is>
          <x:t xml:space="preserve">PV-06 - PV-17</x:t>
        </x:is>
      </x:c>
      <x:c r="D130" s="6" t="inlineStr">
        <x:is>
          <x:t xml:space="preserve">PV-06</x:t>
        </x:is>
      </x:c>
      <x:c r="E130" s="6" t="inlineStr">
        <x:is>
          <x:t xml:space="preserve">PV-17</x:t>
        </x:is>
      </x:c>
      <x:c r="F130" s="6" t="inlineStr">
        <x:is>
          <x:t xml:space="preserve">Concreto</x:t>
        </x:is>
      </x:c>
      <x:c r="G130" s="6" t="n">
        <x:v>200</x:v>
      </x:c>
      <x:c r="H130" s="6" t="inlineStr">
        <x:is>
          <x:t xml:space="preserve">Outros</x:t>
        </x:is>
      </x:c>
      <x:c r="I130" s="7" t="n">
        <x:v>48.86</x:v>
      </x:c>
      <x:c r="J130" s="7" t="n">
        <x:v>2.6</x:v>
      </x:c>
      <x:c r="K130" s="7" t="n">
        <x:v>1.8</x:v>
      </x:c>
      <x:c r="L130" s="7" t="n">
        <x:v>2.6</x:v>
      </x:c>
      <x:c r="M130" s="6" t="inlineStr">
        <x:is>
          <x:t xml:space="preserve">concluída</x:t>
        </x:is>
      </x:c>
      <x:c r="N130" s="6" t="inlineStr">
        <x:is>
          <x:t xml:space="preserve">Bloco 02 | Declividade 0.0104</x:t>
        </x:is>
      </x:c>
      <x:c r="O130" s="7" t="n">
        <x:v>-23.5024375</x:v>
      </x:c>
      <x:c r="P130" s="7" t="n">
        <x:v>-46.3996735</x:v>
      </x:c>
      <x:c r="Q130" s="7" t="n">
        <x:v>-23.5024271</x:v>
      </x:c>
      <x:c r="R130" s="7" t="n">
        <x:v>-46.3991951</x:v>
      </x:c>
    </x:row>
    <x:row r="131">
      <x:c r="A131" s="6" t="inlineStr">
        <x:is>
          <x:t xml:space="preserve">ct_domingos</x:t>
        </x:is>
      </x:c>
      <x:c r="B131" s="6" t="inlineStr">
        <x:is>
          <x:t xml:space="preserve">DJC-011</x:t>
        </x:is>
      </x:c>
      <x:c r="C131" s="6" t="inlineStr">
        <x:is>
          <x:t xml:space="preserve">PV-17 - PI-20</x:t>
        </x:is>
      </x:c>
      <x:c r="D131" s="6" t="inlineStr">
        <x:is>
          <x:t xml:space="preserve">PV-17</x:t>
        </x:is>
      </x:c>
      <x:c r="E131" s="6" t="inlineStr">
        <x:is>
          <x:t xml:space="preserve">PI-20</x:t>
        </x:is>
      </x:c>
      <x:c r="F131" s="6" t="inlineStr">
        <x:is>
          <x:t xml:space="preserve">Concreto</x:t>
        </x:is>
      </x:c>
      <x:c r="G131" s="6" t="n">
        <x:v>200</x:v>
      </x:c>
      <x:c r="H131" s="6" t="inlineStr">
        <x:is>
          <x:t xml:space="preserve">Outros</x:t>
        </x:is>
      </x:c>
      <x:c r="I131" s="7" t="n">
        <x:v>2.11</x:v>
      </x:c>
      <x:c r="J131" s="7" t="n">
        <x:v>1.54</x:v>
      </x:c>
      <x:c r="K131" s="7" t="n">
        <x:v>1.4</x:v>
      </x:c>
      <x:c r="L131" s="7" t="n">
        <x:v>1.54</x:v>
      </x:c>
      <x:c r="M131" s="6" t="inlineStr">
        <x:is>
          <x:t xml:space="preserve">concluída</x:t>
        </x:is>
      </x:c>
      <x:c r="N131" s="6" t="inlineStr">
        <x:is>
          <x:t xml:space="preserve">Bloco 02 | Declividade 0.0284</x:t>
        </x:is>
      </x:c>
      <x:c r="O131" s="7" t="n">
        <x:v>-23.5024271</x:v>
      </x:c>
      <x:c r="P131" s="7" t="n">
        <x:v>-46.3991951</x:v>
      </x:c>
      <x:c r="Q131" s="7" t="n">
        <x:v>-23.5024085</x:v>
      </x:c>
      <x:c r="R131" s="7" t="n">
        <x:v>-46.3992</x:v>
      </x:c>
    </x:row>
    <x:row r="132">
      <x:c r="A132" s="6" t="inlineStr">
        <x:is>
          <x:t xml:space="preserve">ct_domingos</x:t>
        </x:is>
      </x:c>
      <x:c r="B132" s="6" t="inlineStr">
        <x:is>
          <x:t xml:space="preserve">DJC-012</x:t>
        </x:is>
      </x:c>
      <x:c r="C132" s="6" t="inlineStr">
        <x:is>
          <x:t xml:space="preserve">PV-17 - PV-18</x:t>
        </x:is>
      </x:c>
      <x:c r="D132" s="6" t="inlineStr">
        <x:is>
          <x:t xml:space="preserve">PV-17</x:t>
        </x:is>
      </x:c>
      <x:c r="E132" s="6" t="inlineStr">
        <x:is>
          <x:t xml:space="preserve">PV-18</x:t>
        </x:is>
      </x:c>
      <x:c r="F132" s="6" t="inlineStr">
        <x:is>
          <x:t xml:space="preserve">Concreto</x:t>
        </x:is>
      </x:c>
      <x:c r="G132" s="6" t="n">
        <x:v>200</x:v>
      </x:c>
      <x:c r="H132" s="6" t="inlineStr">
        <x:is>
          <x:t xml:space="preserve">Outros</x:t>
        </x:is>
      </x:c>
      <x:c r="I132" s="7" t="n">
        <x:v>6.69</x:v>
      </x:c>
      <x:c r="J132" s="7" t="n">
        <x:v>1.8</x:v>
      </x:c>
      <x:c r="K132" s="7" t="n">
        <x:v>1.8</x:v>
      </x:c>
      <x:c r="L132" s="7" t="n">
        <x:v>1.8</x:v>
      </x:c>
      <x:c r="M132" s="6" t="inlineStr">
        <x:is>
          <x:t xml:space="preserve">concluída</x:t>
        </x:is>
      </x:c>
      <x:c r="N132" s="6" t="inlineStr">
        <x:is>
          <x:t xml:space="preserve">Bloco 02 | Declividade 0.0254</x:t>
        </x:is>
      </x:c>
      <x:c r="O132" s="7" t="n">
        <x:v>-23.5024271</x:v>
      </x:c>
      <x:c r="P132" s="7" t="n">
        <x:v>-46.3991951</x:v>
      </x:c>
      <x:c r="Q132" s="7" t="n">
        <x:v>-23.502425</x:v>
      </x:c>
      <x:c r="R132" s="7" t="n">
        <x:v>-46.3991295</x:v>
      </x:c>
    </x:row>
    <x:row r="133">
      <x:c r="A133" s="6" t="inlineStr">
        <x:is>
          <x:t xml:space="preserve">ct_domingos</x:t>
        </x:is>
      </x:c>
      <x:c r="B133" s="6" t="inlineStr">
        <x:is>
          <x:t xml:space="preserve">DJC-013</x:t>
        </x:is>
      </x:c>
      <x:c r="C133" s="6" t="inlineStr">
        <x:is>
          <x:t xml:space="preserve">PV-18 - PI-19</x:t>
        </x:is>
      </x:c>
      <x:c r="D133" s="6" t="inlineStr">
        <x:is>
          <x:t xml:space="preserve">PV-18</x:t>
        </x:is>
      </x:c>
      <x:c r="E133" s="6" t="inlineStr">
        <x:is>
          <x:t xml:space="preserve">PI-19</x:t>
        </x:is>
      </x:c>
      <x:c r="F133" s="6" t="inlineStr">
        <x:is>
          <x:t xml:space="preserve">Concreto</x:t>
        </x:is>
      </x:c>
      <x:c r="G133" s="6" t="n">
        <x:v>200</x:v>
      </x:c>
      <x:c r="H133" s="6" t="inlineStr">
        <x:is>
          <x:t xml:space="preserve">Outros</x:t>
        </x:is>
      </x:c>
      <x:c r="I133" s="7" t="n">
        <x:v>3.25</x:v>
      </x:c>
      <x:c r="J133" s="7" t="n">
        <x:v>1.75</x:v>
      </x:c>
      <x:c r="K133" s="7" t="n">
        <x:v>1.5</x:v>
      </x:c>
      <x:c r="L133" s="7" t="n">
        <x:v>1.75</x:v>
      </x:c>
      <x:c r="M133" s="6" t="inlineStr">
        <x:is>
          <x:t xml:space="preserve">concluída</x:t>
        </x:is>
      </x:c>
      <x:c r="N133" s="6" t="inlineStr">
        <x:is>
          <x:t xml:space="preserve">Bloco 02 | Declividade 0.0862</x:t>
        </x:is>
      </x:c>
      <x:c r="O133" s="7" t="n">
        <x:v>-23.502425</x:v>
      </x:c>
      <x:c r="P133" s="7" t="n">
        <x:v>-46.3991295</x:v>
      </x:c>
      <x:c r="Q133" s="7" t="n">
        <x:v>-23.5023969</x:v>
      </x:c>
      <x:c r="R133" s="7" t="n">
        <x:v>-46.3991204</x:v>
      </x:c>
    </x:row>
    <x:row r="134">
      <x:c r="A134" s="6" t="inlineStr">
        <x:is>
          <x:t xml:space="preserve">ct_domingos</x:t>
        </x:is>
      </x:c>
      <x:c r="B134" s="6" t="inlineStr">
        <x:is>
          <x:t xml:space="preserve">DJC-014</x:t>
        </x:is>
      </x:c>
      <x:c r="C134" s="6" t="inlineStr">
        <x:is>
          <x:t xml:space="preserve">PV-18 - PI-18.1</x:t>
        </x:is>
      </x:c>
      <x:c r="D134" s="6" t="inlineStr">
        <x:is>
          <x:t xml:space="preserve">PV-18</x:t>
        </x:is>
      </x:c>
      <x:c r="E134" s="6" t="inlineStr">
        <x:is>
          <x:t xml:space="preserve">PI-18.1</x:t>
        </x:is>
      </x:c>
      <x:c r="F134" s="6" t="inlineStr">
        <x:is>
          <x:t xml:space="preserve">Concreto</x:t>
        </x:is>
      </x:c>
      <x:c r="G134" s="6" t="n">
        <x:v>200</x:v>
      </x:c>
      <x:c r="H134" s="6" t="inlineStr">
        <x:is>
          <x:t xml:space="preserve">Outros</x:t>
        </x:is>
      </x:c>
      <x:c r="I134" s="7" t="n">
        <x:v>1.45</x:v>
      </x:c>
      <x:c r="J134" s="7" t="n">
        <x:v>1.02</x:v>
      </x:c>
      <x:c r="K134" s="7" t="n">
        <x:v>0.95</x:v>
      </x:c>
      <x:c r="L134" s="7" t="n">
        <x:v>1.02</x:v>
      </x:c>
      <x:c r="M134" s="6" t="inlineStr">
        <x:is>
          <x:t xml:space="preserve">concluída</x:t>
        </x:is>
      </x:c>
      <x:c r="N134" s="6" t="inlineStr">
        <x:is>
          <x:t xml:space="preserve">Bloco 02 | Declividade 0.0276</x:t>
        </x:is>
      </x:c>
      <x:c r="O134" s="7" t="n">
        <x:v>-23.502425</x:v>
      </x:c>
      <x:c r="P134" s="7" t="n">
        <x:v>-46.3991295</x:v>
      </x:c>
      <x:c r="Q134" s="7" t="n">
        <x:v>-23.5024381</x:v>
      </x:c>
      <x:c r="R134" s="7" t="n">
        <x:v>-46.3991277</x:v>
      </x:c>
    </x:row>
    <x:row r="135">
      <x:c r="A135" s="6" t="inlineStr">
        <x:is>
          <x:t xml:space="preserve">ct_domingos</x:t>
        </x:is>
      </x:c>
      <x:c r="B135" s="6" t="inlineStr">
        <x:is>
          <x:t xml:space="preserve">DJC-015</x:t>
        </x:is>
      </x:c>
      <x:c r="C135" s="6" t="inlineStr">
        <x:is>
          <x:t xml:space="preserve">PV-06 - PV-07</x:t>
        </x:is>
      </x:c>
      <x:c r="D135" s="6" t="inlineStr">
        <x:is>
          <x:t xml:space="preserve">PV-06</x:t>
        </x:is>
      </x:c>
      <x:c r="E135" s="6" t="inlineStr">
        <x:is>
          <x:t xml:space="preserve">PV-07</x:t>
        </x:is>
      </x:c>
      <x:c r="F135" s="6" t="inlineStr">
        <x:is>
          <x:t xml:space="preserve">Concreto</x:t>
        </x:is>
      </x:c>
      <x:c r="G135" s="6" t="n">
        <x:v>200</x:v>
      </x:c>
      <x:c r="H135" s="6" t="inlineStr">
        <x:is>
          <x:t xml:space="preserve">Outros</x:t>
        </x:is>
      </x:c>
      <x:c r="I135" s="7" t="n">
        <x:v>46.45</x:v>
      </x:c>
      <x:c r="J135" s="7" t="n">
        <x:v>2.9</x:v>
      </x:c>
      <x:c r="K135" s="7" t="n">
        <x:v>4.55</x:v>
      </x:c>
      <x:c r="L135" s="7" t="n">
        <x:v>4.55</x:v>
      </x:c>
      <x:c r="M135" s="6" t="inlineStr">
        <x:is>
          <x:t xml:space="preserve">concluída</x:t>
        </x:is>
      </x:c>
      <x:c r="N135" s="6" t="inlineStr">
        <x:is>
          <x:t xml:space="preserve">Bloco 03 | Declividade 0.0069</x:t>
        </x:is>
      </x:c>
      <x:c r="O135" s="7" t="n">
        <x:v>-23.5024375</x:v>
      </x:c>
      <x:c r="P135" s="7" t="n">
        <x:v>-46.3996735</x:v>
      </x:c>
      <x:c r="Q135" s="7" t="n">
        <x:v>-23.5028569</x:v>
      </x:c>
      <x:c r="R135" s="7" t="n">
        <x:v>-46.3996631</x:v>
      </x:c>
    </x:row>
    <x:row r="136">
      <x:c r="A136" s="6" t="inlineStr">
        <x:is>
          <x:t xml:space="preserve">ct_domingos</x:t>
        </x:is>
      </x:c>
      <x:c r="B136" s="6" t="inlineStr">
        <x:is>
          <x:t xml:space="preserve">DJC-016</x:t>
        </x:is>
      </x:c>
      <x:c r="C136" s="6" t="inlineStr">
        <x:is>
          <x:t xml:space="preserve">PV-07 - PV-21</x:t>
        </x:is>
      </x:c>
      <x:c r="D136" s="6" t="inlineStr">
        <x:is>
          <x:t xml:space="preserve">PV-07</x:t>
        </x:is>
      </x:c>
      <x:c r="E136" s="6" t="inlineStr">
        <x:is>
          <x:t xml:space="preserve">PV-21</x:t>
        </x:is>
      </x:c>
      <x:c r="F136" s="6" t="inlineStr">
        <x:is>
          <x:t xml:space="preserve">Concreto</x:t>
        </x:is>
      </x:c>
      <x:c r="G136" s="6" t="n">
        <x:v>200</x:v>
      </x:c>
      <x:c r="H136" s="6" t="inlineStr">
        <x:is>
          <x:t xml:space="preserve">Outros</x:t>
        </x:is>
      </x:c>
      <x:c r="I136" s="7" t="n">
        <x:v>51.25</x:v>
      </x:c>
      <x:c r="J136" s="7" t="n">
        <x:v>4.48</x:v>
      </x:c>
      <x:c r="K136" s="7" t="n">
        <x:v>1.9</x:v>
      </x:c>
      <x:c r="L136" s="7" t="n">
        <x:v>4.48</x:v>
      </x:c>
      <x:c r="M136" s="6" t="inlineStr">
        <x:is>
          <x:t xml:space="preserve">concluída</x:t>
        </x:is>
      </x:c>
      <x:c r="N136" s="6" t="inlineStr">
        <x:is>
          <x:t xml:space="preserve">Bloco 03 | Declividade 0.0164</x:t>
        </x:is>
      </x:c>
      <x:c r="O136" s="7" t="n">
        <x:v>-23.5028569</x:v>
      </x:c>
      <x:c r="P136" s="7" t="n">
        <x:v>-46.3996631</x:v>
      </x:c>
      <x:c r="Q136" s="7" t="n">
        <x:v>-23.5028771</x:v>
      </x:c>
      <x:c r="R136" s="7" t="n">
        <x:v>-46.3991617</x:v>
      </x:c>
    </x:row>
    <x:row r="137">
      <x:c r="A137" s="6" t="inlineStr">
        <x:is>
          <x:t xml:space="preserve">ct_domingos</x:t>
        </x:is>
      </x:c>
      <x:c r="B137" s="6" t="inlineStr">
        <x:is>
          <x:t xml:space="preserve">DJC-017</x:t>
        </x:is>
      </x:c>
      <x:c r="C137" s="6" t="inlineStr">
        <x:is>
          <x:t xml:space="preserve">PV-21 - PV-22</x:t>
        </x:is>
      </x:c>
      <x:c r="D137" s="6" t="inlineStr">
        <x:is>
          <x:t xml:space="preserve">PV-21</x:t>
        </x:is>
      </x:c>
      <x:c r="E137" s="6" t="inlineStr">
        <x:is>
          <x:t xml:space="preserve">PV-22</x:t>
        </x:is>
      </x:c>
      <x:c r="F137" s="6" t="inlineStr">
        <x:is>
          <x:t xml:space="preserve">Concreto</x:t>
        </x:is>
      </x:c>
      <x:c r="G137" s="6" t="n">
        <x:v>200</x:v>
      </x:c>
      <x:c r="H137" s="6" t="inlineStr">
        <x:is>
          <x:t xml:space="preserve">Outros</x:t>
        </x:is>
      </x:c>
      <x:c r="I137" s="7" t="n">
        <x:v>8.02</x:v>
      </x:c>
      <x:c r="J137" s="7" t="n">
        <x:v>1.9</x:v>
      </x:c>
      <x:c r="K137" s="7" t="n">
        <x:v>1.85</x:v>
      </x:c>
      <x:c r="L137" s="7" t="n">
        <x:v>1.9</x:v>
      </x:c>
      <x:c r="M137" s="6" t="inlineStr">
        <x:is>
          <x:t xml:space="preserve">concluída</x:t>
        </x:is>
      </x:c>
      <x:c r="N137" s="6" t="inlineStr">
        <x:is>
          <x:t xml:space="preserve">Bloco 03 | Declividade 0.015</x:t>
        </x:is>
      </x:c>
      <x:c r="O137" s="7" t="n">
        <x:v>-23.5028771</x:v>
      </x:c>
      <x:c r="P137" s="7" t="n">
        <x:v>-46.3991617</x:v>
      </x:c>
      <x:c r="Q137" s="7" t="n">
        <x:v>-23.5028799</x:v>
      </x:c>
      <x:c r="R137" s="7" t="n">
        <x:v>-46.3990831</x:v>
      </x:c>
    </x:row>
    <x:row r="138">
      <x:c r="A138" s="6" t="inlineStr">
        <x:is>
          <x:t xml:space="preserve">ct_domingos</x:t>
        </x:is>
      </x:c>
      <x:c r="B138" s="6" t="inlineStr">
        <x:is>
          <x:t xml:space="preserve">DJC-018</x:t>
        </x:is>
      </x:c>
      <x:c r="C138" s="6" t="inlineStr">
        <x:is>
          <x:t xml:space="preserve">PV-22 - PI-23</x:t>
        </x:is>
      </x:c>
      <x:c r="D138" s="6" t="inlineStr">
        <x:is>
          <x:t xml:space="preserve">PV-22</x:t>
        </x:is>
      </x:c>
      <x:c r="E138" s="6" t="inlineStr">
        <x:is>
          <x:t xml:space="preserve">PI-23</x:t>
        </x:is>
      </x:c>
      <x:c r="F138" s="6" t="inlineStr">
        <x:is>
          <x:t xml:space="preserve">Concreto</x:t>
        </x:is>
      </x:c>
      <x:c r="G138" s="6" t="n">
        <x:v>200</x:v>
      </x:c>
      <x:c r="H138" s="6" t="inlineStr">
        <x:is>
          <x:t xml:space="preserve">Outros</x:t>
        </x:is>
      </x:c>
      <x:c r="I138" s="7" t="n">
        <x:v>2.36</x:v>
      </x:c>
      <x:c r="J138" s="6" t="n">
        <x:v>1</x:v>
      </x:c>
      <x:c r="K138" s="7" t="n">
        <x:v>0.7</x:v>
      </x:c>
      <x:c r="L138" s="6" t="n">
        <x:v>1</x:v>
      </x:c>
      <x:c r="M138" s="6" t="inlineStr">
        <x:is>
          <x:t xml:space="preserve">concluída</x:t>
        </x:is>
      </x:c>
      <x:c r="N138" s="6" t="inlineStr">
        <x:is>
          <x:t xml:space="preserve">Bloco 03 | Declividade 0.1059</x:t>
        </x:is>
      </x:c>
      <x:c r="O138" s="7" t="n">
        <x:v>-23.5028799</x:v>
      </x:c>
      <x:c r="P138" s="7" t="n">
        <x:v>-46.3990831</x:v>
      </x:c>
      <x:c r="Q138" s="7" t="n">
        <x:v>-23.5028657</x:v>
      </x:c>
      <x:c r="R138" s="7" t="n">
        <x:v>-46.3990658</x:v>
      </x:c>
    </x:row>
    <x:row r="139">
      <x:c r="A139" s="6" t="inlineStr">
        <x:is>
          <x:t xml:space="preserve">ct_domingos</x:t>
        </x:is>
      </x:c>
      <x:c r="B139" s="6" t="inlineStr">
        <x:is>
          <x:t xml:space="preserve">DJC-019</x:t>
        </x:is>
      </x:c>
      <x:c r="C139" s="6" t="inlineStr">
        <x:is>
          <x:t xml:space="preserve">PV-07 - PV-08</x:t>
        </x:is>
      </x:c>
      <x:c r="D139" s="6" t="inlineStr">
        <x:is>
          <x:t xml:space="preserve">PV-07</x:t>
        </x:is>
      </x:c>
      <x:c r="E139" s="6" t="inlineStr">
        <x:is>
          <x:t xml:space="preserve">PV-08</x:t>
        </x:is>
      </x:c>
      <x:c r="F139" s="6" t="inlineStr">
        <x:is>
          <x:t xml:space="preserve">Concreto</x:t>
        </x:is>
      </x:c>
      <x:c r="G139" s="6" t="n">
        <x:v>200</x:v>
      </x:c>
      <x:c r="H139" s="6" t="inlineStr">
        <x:is>
          <x:t xml:space="preserve">Outros</x:t>
        </x:is>
      </x:c>
      <x:c r="I139" s="7" t="n">
        <x:v>47.3</x:v>
      </x:c>
      <x:c r="J139" s="7" t="n">
        <x:v>4.55</x:v>
      </x:c>
      <x:c r="K139" s="7" t="n">
        <x:v>6.4</x:v>
      </x:c>
      <x:c r="L139" s="7" t="n">
        <x:v>6.4</x:v>
      </x:c>
      <x:c r="M139" s="6" t="inlineStr">
        <x:is>
          <x:t xml:space="preserve">concluída</x:t>
        </x:is>
      </x:c>
      <x:c r="N139" s="6" t="inlineStr">
        <x:is>
          <x:t xml:space="preserve">Bloco 04 | Declividade 0.0053</x:t>
        </x:is>
      </x:c>
      <x:c r="O139" s="7" t="n">
        <x:v>-23.5028569</x:v>
      </x:c>
      <x:c r="P139" s="7" t="n">
        <x:v>-46.3996631</x:v>
      </x:c>
      <x:c r="Q139" s="7" t="n">
        <x:v>-23.5032839</x:v>
      </x:c>
      <x:c r="R139" s="7" t="n">
        <x:v>-46.3996762</x:v>
      </x:c>
    </x:row>
    <x:row r="140">
      <x:c r="A140" s="6" t="inlineStr">
        <x:is>
          <x:t xml:space="preserve">ct_domingos</x:t>
        </x:is>
      </x:c>
      <x:c r="B140" s="6" t="inlineStr">
        <x:is>
          <x:t xml:space="preserve">DJC-020</x:t>
        </x:is>
      </x:c>
      <x:c r="C140" s="6" t="inlineStr">
        <x:is>
          <x:t xml:space="preserve">PV-08 - PV-09</x:t>
        </x:is>
      </x:c>
      <x:c r="D140" s="6" t="inlineStr">
        <x:is>
          <x:t xml:space="preserve">PV-08</x:t>
        </x:is>
      </x:c>
      <x:c r="E140" s="6" t="inlineStr">
        <x:is>
          <x:t xml:space="preserve">PV-09</x:t>
        </x:is>
      </x:c>
      <x:c r="F140" s="6" t="inlineStr">
        <x:is>
          <x:t xml:space="preserve">Concreto</x:t>
        </x:is>
      </x:c>
      <x:c r="G140" s="6" t="n">
        <x:v>200</x:v>
      </x:c>
      <x:c r="H140" s="6" t="inlineStr">
        <x:is>
          <x:t xml:space="preserve">Outros</x:t>
        </x:is>
      </x:c>
      <x:c r="I140" s="7" t="n">
        <x:v>62.84</x:v>
      </x:c>
      <x:c r="J140" s="7" t="n">
        <x:v>6.4</x:v>
      </x:c>
      <x:c r="K140" s="7" t="n">
        <x:v>2.72</x:v>
      </x:c>
      <x:c r="L140" s="7" t="n">
        <x:v>6.4</x:v>
      </x:c>
      <x:c r="M140" s="6" t="inlineStr">
        <x:is>
          <x:t xml:space="preserve">concluída</x:t>
        </x:is>
      </x:c>
      <x:c r="N140" s="6" t="inlineStr">
        <x:is>
          <x:t xml:space="preserve">Bloco 04 | Declividade 0.0091</x:t>
        </x:is>
      </x:c>
      <x:c r="O140" s="7" t="n">
        <x:v>-23.5032839</x:v>
      </x:c>
      <x:c r="P140" s="7" t="n">
        <x:v>-46.3996762</x:v>
      </x:c>
      <x:c r="Q140" s="7" t="n">
        <x:v>-23.503301</x:v>
      </x:c>
      <x:c r="R140" s="7" t="n">
        <x:v>-46.3990611</x:v>
      </x:c>
    </x:row>
    <x:row r="141">
      <x:c r="A141" s="6" t="inlineStr">
        <x:is>
          <x:t xml:space="preserve">ct_domingos</x:t>
        </x:is>
      </x:c>
      <x:c r="B141" s="6" t="inlineStr">
        <x:is>
          <x:t xml:space="preserve">DJC-021</x:t>
        </x:is>
      </x:c>
      <x:c r="C141" s="6" t="inlineStr">
        <x:is>
          <x:t xml:space="preserve">PV-09 - PV-10</x:t>
        </x:is>
      </x:c>
      <x:c r="D141" s="6" t="inlineStr">
        <x:is>
          <x:t xml:space="preserve">PV-09</x:t>
        </x:is>
      </x:c>
      <x:c r="E141" s="6" t="inlineStr">
        <x:is>
          <x:t xml:space="preserve">PV-10</x:t>
        </x:is>
      </x:c>
      <x:c r="F141" s="6" t="inlineStr">
        <x:is>
          <x:t xml:space="preserve">Concreto</x:t>
        </x:is>
      </x:c>
      <x:c r="G141" s="6" t="n">
        <x:v>200</x:v>
      </x:c>
      <x:c r="H141" s="6" t="inlineStr">
        <x:is>
          <x:t xml:space="preserve">Outros</x:t>
        </x:is>
      </x:c>
      <x:c r="I141" s="7" t="n">
        <x:v>11.26</x:v>
      </x:c>
      <x:c r="J141" s="7" t="n">
        <x:v>2.72</x:v>
      </x:c>
      <x:c r="K141" s="7" t="n">
        <x:v>2.85</x:v>
      </x:c>
      <x:c r="L141" s="7" t="n">
        <x:v>2.85</x:v>
      </x:c>
      <x:c r="M141" s="6" t="inlineStr">
        <x:is>
          <x:t xml:space="preserve">concluída</x:t>
        </x:is>
      </x:c>
      <x:c r="N141" s="6" t="inlineStr">
        <x:is>
          <x:t xml:space="preserve">Bloco 04 | Declividade 0.008</x:t>
        </x:is>
      </x:c>
      <x:c r="O141" s="7" t="n">
        <x:v>-23.503301</x:v>
      </x:c>
      <x:c r="P141" s="7" t="n">
        <x:v>-46.3990611</x:v>
      </x:c>
      <x:c r="Q141" s="7" t="n">
        <x:v>-23.5033034</x:v>
      </x:c>
      <x:c r="R141" s="7" t="n">
        <x:v>-46.3989508</x:v>
      </x:c>
    </x:row>
    <x:row r="142">
      <x:c r="A142" s="6" t="inlineStr">
        <x:is>
          <x:t xml:space="preserve">ct_domingos</x:t>
        </x:is>
      </x:c>
      <x:c r="B142" s="6" t="inlineStr">
        <x:is>
          <x:t xml:space="preserve">DJC-022</x:t>
        </x:is>
      </x:c>
      <x:c r="C142" s="6" t="inlineStr">
        <x:is>
          <x:t xml:space="preserve">PV-09 - PI-24</x:t>
        </x:is>
      </x:c>
      <x:c r="D142" s="6" t="inlineStr">
        <x:is>
          <x:t xml:space="preserve">PV-09</x:t>
        </x:is>
      </x:c>
      <x:c r="E142" s="6" t="inlineStr">
        <x:is>
          <x:t xml:space="preserve">PI-24</x:t>
        </x:is>
      </x:c>
      <x:c r="F142" s="6" t="inlineStr">
        <x:is>
          <x:t xml:space="preserve">Concreto</x:t>
        </x:is>
      </x:c>
      <x:c r="G142" s="6" t="n">
        <x:v>200</x:v>
      </x:c>
      <x:c r="H142" s="6" t="inlineStr">
        <x:is>
          <x:t xml:space="preserve">Outros</x:t>
        </x:is>
      </x:c>
      <x:c r="I142" s="7" t="n">
        <x:v>1.77</x:v>
      </x:c>
      <x:c r="J142" s="7" t="n">
        <x:v>1.3</x:v>
      </x:c>
      <x:c r="K142" s="7" t="n">
        <x:v>1.3</x:v>
      </x:c>
      <x:c r="L142" s="7" t="n">
        <x:v>1.3</x:v>
      </x:c>
      <x:c r="M142" s="6" t="inlineStr">
        <x:is>
          <x:t xml:space="preserve">concluída</x:t>
        </x:is>
      </x:c>
      <x:c r="N142" s="6" t="inlineStr">
        <x:is>
          <x:t xml:space="preserve">Bloco 04 | Declividade 0.0113</x:t>
        </x:is>
      </x:c>
      <x:c r="O142" s="7" t="n">
        <x:v>-23.503301</x:v>
      </x:c>
      <x:c r="P142" s="7" t="n">
        <x:v>-46.3990611</x:v>
      </x:c>
      <x:c r="Q142" s="7" t="n">
        <x:v>-23.5032855</x:v>
      </x:c>
      <x:c r="R142" s="7" t="n">
        <x:v>-46.3990565</x:v>
      </x:c>
    </x:row>
    <x:row r="143">
      <x:c r="A143" s="6" t="inlineStr">
        <x:is>
          <x:t xml:space="preserve">ct_domingos</x:t>
        </x:is>
      </x:c>
      <x:c r="B143" s="6" t="inlineStr">
        <x:is>
          <x:t xml:space="preserve">DJC-023</x:t>
        </x:is>
      </x:c>
      <x:c r="C143" s="6" t="inlineStr">
        <x:is>
          <x:t xml:space="preserve">PV-09 - PIE-09.1</x:t>
        </x:is>
      </x:c>
      <x:c r="D143" s="6" t="inlineStr">
        <x:is>
          <x:t xml:space="preserve">PV-09</x:t>
        </x:is>
      </x:c>
      <x:c r="E143" s="6" t="inlineStr">
        <x:is>
          <x:t xml:space="preserve">PIE-09.1</x:t>
        </x:is>
      </x:c>
      <x:c r="F143" s="6" t="inlineStr">
        <x:is>
          <x:t xml:space="preserve">Concreto</x:t>
        </x:is>
      </x:c>
      <x:c r="G143" s="6" t="n">
        <x:v>200</x:v>
      </x:c>
      <x:c r="H143" s="6" t="inlineStr">
        <x:is>
          <x:t xml:space="preserve">Outros</x:t>
        </x:is>
      </x:c>
      <x:c r="I143" s="7" t="n">
        <x:v>5.27</x:v>
      </x:c>
      <x:c r="J143" s="7" t="n">
        <x:v>1.26</x:v>
      </x:c>
      <x:c r="K143" s="7" t="n">
        <x:v>1.1</x:v>
      </x:c>
      <x:c r="L143" s="7" t="n">
        <x:v>1.26</x:v>
      </x:c>
      <x:c r="M143" s="6" t="inlineStr">
        <x:is>
          <x:t xml:space="preserve">concluída</x:t>
        </x:is>
      </x:c>
      <x:c r="N143" s="6" t="inlineStr">
        <x:is>
          <x:t xml:space="preserve">Bloco 04 | Declividade 0.0531</x:t>
        </x:is>
      </x:c>
      <x:c r="O143" s="7" t="n">
        <x:v>-23.503301</x:v>
      </x:c>
      <x:c r="P143" s="7" t="n">
        <x:v>-46.3990611</x:v>
      </x:c>
      <x:c r="Q143" s="7" t="n">
        <x:v>-23.5033097</x:v>
      </x:c>
      <x:c r="R143" s="7" t="n">
        <x:v>-46.3990103</x:v>
      </x:c>
    </x:row>
    <x:row r="144">
      <x:c r="A144" s="6" t="inlineStr">
        <x:is>
          <x:t xml:space="preserve">ct_domingos</x:t>
        </x:is>
      </x:c>
      <x:c r="B144" s="6" t="inlineStr">
        <x:is>
          <x:t xml:space="preserve">DJC-024</x:t>
        </x:is>
      </x:c>
      <x:c r="C144" s="6" t="inlineStr">
        <x:is>
          <x:t xml:space="preserve">PV-10 - PIE-11</x:t>
        </x:is>
      </x:c>
      <x:c r="D144" s="6" t="inlineStr">
        <x:is>
          <x:t xml:space="preserve">PV-10</x:t>
        </x:is>
      </x:c>
      <x:c r="E144" s="6" t="inlineStr">
        <x:is>
          <x:t xml:space="preserve">PIE-11</x:t>
        </x:is>
      </x:c>
      <x:c r="F144" s="6" t="inlineStr">
        <x:is>
          <x:t xml:space="preserve">Concreto</x:t>
        </x:is>
      </x:c>
      <x:c r="G144" s="6" t="n">
        <x:v>200</x:v>
      </x:c>
      <x:c r="H144" s="6" t="inlineStr">
        <x:is>
          <x:t xml:space="preserve">Outros</x:t>
        </x:is>
      </x:c>
      <x:c r="I144" s="7" t="n">
        <x:v>2.13</x:v>
      </x:c>
      <x:c r="J144" s="7" t="n">
        <x:v>1.23</x:v>
      </x:c>
      <x:c r="K144" s="6" t="n">
        <x:v>1</x:v>
      </x:c>
      <x:c r="L144" s="7" t="n">
        <x:v>1.23</x:v>
      </x:c>
      <x:c r="M144" s="6" t="inlineStr">
        <x:is>
          <x:t xml:space="preserve">concluída</x:t>
        </x:is>
      </x:c>
      <x:c r="N144" s="6" t="inlineStr">
        <x:is>
          <x:t xml:space="preserve">Bloco 04 | Declividade 0.0845</x:t>
        </x:is>
      </x:c>
      <x:c r="O144" s="7" t="n">
        <x:v>-23.5033034</x:v>
      </x:c>
      <x:c r="P144" s="7" t="n">
        <x:v>-46.3989508</x:v>
      </x:c>
      <x:c r="Q144" s="7" t="n">
        <x:v>-23.5032844</x:v>
      </x:c>
      <x:c r="R144" s="7" t="n">
        <x:v>-46.3989473</x:v>
      </x:c>
    </x:row>
    <x:row r="145">
      <x:c r="A145" s="6" t="inlineStr">
        <x:is>
          <x:t xml:space="preserve">cts_bandeirantes</x:t>
        </x:is>
      </x:c>
      <x:c r="B145" s="6" t="inlineStr">
        <x:is>
          <x:t xml:space="preserve">CTS_-001</x:t>
        </x:is>
      </x:c>
      <x:c r="C145" s="6" t="inlineStr">
        <x:is>
          <x:t xml:space="preserve">PV-48 - PV-20</x:t>
        </x:is>
      </x:c>
      <x:c r="D145" s="6" t="inlineStr">
        <x:is>
          <x:t xml:space="preserve">PV-48</x:t>
        </x:is>
      </x:c>
      <x:c r="E145" s="6" t="inlineStr">
        <x:is>
          <x:t xml:space="preserve">PV-20</x:t>
        </x:is>
      </x:c>
      <x:c r="F145" s="6" t="inlineStr">
        <x:is>
          <x:t xml:space="preserve">PVC</x:t>
        </x:is>
      </x:c>
      <x:c r="G145" s="6" t="n">
        <x:v>200</x:v>
      </x:c>
      <x:c r="H145" s="6" t="inlineStr">
        <x:is>
          <x:t xml:space="preserve">Vala a Céu Aberto - VCA</x:t>
        </x:is>
      </x:c>
      <x:c r="I145" s="7" t="n">
        <x:v>35.28</x:v>
      </x:c>
      <x:c r="J145" s="7" t="n">
        <x:v>3.22</x:v>
      </x:c>
      <x:c r="K145" s="7" t="n">
        <x:v>5.2</x:v>
      </x:c>
      <x:c r="L145" s="7" t="n">
        <x:v>5.2</x:v>
      </x:c>
      <x:c r="M145" s="6" t="inlineStr">
        <x:is>
          <x:t xml:space="preserve">concluída</x:t>
        </x:is>
      </x:c>
      <x:c r="N145" s="6" t="n"/>
      <x:c r="O145" s="7" t="n">
        <x:v>-23.5342937</x:v>
      </x:c>
      <x:c r="P145" s="7" t="n">
        <x:v>-46.3881306</x:v>
      </x:c>
      <x:c r="Q145" s="7" t="n">
        <x:v>-23.5341004</x:v>
      </x:c>
      <x:c r="R145" s="7" t="n">
        <x:v>-46.3884098</x:v>
      </x:c>
    </x:row>
    <x:row r="146">
      <x:c r="A146" s="6" t="inlineStr">
        <x:is>
          <x:t xml:space="preserve">cts_bandeirantes</x:t>
        </x:is>
      </x:c>
      <x:c r="B146" s="6" t="inlineStr">
        <x:is>
          <x:t xml:space="preserve">CTS_-002</x:t>
        </x:is>
      </x:c>
      <x:c r="C146" s="6" t="inlineStr">
        <x:is>
          <x:t xml:space="preserve">PV-34 - PV-32</x:t>
        </x:is>
      </x:c>
      <x:c r="D146" s="6" t="inlineStr">
        <x:is>
          <x:t xml:space="preserve">PV-34</x:t>
        </x:is>
      </x:c>
      <x:c r="E146" s="6" t="inlineStr">
        <x:is>
          <x:t xml:space="preserve">PV-32</x:t>
        </x:is>
      </x:c>
      <x:c r="F146" s="6" t="inlineStr">
        <x:is>
          <x:t xml:space="preserve">PEAD</x:t>
        </x:is>
      </x:c>
      <x:c r="G146" s="6" t="n">
        <x:v>355</x:v>
      </x:c>
      <x:c r="H146" s="6" t="inlineStr">
        <x:is>
          <x:t xml:space="preserve">Método Não Destrutivo - MND</x:t>
        </x:is>
      </x:c>
      <x:c r="I146" s="7" t="n">
        <x:v>104.81</x:v>
      </x:c>
      <x:c r="J146" s="7" t="n">
        <x:v>4.84</x:v>
      </x:c>
      <x:c r="K146" s="7" t="n">
        <x:v>4.38</x:v>
      </x:c>
      <x:c r="L146" s="7" t="n">
        <x:v>4.84</x:v>
      </x:c>
      <x:c r="M146" s="6" t="inlineStr">
        <x:is>
          <x:t xml:space="preserve">concluída</x:t>
        </x:is>
      </x:c>
      <x:c r="N146" s="6" t="n"/>
      <x:c r="O146" s="7" t="n">
        <x:v>-23.5387668</x:v>
      </x:c>
      <x:c r="P146" s="7" t="n">
        <x:v>-46.3864564</x:v>
      </x:c>
      <x:c r="Q146" s="7" t="n">
        <x:v>-23.5378286</x:v>
      </x:c>
      <x:c r="R146" s="7" t="n">
        <x:v>-46.3865887</x:v>
      </x:c>
    </x:row>
    <x:row r="147">
      <x:c r="A147" s="6" t="inlineStr">
        <x:is>
          <x:t xml:space="preserve">cts_bandeirantes</x:t>
        </x:is>
      </x:c>
      <x:c r="B147" s="6" t="inlineStr">
        <x:is>
          <x:t xml:space="preserve">CTS_-003</x:t>
        </x:is>
      </x:c>
      <x:c r="C147" s="6" t="inlineStr">
        <x:is>
          <x:t xml:space="preserve">PV-35 - PV-34</x:t>
        </x:is>
      </x:c>
      <x:c r="D147" s="6" t="inlineStr">
        <x:is>
          <x:t xml:space="preserve">PV-35</x:t>
        </x:is>
      </x:c>
      <x:c r="E147" s="6" t="inlineStr">
        <x:is>
          <x:t xml:space="preserve">PV-34</x:t>
        </x:is>
      </x:c>
      <x:c r="F147" s="6" t="inlineStr">
        <x:is>
          <x:t xml:space="preserve">PEAD</x:t>
        </x:is>
      </x:c>
      <x:c r="G147" s="6" t="n">
        <x:v>355</x:v>
      </x:c>
      <x:c r="H147" s="6" t="inlineStr">
        <x:is>
          <x:t xml:space="preserve">Método Não Destrutivo - MND</x:t>
        </x:is>
      </x:c>
      <x:c r="I147" s="7" t="n">
        <x:v>75.61</x:v>
      </x:c>
      <x:c r="J147" s="7" t="n">
        <x:v>7.41</x:v>
      </x:c>
      <x:c r="K147" s="7" t="n">
        <x:v>4.84</x:v>
      </x:c>
      <x:c r="L147" s="7" t="n">
        <x:v>7.41</x:v>
      </x:c>
      <x:c r="M147" s="6" t="inlineStr">
        <x:is>
          <x:t xml:space="preserve">concluída</x:t>
        </x:is>
      </x:c>
      <x:c r="N147" s="6" t="n"/>
      <x:c r="O147" s="7" t="n">
        <x:v>-23.5394109</x:v>
      </x:c>
      <x:c r="P147" s="7" t="n">
        <x:v>-46.3862105</x:v>
      </x:c>
      <x:c r="Q147" s="7" t="n">
        <x:v>-23.5387668</x:v>
      </x:c>
      <x:c r="R147" s="7" t="n">
        <x:v>-46.3864564</x:v>
      </x:c>
    </x:row>
    <x:row r="148">
      <x:c r="A148" s="6" t="inlineStr">
        <x:is>
          <x:t xml:space="preserve">cts_bandeirantes</x:t>
        </x:is>
      </x:c>
      <x:c r="B148" s="6" t="inlineStr">
        <x:is>
          <x:t xml:space="preserve">CTS_-004</x:t>
        </x:is>
      </x:c>
      <x:c r="C148" s="6" t="inlineStr">
        <x:is>
          <x:t xml:space="preserve">PI-251 - PV-25</x:t>
        </x:is>
      </x:c>
      <x:c r="D148" s="6" t="inlineStr">
        <x:is>
          <x:t xml:space="preserve">PI-251</x:t>
        </x:is>
      </x:c>
      <x:c r="E148" s="6" t="inlineStr">
        <x:is>
          <x:t xml:space="preserve">PV-25</x:t>
        </x:is>
      </x:c>
      <x:c r="F148" s="6" t="inlineStr">
        <x:is>
          <x:t xml:space="preserve">PVC</x:t>
        </x:is>
      </x:c>
      <x:c r="G148" s="6" t="n">
        <x:v>200</x:v>
      </x:c>
      <x:c r="H148" s="6" t="inlineStr">
        <x:is>
          <x:t xml:space="preserve">Vala a Céu Aberto - VCA</x:t>
        </x:is>
      </x:c>
      <x:c r="I148" s="7" t="n">
        <x:v>11.55</x:v>
      </x:c>
      <x:c r="J148" s="7" t="n">
        <x:v>0.77</x:v>
      </x:c>
      <x:c r="K148" s="7" t="n">
        <x:v>1.36</x:v>
      </x:c>
      <x:c r="L148" s="7" t="n">
        <x:v>1.36</x:v>
      </x:c>
      <x:c r="M148" s="6" t="inlineStr">
        <x:is>
          <x:t xml:space="preserve">concluída</x:t>
        </x:is>
      </x:c>
      <x:c r="N148" s="6" t="n"/>
      <x:c r="O148" s="7" t="n">
        <x:v>-23.5359303</x:v>
      </x:c>
      <x:c r="P148" s="7" t="n">
        <x:v>-46.3874511</x:v>
      </x:c>
      <x:c r="Q148" s="7" t="n">
        <x:v>-23.5358482</x:v>
      </x:c>
      <x:c r="R148" s="7" t="n">
        <x:v>-46.3873864</x:v>
      </x:c>
    </x:row>
    <x:row r="149">
      <x:c r="A149" s="6" t="inlineStr">
        <x:is>
          <x:t xml:space="preserve">cts_bandeirantes</x:t>
        </x:is>
      </x:c>
      <x:c r="B149" s="6" t="inlineStr">
        <x:is>
          <x:t xml:space="preserve">CTS_-005</x:t>
        </x:is>
      </x:c>
      <x:c r="C149" s="6" t="inlineStr">
        <x:is>
          <x:t xml:space="preserve">PV-26 - PV-26</x:t>
        </x:is>
      </x:c>
      <x:c r="D149" s="6" t="inlineStr">
        <x:is>
          <x:t xml:space="preserve">PV-26</x:t>
        </x:is>
      </x:c>
      <x:c r="E149" s="6" t="inlineStr">
        <x:is>
          <x:t xml:space="preserve">PV-26</x:t>
        </x:is>
      </x:c>
      <x:c r="F149" s="6" t="inlineStr">
        <x:is>
          <x:t xml:space="preserve">PVC</x:t>
        </x:is>
      </x:c>
      <x:c r="G149" s="6" t="n">
        <x:v>200</x:v>
      </x:c>
      <x:c r="H149" s="6" t="inlineStr">
        <x:is>
          <x:t xml:space="preserve">Vala a Céu Aberto - VCA</x:t>
        </x:is>
      </x:c>
      <x:c r="I149" s="7" t="n">
        <x:v>13.8</x:v>
      </x:c>
      <x:c r="J149" s="7" t="n">
        <x:v>1.59</x:v>
      </x:c>
      <x:c r="K149" s="7" t="n">
        <x:v>1.77</x:v>
      </x:c>
      <x:c r="L149" s="7" t="n">
        <x:v>1.77</x:v>
      </x:c>
      <x:c r="M149" s="6" t="inlineStr">
        <x:is>
          <x:t xml:space="preserve">concluída</x:t>
        </x:is>
      </x:c>
      <x:c r="N149" s="6" t="n"/>
      <x:c r="O149" s="7" t="n">
        <x:v>-23.5362904</x:v>
      </x:c>
      <x:c r="P149" s="7" t="n">
        <x:v>-46.3872813</x:v>
      </x:c>
      <x:c r="Q149" s="7" t="n">
        <x:v>-23.5362369</x:v>
      </x:c>
      <x:c r="R149" s="7" t="n">
        <x:v>-46.3874029</x:v>
      </x:c>
    </x:row>
    <x:row r="150">
      <x:c r="A150" s="6" t="inlineStr">
        <x:is>
          <x:t xml:space="preserve">cts_bandeirantes</x:t>
        </x:is>
      </x:c>
      <x:c r="B150" s="6" t="inlineStr">
        <x:is>
          <x:t xml:space="preserve">CTS_-006</x:t>
        </x:is>
      </x:c>
      <x:c r="C150" s="6" t="inlineStr">
        <x:is>
          <x:t xml:space="preserve">PI-252 - PI-251</x:t>
        </x:is>
      </x:c>
      <x:c r="D150" s="6" t="inlineStr">
        <x:is>
          <x:t xml:space="preserve">PI-252</x:t>
        </x:is>
      </x:c>
      <x:c r="E150" s="6" t="inlineStr">
        <x:is>
          <x:t xml:space="preserve">PI-251</x:t>
        </x:is>
      </x:c>
      <x:c r="F150" s="6" t="inlineStr">
        <x:is>
          <x:t xml:space="preserve">PVC</x:t>
        </x:is>
      </x:c>
      <x:c r="G150" s="6" t="n">
        <x:v>200</x:v>
      </x:c>
      <x:c r="H150" s="6" t="inlineStr">
        <x:is>
          <x:t xml:space="preserve">Vala a Céu Aberto - VCA</x:t>
        </x:is>
      </x:c>
      <x:c r="I150" s="7" t="n">
        <x:v>11.59</x:v>
      </x:c>
      <x:c r="J150" s="7" t="n">
        <x:v>1</x:v>
      </x:c>
      <x:c r="K150" s="7" t="n">
        <x:v>0.77</x:v>
      </x:c>
      <x:c r="L150" s="7" t="n">
        <x:v>1</x:v>
      </x:c>
      <x:c r="M150" s="6" t="inlineStr">
        <x:is>
          <x:t xml:space="preserve">concluída</x:t>
        </x:is>
      </x:c>
      <x:c r="N150" s="6" t="n"/>
      <x:c r="O150" s="7" t="n">
        <x:v>-23.5360172</x:v>
      </x:c>
      <x:c r="P150" s="7" t="n">
        <x:v>-46.3874181</x:v>
      </x:c>
      <x:c r="Q150" s="7" t="n">
        <x:v>-23.5359303</x:v>
      </x:c>
      <x:c r="R150" s="7" t="n">
        <x:v>-46.3874511</x:v>
      </x:c>
    </x:row>
    <x:row r="151">
      <x:c r="A151" s="6" t="inlineStr">
        <x:is>
          <x:t xml:space="preserve">cts_bandeirantes</x:t>
        </x:is>
      </x:c>
      <x:c r="B151" s="6" t="inlineStr">
        <x:is>
          <x:t xml:space="preserve">CTS_-007</x:t>
        </x:is>
      </x:c>
      <x:c r="C151" s="6" t="inlineStr">
        <x:is>
          <x:t xml:space="preserve">PI-39 - PV-38</x:t>
        </x:is>
      </x:c>
      <x:c r="D151" s="6" t="inlineStr">
        <x:is>
          <x:t xml:space="preserve">PI-39</x:t>
        </x:is>
      </x:c>
      <x:c r="E151" s="6" t="inlineStr">
        <x:is>
          <x:t xml:space="preserve">PV-38</x:t>
        </x:is>
      </x:c>
      <x:c r="F151" s="6" t="inlineStr">
        <x:is>
          <x:t xml:space="preserve">PEAD</x:t>
        </x:is>
      </x:c>
      <x:c r="G151" s="6" t="n">
        <x:v>355</x:v>
      </x:c>
      <x:c r="H151" s="6" t="inlineStr">
        <x:is>
          <x:t xml:space="preserve">Método Não Destrutivo - MND</x:t>
        </x:is>
      </x:c>
      <x:c r="I151" s="7" t="n">
        <x:v>32.33</x:v>
      </x:c>
      <x:c r="J151" s="7" t="n">
        <x:v>1.07</x:v>
      </x:c>
      <x:c r="K151" s="7" t="n">
        <x:v>1.78</x:v>
      </x:c>
      <x:c r="L151" s="7" t="n">
        <x:v>1.78</x:v>
      </x:c>
      <x:c r="M151" s="6" t="inlineStr">
        <x:is>
          <x:t xml:space="preserve">concluída</x:t>
        </x:is>
      </x:c>
      <x:c r="N151" s="6" t="n"/>
      <x:c r="O151" s="7" t="n">
        <x:v>-23.5405729</x:v>
      </x:c>
      <x:c r="P151" s="7" t="n">
        <x:v>-46.3864874</x:v>
      </x:c>
      <x:c r="Q151" s="7" t="n">
        <x:v>-23.5402842</x:v>
      </x:c>
      <x:c r="R151" s="7" t="n">
        <x:v>-46.3865363</x:v>
      </x:c>
    </x:row>
    <x:row r="152">
      <x:c r="A152" s="6" t="inlineStr">
        <x:is>
          <x:t xml:space="preserve">cts_bandeirantes</x:t>
        </x:is>
      </x:c>
      <x:c r="B152" s="6" t="inlineStr">
        <x:is>
          <x:t xml:space="preserve">CTS_-008</x:t>
        </x:is>
      </x:c>
      <x:c r="C152" s="6" t="inlineStr">
        <x:is>
          <x:t xml:space="preserve">PV-2 - PV-1</x:t>
        </x:is>
      </x:c>
      <x:c r="D152" s="6" t="inlineStr">
        <x:is>
          <x:t xml:space="preserve">PV-2</x:t>
        </x:is>
      </x:c>
      <x:c r="E152" s="6" t="inlineStr">
        <x:is>
          <x:t xml:space="preserve">PV-1</x:t>
        </x:is>
      </x:c>
      <x:c r="F152" s="6" t="inlineStr">
        <x:is>
          <x:t xml:space="preserve">PEAD</x:t>
        </x:is>
      </x:c>
      <x:c r="G152" s="6" t="n">
        <x:v>355</x:v>
      </x:c>
      <x:c r="H152" s="6" t="inlineStr">
        <x:is>
          <x:t xml:space="preserve">Método Não Destrutivo - MND</x:t>
        </x:is>
      </x:c>
      <x:c r="I152" s="7" t="n">
        <x:v>56.85</x:v>
      </x:c>
      <x:c r="J152" s="7" t="n">
        <x:v>4.25</x:v>
      </x:c>
      <x:c r="K152" s="7" t="n">
        <x:v>4.46</x:v>
      </x:c>
      <x:c r="L152" s="7" t="n">
        <x:v>4.46</x:v>
      </x:c>
      <x:c r="M152" s="6" t="inlineStr">
        <x:is>
          <x:t xml:space="preserve">concluída</x:t>
        </x:is>
      </x:c>
      <x:c r="N152" s="6" t="n"/>
      <x:c r="O152" s="7" t="n">
        <x:v>-23.5302709</x:v>
      </x:c>
      <x:c r="P152" s="7" t="n">
        <x:v>-46.3954216</x:v>
      </x:c>
      <x:c r="Q152" s="7" t="n">
        <x:v>-23.529783</x:v>
      </x:c>
      <x:c r="R152" s="7" t="n">
        <x:v>-46.3952478</x:v>
      </x:c>
    </x:row>
    <x:row r="153">
      <x:c r="A153" s="6" t="inlineStr">
        <x:is>
          <x:t xml:space="preserve">cts_bandeirantes</x:t>
        </x:is>
      </x:c>
      <x:c r="B153" s="6" t="inlineStr">
        <x:is>
          <x:t xml:space="preserve">CTS_-009</x:t>
        </x:is>
      </x:c>
      <x:c r="C153" s="6" t="inlineStr">
        <x:is>
          <x:t xml:space="preserve">PV-3 - PV-2</x:t>
        </x:is>
      </x:c>
      <x:c r="D153" s="6" t="inlineStr">
        <x:is>
          <x:t xml:space="preserve">PV-3</x:t>
        </x:is>
      </x:c>
      <x:c r="E153" s="6" t="inlineStr">
        <x:is>
          <x:t xml:space="preserve">PV-2</x:t>
        </x:is>
      </x:c>
      <x:c r="F153" s="6" t="inlineStr">
        <x:is>
          <x:t xml:space="preserve">PEAD</x:t>
        </x:is>
      </x:c>
      <x:c r="G153" s="6" t="n">
        <x:v>355</x:v>
      </x:c>
      <x:c r="H153" s="6" t="inlineStr">
        <x:is>
          <x:t xml:space="preserve">Método Não Destrutivo - MND</x:t>
        </x:is>
      </x:c>
      <x:c r="I153" s="7" t="n">
        <x:v>11.45</x:v>
      </x:c>
      <x:c r="J153" s="7" t="n">
        <x:v>4.12</x:v>
      </x:c>
      <x:c r="K153" s="7" t="n">
        <x:v>4.25</x:v>
      </x:c>
      <x:c r="L153" s="7" t="n">
        <x:v>4.25</x:v>
      </x:c>
      <x:c r="M153" s="6" t="inlineStr">
        <x:is>
          <x:t xml:space="preserve">concluída</x:t>
        </x:is>
      </x:c>
      <x:c r="N153" s="6" t="n"/>
      <x:c r="O153" s="7" t="n">
        <x:v>-23.5302693</x:v>
      </x:c>
      <x:c r="P153" s="7" t="n">
        <x:v>-46.3953091</x:v>
      </x:c>
      <x:c r="Q153" s="7" t="n">
        <x:v>-23.5302709</x:v>
      </x:c>
      <x:c r="R153" s="7" t="n">
        <x:v>-46.3954216</x:v>
      </x:c>
    </x:row>
    <x:row r="154">
      <x:c r="A154" s="6" t="inlineStr">
        <x:is>
          <x:t xml:space="preserve">cts_bandeirantes</x:t>
        </x:is>
      </x:c>
      <x:c r="B154" s="6" t="inlineStr">
        <x:is>
          <x:t xml:space="preserve">CTS_-010</x:t>
        </x:is>
      </x:c>
      <x:c r="C154" s="6" t="inlineStr">
        <x:is>
          <x:t xml:space="preserve">PV-4 - PV-3</x:t>
        </x:is>
      </x:c>
      <x:c r="D154" s="6" t="inlineStr">
        <x:is>
          <x:t xml:space="preserve">PV-4</x:t>
        </x:is>
      </x:c>
      <x:c r="E154" s="6" t="inlineStr">
        <x:is>
          <x:t xml:space="preserve">PV-3</x:t>
        </x:is>
      </x:c>
      <x:c r="F154" s="6" t="inlineStr">
        <x:is>
          <x:t xml:space="preserve">PEAD</x:t>
        </x:is>
      </x:c>
      <x:c r="G154" s="6" t="n">
        <x:v>355</x:v>
      </x:c>
      <x:c r="H154" s="6" t="inlineStr">
        <x:is>
          <x:t xml:space="preserve">Método Não Destrutivo - MND</x:t>
        </x:is>
      </x:c>
      <x:c r="I154" s="7" t="n">
        <x:v>65.48999999999999</x:v>
      </x:c>
      <x:c r="J154" s="7" t="n">
        <x:v>4.67</x:v>
      </x:c>
      <x:c r="K154" s="7" t="n">
        <x:v>4.12</x:v>
      </x:c>
      <x:c r="L154" s="7" t="n">
        <x:v>4.67</x:v>
      </x:c>
      <x:c r="M154" s="6" t="inlineStr">
        <x:is>
          <x:t xml:space="preserve">concluída</x:t>
        </x:is>
      </x:c>
      <x:c r="N154" s="6" t="n"/>
      <x:c r="O154" s="7" t="n">
        <x:v>-23.5303983</x:v>
      </x:c>
      <x:c r="P154" s="7" t="n">
        <x:v>-46.3946824</x:v>
      </x:c>
      <x:c r="Q154" s="7" t="n">
        <x:v>-23.5302693</x:v>
      </x:c>
      <x:c r="R154" s="7" t="n">
        <x:v>-46.3953091</x:v>
      </x:c>
    </x:row>
    <x:row r="155">
      <x:c r="A155" s="6" t="inlineStr">
        <x:is>
          <x:t xml:space="preserve">cts_bandeirantes</x:t>
        </x:is>
      </x:c>
      <x:c r="B155" s="6" t="inlineStr">
        <x:is>
          <x:t xml:space="preserve">CTS_-011</x:t>
        </x:is>
      </x:c>
      <x:c r="C155" s="6" t="inlineStr">
        <x:is>
          <x:t xml:space="preserve">PV-42 - PV-7</x:t>
        </x:is>
      </x:c>
      <x:c r="D155" s="6" t="inlineStr">
        <x:is>
          <x:t xml:space="preserve">PV-42</x:t>
        </x:is>
      </x:c>
      <x:c r="E155" s="6" t="inlineStr">
        <x:is>
          <x:t xml:space="preserve">PV-7</x:t>
        </x:is>
      </x:c>
      <x:c r="F155" s="6" t="inlineStr">
        <x:is>
          <x:t xml:space="preserve">PEAD</x:t>
        </x:is>
      </x:c>
      <x:c r="G155" s="6" t="n">
        <x:v>355</x:v>
      </x:c>
      <x:c r="H155" s="6" t="inlineStr">
        <x:is>
          <x:t xml:space="preserve">Método Não Destrutivo - MND</x:t>
        </x:is>
      </x:c>
      <x:c r="I155" s="7" t="n">
        <x:v>63.1</x:v>
      </x:c>
      <x:c r="J155" s="7" t="n">
        <x:v>3.35</x:v>
      </x:c>
      <x:c r="K155" s="7" t="n">
        <x:v>4.38</x:v>
      </x:c>
      <x:c r="L155" s="7" t="n">
        <x:v>4.38</x:v>
      </x:c>
      <x:c r="M155" s="6" t="inlineStr">
        <x:is>
          <x:t xml:space="preserve">concluída</x:t>
        </x:is>
      </x:c>
      <x:c r="N155" s="6" t="n"/>
      <x:c r="O155" s="7" t="n">
        <x:v>-23.5303861</x:v>
      </x:c>
      <x:c r="P155" s="7" t="n">
        <x:v>-46.3921783</x:v>
      </x:c>
      <x:c r="Q155" s="7" t="n">
        <x:v>-23.5309465</x:v>
      </x:c>
      <x:c r="R155" s="7" t="n">
        <x:v>-46.3922934</x:v>
      </x:c>
    </x:row>
    <x:row r="156">
      <x:c r="A156" s="6" t="inlineStr">
        <x:is>
          <x:t xml:space="preserve">cts_bandeirantes</x:t>
        </x:is>
      </x:c>
      <x:c r="B156" s="6" t="inlineStr">
        <x:is>
          <x:t xml:space="preserve">CTS_-012</x:t>
        </x:is>
      </x:c>
      <x:c r="C156" s="6" t="inlineStr">
        <x:is>
          <x:t xml:space="preserve">PV-9 - PV-7</x:t>
        </x:is>
      </x:c>
      <x:c r="D156" s="6" t="inlineStr">
        <x:is>
          <x:t xml:space="preserve">PV-9</x:t>
        </x:is>
      </x:c>
      <x:c r="E156" s="6" t="inlineStr">
        <x:is>
          <x:t xml:space="preserve">PV-7</x:t>
        </x:is>
      </x:c>
      <x:c r="F156" s="6" t="inlineStr">
        <x:is>
          <x:t xml:space="preserve">PEAD</x:t>
        </x:is>
      </x:c>
      <x:c r="G156" s="6" t="n">
        <x:v>355</x:v>
      </x:c>
      <x:c r="H156" s="6" t="inlineStr">
        <x:is>
          <x:t xml:space="preserve">Método Não Destrutivo - MND</x:t>
        </x:is>
      </x:c>
      <x:c r="I156" s="7" t="n">
        <x:v>52.44</x:v>
      </x:c>
      <x:c r="J156" s="7" t="n">
        <x:v>3.73</x:v>
      </x:c>
      <x:c r="K156" s="7" t="n">
        <x:v>4.48</x:v>
      </x:c>
      <x:c r="L156" s="7" t="n">
        <x:v>4.48</x:v>
      </x:c>
      <x:c r="M156" s="6" t="inlineStr">
        <x:is>
          <x:t xml:space="preserve">concluída</x:t>
        </x:is>
      </x:c>
      <x:c r="N156" s="6" t="n"/>
      <x:c r="O156" s="7" t="n">
        <x:v>-23.5311215</x:v>
      </x:c>
      <x:c r="P156" s="7" t="n">
        <x:v>-46.3918165</x:v>
      </x:c>
      <x:c r="Q156" s="7" t="n">
        <x:v>-23.5309465</x:v>
      </x:c>
      <x:c r="R156" s="7" t="n">
        <x:v>-46.3922934</x:v>
      </x:c>
    </x:row>
    <x:row r="157">
      <x:c r="A157" s="6" t="inlineStr">
        <x:is>
          <x:t xml:space="preserve">cts_bandeirantes</x:t>
        </x:is>
      </x:c>
      <x:c r="B157" s="6" t="inlineStr">
        <x:is>
          <x:t xml:space="preserve">CTS_-013</x:t>
        </x:is>
      </x:c>
      <x:c r="C157" s="6" t="inlineStr">
        <x:is>
          <x:t xml:space="preserve">PV-11 - PV-9</x:t>
        </x:is>
      </x:c>
      <x:c r="D157" s="6" t="inlineStr">
        <x:is>
          <x:t xml:space="preserve">PV-11</x:t>
        </x:is>
      </x:c>
      <x:c r="E157" s="6" t="inlineStr">
        <x:is>
          <x:t xml:space="preserve">PV-9</x:t>
        </x:is>
      </x:c>
      <x:c r="F157" s="6" t="inlineStr">
        <x:is>
          <x:t xml:space="preserve">PEAD</x:t>
        </x:is>
      </x:c>
      <x:c r="G157" s="6" t="n">
        <x:v>355</x:v>
      </x:c>
      <x:c r="H157" s="6" t="inlineStr">
        <x:is>
          <x:t xml:space="preserve">Método Não Destrutivo - MND</x:t>
        </x:is>
      </x:c>
      <x:c r="I157" s="7" t="n">
        <x:v>83.66</x:v>
      </x:c>
      <x:c r="J157" s="7" t="n">
        <x:v>2.9</x:v>
      </x:c>
      <x:c r="K157" s="7" t="n">
        <x:v>3.73</x:v>
      </x:c>
      <x:c r="L157" s="7" t="n">
        <x:v>3.73</x:v>
      </x:c>
      <x:c r="M157" s="6" t="inlineStr">
        <x:is>
          <x:t xml:space="preserve">concluída</x:t>
        </x:is>
      </x:c>
      <x:c r="N157" s="6" t="n"/>
      <x:c r="O157" s="7" t="n">
        <x:v>-23.531401</x:v>
      </x:c>
      <x:c r="P157" s="7" t="n">
        <x:v>-46.3910552</x:v>
      </x:c>
      <x:c r="Q157" s="7" t="n">
        <x:v>-23.5311215</x:v>
      </x:c>
      <x:c r="R157" s="7" t="n">
        <x:v>-46.3918165</x:v>
      </x:c>
    </x:row>
    <x:row r="158">
      <x:c r="A158" s="6" t="inlineStr">
        <x:is>
          <x:t xml:space="preserve">cts_bandeirantes</x:t>
        </x:is>
      </x:c>
      <x:c r="B158" s="6" t="inlineStr">
        <x:is>
          <x:t xml:space="preserve">CTS_-014</x:t>
        </x:is>
      </x:c>
      <x:c r="C158" s="6" t="inlineStr">
        <x:is>
          <x:t xml:space="preserve">PV-12 - PV-11</x:t>
        </x:is>
      </x:c>
      <x:c r="D158" s="6" t="inlineStr">
        <x:is>
          <x:t xml:space="preserve">PV-12</x:t>
        </x:is>
      </x:c>
      <x:c r="E158" s="6" t="inlineStr">
        <x:is>
          <x:t xml:space="preserve">PV-11</x:t>
        </x:is>
      </x:c>
      <x:c r="F158" s="6" t="inlineStr">
        <x:is>
          <x:t xml:space="preserve">PEAD</x:t>
        </x:is>
      </x:c>
      <x:c r="G158" s="6" t="n">
        <x:v>355</x:v>
      </x:c>
      <x:c r="H158" s="6" t="inlineStr">
        <x:is>
          <x:t xml:space="preserve">Método Não Destrutivo - MND</x:t>
        </x:is>
      </x:c>
      <x:c r="I158" s="7" t="n">
        <x:v>59.22</x:v>
      </x:c>
      <x:c r="J158" s="7" t="n">
        <x:v>5.48</x:v>
      </x:c>
      <x:c r="K158" s="7" t="n">
        <x:v>2.81</x:v>
      </x:c>
      <x:c r="L158" s="7" t="n">
        <x:v>5.48</x:v>
      </x:c>
      <x:c r="M158" s="6" t="inlineStr">
        <x:is>
          <x:t xml:space="preserve">concluída</x:t>
        </x:is>
      </x:c>
      <x:c r="N158" s="6" t="n"/>
      <x:c r="O158" s="7" t="n">
        <x:v>-23.5319087</x:v>
      </x:c>
      <x:c r="P158" s="7" t="n">
        <x:v>-46.3908843</x:v>
      </x:c>
      <x:c r="Q158" s="7" t="n">
        <x:v>-23.531401</x:v>
      </x:c>
      <x:c r="R158" s="7" t="n">
        <x:v>-46.3910552</x:v>
      </x:c>
    </x:row>
    <x:row r="159">
      <x:c r="A159" s="6" t="inlineStr">
        <x:is>
          <x:t xml:space="preserve">cts_bandeirantes</x:t>
        </x:is>
      </x:c>
      <x:c r="B159" s="6" t="inlineStr">
        <x:is>
          <x:t xml:space="preserve">CTS_-015</x:t>
        </x:is>
      </x:c>
      <x:c r="C159" s="6" t="inlineStr">
        <x:is>
          <x:t xml:space="preserve">PV-13 - PV-12</x:t>
        </x:is>
      </x:c>
      <x:c r="D159" s="6" t="inlineStr">
        <x:is>
          <x:t xml:space="preserve">PV-13</x:t>
        </x:is>
      </x:c>
      <x:c r="E159" s="6" t="inlineStr">
        <x:is>
          <x:t xml:space="preserve">PV-12</x:t>
        </x:is>
      </x:c>
      <x:c r="F159" s="6" t="inlineStr">
        <x:is>
          <x:t xml:space="preserve">PEAD</x:t>
        </x:is>
      </x:c>
      <x:c r="G159" s="6" t="n">
        <x:v>355</x:v>
      </x:c>
      <x:c r="H159" s="6" t="inlineStr">
        <x:is>
          <x:t xml:space="preserve">Método Não Destrutivo - MND</x:t>
        </x:is>
      </x:c>
      <x:c r="I159" s="7" t="n">
        <x:v>36.31</x:v>
      </x:c>
      <x:c r="J159" s="7" t="n">
        <x:v>7.1</x:v>
      </x:c>
      <x:c r="K159" s="7" t="n">
        <x:v>5.48</x:v>
      </x:c>
      <x:c r="L159" s="7" t="n">
        <x:v>7.1</x:v>
      </x:c>
      <x:c r="M159" s="6" t="inlineStr">
        <x:is>
          <x:t xml:space="preserve">concluída</x:t>
        </x:is>
      </x:c>
      <x:c r="N159" s="6" t="n"/>
      <x:c r="O159" s="7" t="n">
        <x:v>-23.5321947</x:v>
      </x:c>
      <x:c r="P159" s="7" t="n">
        <x:v>-46.3907059</x:v>
      </x:c>
      <x:c r="Q159" s="7" t="n">
        <x:v>-23.5319087</x:v>
      </x:c>
      <x:c r="R159" s="7" t="n">
        <x:v>-46.3908843</x:v>
      </x:c>
    </x:row>
    <x:row r="160">
      <x:c r="A160" s="6" t="inlineStr">
        <x:is>
          <x:t xml:space="preserve">cts_bandeirantes</x:t>
        </x:is>
      </x:c>
      <x:c r="B160" s="6" t="inlineStr">
        <x:is>
          <x:t xml:space="preserve">CTS_-016</x:t>
        </x:is>
      </x:c>
      <x:c r="C160" s="6" t="inlineStr">
        <x:is>
          <x:t xml:space="preserve">PV-14 - PV-13</x:t>
        </x:is>
      </x:c>
      <x:c r="D160" s="6" t="inlineStr">
        <x:is>
          <x:t xml:space="preserve">PV-14</x:t>
        </x:is>
      </x:c>
      <x:c r="E160" s="6" t="inlineStr">
        <x:is>
          <x:t xml:space="preserve">PV-13</x:t>
        </x:is>
      </x:c>
      <x:c r="F160" s="6" t="inlineStr">
        <x:is>
          <x:t xml:space="preserve">PEAD</x:t>
        </x:is>
      </x:c>
      <x:c r="G160" s="6" t="n">
        <x:v>355</x:v>
      </x:c>
      <x:c r="H160" s="6" t="inlineStr">
        <x:is>
          <x:t xml:space="preserve">Método Não Destrutivo - MND</x:t>
        </x:is>
      </x:c>
      <x:c r="I160" s="7" t="n">
        <x:v>45.26</x:v>
      </x:c>
      <x:c r="J160" s="7" t="n">
        <x:v>11.41</x:v>
      </x:c>
      <x:c r="K160" s="7" t="n">
        <x:v>7.1</x:v>
      </x:c>
      <x:c r="L160" s="7" t="n">
        <x:v>11.41</x:v>
      </x:c>
      <x:c r="M160" s="6" t="inlineStr">
        <x:is>
          <x:t xml:space="preserve">concluída</x:t>
        </x:is>
      </x:c>
      <x:c r="N160" s="6" t="n"/>
      <x:c r="O160" s="7" t="n">
        <x:v>-23.5325989</x:v>
      </x:c>
      <x:c r="P160" s="7" t="n">
        <x:v>-46.3906223</x:v>
      </x:c>
      <x:c r="Q160" s="7" t="n">
        <x:v>-23.5321947</x:v>
      </x:c>
      <x:c r="R160" s="7" t="n">
        <x:v>-46.3907059</x:v>
      </x:c>
    </x:row>
    <x:row r="161">
      <x:c r="A161" s="6" t="inlineStr">
        <x:is>
          <x:t xml:space="preserve">cts_bandeirantes</x:t>
        </x:is>
      </x:c>
      <x:c r="B161" s="6" t="inlineStr">
        <x:is>
          <x:t xml:space="preserve">CTS_-017</x:t>
        </x:is>
      </x:c>
      <x:c r="C161" s="6" t="inlineStr">
        <x:is>
          <x:t xml:space="preserve">PV-17 - PV-16</x:t>
        </x:is>
      </x:c>
      <x:c r="D161" s="6" t="inlineStr">
        <x:is>
          <x:t xml:space="preserve">PV-17</x:t>
        </x:is>
      </x:c>
      <x:c r="E161" s="6" t="inlineStr">
        <x:is>
          <x:t xml:space="preserve">PV-16</x:t>
        </x:is>
      </x:c>
      <x:c r="F161" s="6" t="inlineStr">
        <x:is>
          <x:t xml:space="preserve">PEAD</x:t>
        </x:is>
      </x:c>
      <x:c r="G161" s="6" t="n">
        <x:v>355</x:v>
      </x:c>
      <x:c r="H161" s="6" t="inlineStr">
        <x:is>
          <x:t xml:space="preserve">Método Não Destrutivo - MND</x:t>
        </x:is>
      </x:c>
      <x:c r="I161" s="7" t="n">
        <x:v>39.27</x:v>
      </x:c>
      <x:c r="J161" s="7" t="n">
        <x:v>3.35</x:v>
      </x:c>
      <x:c r="K161" s="7" t="n">
        <x:v>4.96</x:v>
      </x:c>
      <x:c r="L161" s="7" t="n">
        <x:v>4.96</x:v>
      </x:c>
      <x:c r="M161" s="6" t="inlineStr">
        <x:is>
          <x:t xml:space="preserve">concluída</x:t>
        </x:is>
      </x:c>
      <x:c r="N161" s="6" t="n"/>
      <x:c r="O161" s="7" t="n">
        <x:v>-23.5325182</x:v>
      </x:c>
      <x:c r="P161" s="7" t="n">
        <x:v>-46.3892263</x:v>
      </x:c>
      <x:c r="Q161" s="7" t="n">
        <x:v>-23.5326902</x:v>
      </x:c>
      <x:c r="R161" s="7" t="n">
        <x:v>-46.3895636</x:v>
      </x:c>
    </x:row>
    <x:row r="162">
      <x:c r="A162" s="6" t="inlineStr">
        <x:is>
          <x:t xml:space="preserve">cts_bandeirantes</x:t>
        </x:is>
      </x:c>
      <x:c r="B162" s="6" t="inlineStr">
        <x:is>
          <x:t xml:space="preserve">CTS_-018</x:t>
        </x:is>
      </x:c>
      <x:c r="C162" s="6" t="inlineStr">
        <x:is>
          <x:t xml:space="preserve">PV-18 - PV-17</x:t>
        </x:is>
      </x:c>
      <x:c r="D162" s="6" t="inlineStr">
        <x:is>
          <x:t xml:space="preserve">PV-18</x:t>
        </x:is>
      </x:c>
      <x:c r="E162" s="6" t="inlineStr">
        <x:is>
          <x:t xml:space="preserve">PV-17</x:t>
        </x:is>
      </x:c>
      <x:c r="F162" s="6" t="inlineStr">
        <x:is>
          <x:t xml:space="preserve">PEAD</x:t>
        </x:is>
      </x:c>
      <x:c r="G162" s="6" t="n">
        <x:v>355</x:v>
      </x:c>
      <x:c r="H162" s="6" t="inlineStr">
        <x:is>
          <x:t xml:space="preserve">Método Não Destrutivo - MND</x:t>
        </x:is>
      </x:c>
      <x:c r="I162" s="7" t="n">
        <x:v>71.09999999999999</x:v>
      </x:c>
      <x:c r="J162" s="7" t="n">
        <x:v>2.72</x:v>
      </x:c>
      <x:c r="K162" s="7" t="n">
        <x:v>3.3</x:v>
      </x:c>
      <x:c r="L162" s="7" t="n">
        <x:v>3.3</x:v>
      </x:c>
      <x:c r="M162" s="6" t="inlineStr">
        <x:is>
          <x:t xml:space="preserve">concluída</x:t>
        </x:is>
      </x:c>
      <x:c r="N162" s="6" t="n"/>
      <x:c r="O162" s="7" t="n">
        <x:v>-23.5329106</x:v>
      </x:c>
      <x:c r="P162" s="7" t="n">
        <x:v>-46.388675</x:v>
      </x:c>
      <x:c r="Q162" s="7" t="n">
        <x:v>-23.5325182</x:v>
      </x:c>
      <x:c r="R162" s="7" t="n">
        <x:v>-46.3892263</x:v>
      </x:c>
    </x:row>
    <x:row r="163">
      <x:c r="A163" s="6" t="inlineStr">
        <x:is>
          <x:t xml:space="preserve">cts_bandeirantes</x:t>
        </x:is>
      </x:c>
      <x:c r="B163" s="6" t="inlineStr">
        <x:is>
          <x:t xml:space="preserve">CTS_-019</x:t>
        </x:is>
      </x:c>
      <x:c r="C163" s="6" t="inlineStr">
        <x:is>
          <x:t xml:space="preserve">PV-19 - PV-18</x:t>
        </x:is>
      </x:c>
      <x:c r="D163" s="6" t="inlineStr">
        <x:is>
          <x:t xml:space="preserve">PV-19</x:t>
        </x:is>
      </x:c>
      <x:c r="E163" s="6" t="inlineStr">
        <x:is>
          <x:t xml:space="preserve">PV-18</x:t>
        </x:is>
      </x:c>
      <x:c r="F163" s="6" t="inlineStr">
        <x:is>
          <x:t xml:space="preserve">PEAD</x:t>
        </x:is>
      </x:c>
      <x:c r="G163" s="6" t="n">
        <x:v>355</x:v>
      </x:c>
      <x:c r="H163" s="6" t="inlineStr">
        <x:is>
          <x:t xml:space="preserve">Método Não Destrutivo - MND</x:t>
        </x:is>
      </x:c>
      <x:c r="I163" s="7" t="n">
        <x:v>51.3</x:v>
      </x:c>
      <x:c r="J163" s="7" t="n">
        <x:v>3.2</x:v>
      </x:c>
      <x:c r="K163" s="7" t="n">
        <x:v>2.72</x:v>
      </x:c>
      <x:c r="L163" s="7" t="n">
        <x:v>3.2</x:v>
      </x:c>
      <x:c r="M163" s="6" t="inlineStr">
        <x:is>
          <x:t xml:space="preserve">concluída</x:t>
        </x:is>
      </x:c>
      <x:c r="N163" s="6" t="n"/>
      <x:c r="O163" s="7" t="n">
        <x:v>-23.5332791</x:v>
      </x:c>
      <x:c r="P163" s="7" t="n">
        <x:v>-46.3883706</x:v>
      </x:c>
      <x:c r="Q163" s="7" t="n">
        <x:v>-23.5329106</x:v>
      </x:c>
      <x:c r="R163" s="7" t="n">
        <x:v>-46.388675</x:v>
      </x:c>
    </x:row>
    <x:row r="164">
      <x:c r="A164" s="6" t="inlineStr">
        <x:is>
          <x:t xml:space="preserve">cts_bandeirantes</x:t>
        </x:is>
      </x:c>
      <x:c r="B164" s="6" t="inlineStr">
        <x:is>
          <x:t xml:space="preserve">CTS_-020</x:t>
        </x:is>
      </x:c>
      <x:c r="C164" s="6" t="inlineStr">
        <x:is>
          <x:t xml:space="preserve">PV-20 - PV-19</x:t>
        </x:is>
      </x:c>
      <x:c r="D164" s="6" t="inlineStr">
        <x:is>
          <x:t xml:space="preserve">PV-20</x:t>
        </x:is>
      </x:c>
      <x:c r="E164" s="6" t="inlineStr">
        <x:is>
          <x:t xml:space="preserve">PV-19</x:t>
        </x:is>
      </x:c>
      <x:c r="F164" s="6" t="inlineStr">
        <x:is>
          <x:t xml:space="preserve">PEAD</x:t>
        </x:is>
      </x:c>
      <x:c r="G164" s="6" t="n">
        <x:v>355</x:v>
      </x:c>
      <x:c r="H164" s="6" t="inlineStr">
        <x:is>
          <x:t xml:space="preserve">Método Não Destrutivo - MND</x:t>
        </x:is>
      </x:c>
      <x:c r="I164" s="7" t="n">
        <x:v>90.97</x:v>
      </x:c>
      <x:c r="J164" s="7" t="n">
        <x:v>5.2</x:v>
      </x:c>
      <x:c r="K164" s="7" t="n">
        <x:v>3.2</x:v>
      </x:c>
      <x:c r="L164" s="7" t="n">
        <x:v>5.2</x:v>
      </x:c>
      <x:c r="M164" s="6" t="inlineStr">
        <x:is>
          <x:t xml:space="preserve">concluída</x:t>
        </x:is>
      </x:c>
      <x:c r="N164" s="6" t="n"/>
      <x:c r="O164" s="7" t="n">
        <x:v>-23.5341004</x:v>
      </x:c>
      <x:c r="P164" s="7" t="n">
        <x:v>-46.3884098</x:v>
      </x:c>
      <x:c r="Q164" s="7" t="n">
        <x:v>-23.5332791</x:v>
      </x:c>
      <x:c r="R164" s="7" t="n">
        <x:v>-46.3883706</x:v>
      </x:c>
    </x:row>
    <x:row r="165">
      <x:c r="A165" s="6" t="inlineStr">
        <x:is>
          <x:t xml:space="preserve">cts_bandeirantes</x:t>
        </x:is>
      </x:c>
      <x:c r="B165" s="6" t="inlineStr">
        <x:is>
          <x:t xml:space="preserve">CTS_-021</x:t>
        </x:is>
      </x:c>
      <x:c r="C165" s="6" t="inlineStr">
        <x:is>
          <x:t xml:space="preserve">PV-22 - PV-20</x:t>
        </x:is>
      </x:c>
      <x:c r="D165" s="6" t="inlineStr">
        <x:is>
          <x:t xml:space="preserve">PV-22</x:t>
        </x:is>
      </x:c>
      <x:c r="E165" s="6" t="inlineStr">
        <x:is>
          <x:t xml:space="preserve">PV-20</x:t>
        </x:is>
      </x:c>
      <x:c r="F165" s="6" t="inlineStr">
        <x:is>
          <x:t xml:space="preserve">PEAD</x:t>
        </x:is>
      </x:c>
      <x:c r="G165" s="6" t="n">
        <x:v>355</x:v>
      </x:c>
      <x:c r="H165" s="6" t="inlineStr">
        <x:is>
          <x:t xml:space="preserve">Método Não Destrutivo - MND</x:t>
        </x:is>
      </x:c>
      <x:c r="I165" s="7" t="n">
        <x:v>94.87</x:v>
      </x:c>
      <x:c r="J165" s="7" t="n">
        <x:v>3.72</x:v>
      </x:c>
      <x:c r="K165" s="7" t="n">
        <x:v>4.73</x:v>
      </x:c>
      <x:c r="L165" s="7" t="n">
        <x:v>4.73</x:v>
      </x:c>
      <x:c r="M165" s="6" t="inlineStr">
        <x:is>
          <x:t xml:space="preserve">concluída</x:t>
        </x:is>
      </x:c>
      <x:c r="N165" s="6" t="n"/>
      <x:c r="O165" s="7" t="n">
        <x:v>-23.534649</x:v>
      </x:c>
      <x:c r="P165" s="7" t="n">
        <x:v>-46.387696</x:v>
      </x:c>
      <x:c r="Q165" s="7" t="n">
        <x:v>-23.5341004</x:v>
      </x:c>
      <x:c r="R165" s="7" t="n">
        <x:v>-46.3884098</x:v>
      </x:c>
    </x:row>
    <x:row r="166">
      <x:c r="A166" s="6" t="inlineStr">
        <x:is>
          <x:t xml:space="preserve">cts_bandeirantes</x:t>
        </x:is>
      </x:c>
      <x:c r="B166" s="6" t="inlineStr">
        <x:is>
          <x:t xml:space="preserve">CTS_-022</x:t>
        </x:is>
      </x:c>
      <x:c r="C166" s="6" t="inlineStr">
        <x:is>
          <x:t xml:space="preserve">PV-23 - PV-22</x:t>
        </x:is>
      </x:c>
      <x:c r="D166" s="6" t="inlineStr">
        <x:is>
          <x:t xml:space="preserve">PV-23</x:t>
        </x:is>
      </x:c>
      <x:c r="E166" s="6" t="inlineStr">
        <x:is>
          <x:t xml:space="preserve">PV-22</x:t>
        </x:is>
      </x:c>
      <x:c r="F166" s="6" t="inlineStr">
        <x:is>
          <x:t xml:space="preserve">PEAD</x:t>
        </x:is>
      </x:c>
      <x:c r="G166" s="6" t="n">
        <x:v>355</x:v>
      </x:c>
      <x:c r="H166" s="6" t="inlineStr">
        <x:is>
          <x:t xml:space="preserve">Método Não Destrutivo - MND</x:t>
        </x:is>
      </x:c>
      <x:c r="I166" s="7" t="n">
        <x:v>56.19</x:v>
      </x:c>
      <x:c r="J166" s="7" t="n">
        <x:v>4.45</x:v>
      </x:c>
      <x:c r="K166" s="7" t="n">
        <x:v>3.72</x:v>
      </x:c>
      <x:c r="L166" s="7" t="n">
        <x:v>4.45</x:v>
      </x:c>
      <x:c r="M166" s="6" t="inlineStr">
        <x:is>
          <x:t xml:space="preserve">concluída</x:t>
        </x:is>
      </x:c>
      <x:c r="N166" s="6" t="n"/>
      <x:c r="O166" s="7" t="n">
        <x:v>-23.5350846</x:v>
      </x:c>
      <x:c r="P166" s="7" t="n">
        <x:v>-46.3874137</x:v>
      </x:c>
      <x:c r="Q166" s="7" t="n">
        <x:v>-23.534649</x:v>
      </x:c>
      <x:c r="R166" s="7" t="n">
        <x:v>-46.387696</x:v>
      </x:c>
    </x:row>
    <x:row r="167">
      <x:c r="A167" s="6" t="inlineStr">
        <x:is>
          <x:t xml:space="preserve">cts_bandeirantes</x:t>
        </x:is>
      </x:c>
      <x:c r="B167" s="6" t="inlineStr">
        <x:is>
          <x:t xml:space="preserve">CTS_-023</x:t>
        </x:is>
      </x:c>
      <x:c r="C167" s="6" t="inlineStr">
        <x:is>
          <x:t xml:space="preserve">PV-25 - PV-23</x:t>
        </x:is>
      </x:c>
      <x:c r="D167" s="6" t="inlineStr">
        <x:is>
          <x:t xml:space="preserve">PV-25</x:t>
        </x:is>
      </x:c>
      <x:c r="E167" s="6" t="inlineStr">
        <x:is>
          <x:t xml:space="preserve">PV-23</x:t>
        </x:is>
      </x:c>
      <x:c r="F167" s="6" t="inlineStr">
        <x:is>
          <x:t xml:space="preserve">PEAD</x:t>
        </x:is>
      </x:c>
      <x:c r="G167" s="6" t="n">
        <x:v>355</x:v>
      </x:c>
      <x:c r="H167" s="6" t="inlineStr">
        <x:is>
          <x:t xml:space="preserve">Método Não Destrutivo - MND</x:t>
        </x:is>
      </x:c>
      <x:c r="I167" s="7" t="n">
        <x:v>84.59999999999999</x:v>
      </x:c>
      <x:c r="J167" s="7" t="n">
        <x:v>3.9</x:v>
      </x:c>
      <x:c r="K167" s="7" t="n">
        <x:v>4.45</x:v>
      </x:c>
      <x:c r="L167" s="7" t="n">
        <x:v>4.45</x:v>
      </x:c>
      <x:c r="M167" s="6" t="inlineStr">
        <x:is>
          <x:t xml:space="preserve">concluída</x:t>
        </x:is>
      </x:c>
      <x:c r="N167" s="6" t="n"/>
      <x:c r="O167" s="7" t="n">
        <x:v>-23.5358482</x:v>
      </x:c>
      <x:c r="P167" s="7" t="n">
        <x:v>-46.3873864</x:v>
      </x:c>
      <x:c r="Q167" s="7" t="n">
        <x:v>-23.5350846</x:v>
      </x:c>
      <x:c r="R167" s="7" t="n">
        <x:v>-46.3874137</x:v>
      </x:c>
    </x:row>
    <x:row r="168">
      <x:c r="A168" s="6" t="inlineStr">
        <x:is>
          <x:t xml:space="preserve">cts_bandeirantes</x:t>
        </x:is>
      </x:c>
      <x:c r="B168" s="6" t="inlineStr">
        <x:is>
          <x:t xml:space="preserve">CTS_-024</x:t>
        </x:is>
      </x:c>
      <x:c r="C168" s="6" t="inlineStr">
        <x:is>
          <x:t xml:space="preserve">PV-26 - PV-25</x:t>
        </x:is>
      </x:c>
      <x:c r="D168" s="6" t="inlineStr">
        <x:is>
          <x:t xml:space="preserve">PV-26</x:t>
        </x:is>
      </x:c>
      <x:c r="E168" s="6" t="inlineStr">
        <x:is>
          <x:t xml:space="preserve">PV-25</x:t>
        </x:is>
      </x:c>
      <x:c r="F168" s="6" t="inlineStr">
        <x:is>
          <x:t xml:space="preserve">PEAD</x:t>
        </x:is>
      </x:c>
      <x:c r="G168" s="6" t="n">
        <x:v>355</x:v>
      </x:c>
      <x:c r="H168" s="6" t="inlineStr">
        <x:is>
          <x:t xml:space="preserve">Método Não Destrutivo - MND</x:t>
        </x:is>
      </x:c>
      <x:c r="I168" s="7" t="n">
        <x:v>43.08</x:v>
      </x:c>
      <x:c r="J168" s="7" t="n">
        <x:v>4.45</x:v>
      </x:c>
      <x:c r="K168" s="7" t="n">
        <x:v>3.9</x:v>
      </x:c>
      <x:c r="L168" s="7" t="n">
        <x:v>4.45</x:v>
      </x:c>
      <x:c r="M168" s="6" t="inlineStr">
        <x:is>
          <x:t xml:space="preserve">concluída</x:t>
        </x:is>
      </x:c>
      <x:c r="N168" s="6" t="n"/>
      <x:c r="O168" s="7" t="n">
        <x:v>-23.5362369</x:v>
      </x:c>
      <x:c r="P168" s="7" t="n">
        <x:v>-46.3874029</x:v>
      </x:c>
      <x:c r="Q168" s="7" t="n">
        <x:v>-23.5358482</x:v>
      </x:c>
      <x:c r="R168" s="7" t="n">
        <x:v>-46.3873864</x:v>
      </x:c>
    </x:row>
    <x:row r="169">
      <x:c r="A169" s="6" t="inlineStr">
        <x:is>
          <x:t xml:space="preserve">cts_bandeirantes</x:t>
        </x:is>
      </x:c>
      <x:c r="B169" s="6" t="inlineStr">
        <x:is>
          <x:t xml:space="preserve">CTS_-025</x:t>
        </x:is>
      </x:c>
      <x:c r="C169" s="6" t="inlineStr">
        <x:is>
          <x:t xml:space="preserve">PV-30 - PV-26</x:t>
        </x:is>
      </x:c>
      <x:c r="D169" s="6" t="inlineStr">
        <x:is>
          <x:t xml:space="preserve">PV-30</x:t>
        </x:is>
      </x:c>
      <x:c r="E169" s="6" t="inlineStr">
        <x:is>
          <x:t xml:space="preserve">PV-26</x:t>
        </x:is>
      </x:c>
      <x:c r="F169" s="6" t="inlineStr">
        <x:is>
          <x:t xml:space="preserve">PEAD</x:t>
        </x:is>
      </x:c>
      <x:c r="G169" s="6" t="n">
        <x:v>355</x:v>
      </x:c>
      <x:c r="H169" s="6" t="inlineStr">
        <x:is>
          <x:t xml:space="preserve">Método Não Destrutivo - MND</x:t>
        </x:is>
      </x:c>
      <x:c r="I169" s="7" t="n">
        <x:v>107.91</x:v>
      </x:c>
      <x:c r="J169" s="7" t="n">
        <x:v>3.3</x:v>
      </x:c>
      <x:c r="K169" s="7" t="n">
        <x:v>4.45</x:v>
      </x:c>
      <x:c r="L169" s="7" t="n">
        <x:v>4.45</x:v>
      </x:c>
      <x:c r="M169" s="6" t="inlineStr">
        <x:is>
          <x:t xml:space="preserve">concluída</x:t>
        </x:is>
      </x:c>
      <x:c r="N169" s="6" t="n"/>
      <x:c r="O169" s="7" t="n">
        <x:v>-23.5370876</x:v>
      </x:c>
      <x:c r="P169" s="7" t="n">
        <x:v>-46.3868882</x:v>
      </x:c>
      <x:c r="Q169" s="7" t="n">
        <x:v>-23.5362369</x:v>
      </x:c>
      <x:c r="R169" s="7" t="n">
        <x:v>-46.3874029</x:v>
      </x:c>
    </x:row>
    <x:row r="170">
      <x:c r="A170" s="6" t="inlineStr">
        <x:is>
          <x:t xml:space="preserve">cts_bandeirantes</x:t>
        </x:is>
      </x:c>
      <x:c r="B170" s="6" t="inlineStr">
        <x:is>
          <x:t xml:space="preserve">CTS_-026</x:t>
        </x:is>
      </x:c>
      <x:c r="C170" s="6" t="inlineStr">
        <x:is>
          <x:t xml:space="preserve">PV-32 - PV-30</x:t>
        </x:is>
      </x:c>
      <x:c r="D170" s="6" t="inlineStr">
        <x:is>
          <x:t xml:space="preserve">PV-32</x:t>
        </x:is>
      </x:c>
      <x:c r="E170" s="6" t="inlineStr">
        <x:is>
          <x:t xml:space="preserve">PV-30</x:t>
        </x:is>
      </x:c>
      <x:c r="F170" s="6" t="inlineStr">
        <x:is>
          <x:t xml:space="preserve">PEAD</x:t>
        </x:is>
      </x:c>
      <x:c r="G170" s="6" t="n">
        <x:v>355</x:v>
      </x:c>
      <x:c r="H170" s="6" t="inlineStr">
        <x:is>
          <x:t xml:space="preserve">Método Não Destrutivo - MND</x:t>
        </x:is>
      </x:c>
      <x:c r="I170" s="7" t="n">
        <x:v>87.55</x:v>
      </x:c>
      <x:c r="J170" s="7" t="n">
        <x:v>4.38</x:v>
      </x:c>
      <x:c r="K170" s="7" t="n">
        <x:v>3.3</x:v>
      </x:c>
      <x:c r="L170" s="7" t="n">
        <x:v>4.38</x:v>
      </x:c>
      <x:c r="M170" s="6" t="inlineStr">
        <x:is>
          <x:t xml:space="preserve">concluída</x:t>
        </x:is>
      </x:c>
      <x:c r="N170" s="6" t="n"/>
      <x:c r="O170" s="7" t="n">
        <x:v>-23.5378286</x:v>
      </x:c>
      <x:c r="P170" s="7" t="n">
        <x:v>-46.3865887</x:v>
      </x:c>
      <x:c r="Q170" s="7" t="n">
        <x:v>-23.5370876</x:v>
      </x:c>
      <x:c r="R170" s="7" t="n">
        <x:v>-46.3868882</x:v>
      </x:c>
    </x:row>
    <x:row r="171">
      <x:c r="A171" s="6" t="inlineStr">
        <x:is>
          <x:t xml:space="preserve">cts_bandeirantes</x:t>
        </x:is>
      </x:c>
      <x:c r="B171" s="6" t="inlineStr">
        <x:is>
          <x:t xml:space="preserve">CTS_-027</x:t>
        </x:is>
      </x:c>
      <x:c r="C171" s="6" t="inlineStr">
        <x:is>
          <x:t xml:space="preserve">PV-37 - PV-35</x:t>
        </x:is>
      </x:c>
      <x:c r="D171" s="6" t="inlineStr">
        <x:is>
          <x:t xml:space="preserve">PV-37</x:t>
        </x:is>
      </x:c>
      <x:c r="E171" s="6" t="inlineStr">
        <x:is>
          <x:t xml:space="preserve">PV-35</x:t>
        </x:is>
      </x:c>
      <x:c r="F171" s="6" t="inlineStr">
        <x:is>
          <x:t xml:space="preserve">PEAD</x:t>
        </x:is>
      </x:c>
      <x:c r="G171" s="6" t="n">
        <x:v>355</x:v>
      </x:c>
      <x:c r="H171" s="6" t="inlineStr">
        <x:is>
          <x:t xml:space="preserve">Método Não Destrutivo - MND</x:t>
        </x:is>
      </x:c>
      <x:c r="I171" s="7" t="n">
        <x:v>85.48</x:v>
      </x:c>
      <x:c r="J171" s="7" t="n">
        <x:v>1.95</x:v>
      </x:c>
      <x:c r="K171" s="7" t="n">
        <x:v>7.41</x:v>
      </x:c>
      <x:c r="L171" s="7" t="n">
        <x:v>7.41</x:v>
      </x:c>
      <x:c r="M171" s="6" t="inlineStr">
        <x:is>
          <x:t xml:space="preserve">concluída</x:t>
        </x:is>
      </x:c>
      <x:c r="N171" s="6" t="n"/>
      <x:c r="O171" s="7" t="n">
        <x:v>-23.5401117</x:v>
      </x:c>
      <x:c r="P171" s="7" t="n">
        <x:v>-46.3865605</x:v>
      </x:c>
      <x:c r="Q171" s="7" t="n">
        <x:v>-23.5394109</x:v>
      </x:c>
      <x:c r="R171" s="7" t="n">
        <x:v>-46.3862105</x:v>
      </x:c>
    </x:row>
    <x:row r="172">
      <x:c r="A172" s="6" t="inlineStr">
        <x:is>
          <x:t xml:space="preserve">cts_bandeirantes</x:t>
        </x:is>
      </x:c>
      <x:c r="B172" s="6" t="inlineStr">
        <x:is>
          <x:t xml:space="preserve">CTS_-028</x:t>
        </x:is>
      </x:c>
      <x:c r="C172" s="6" t="inlineStr">
        <x:is>
          <x:t xml:space="preserve">PV-38 - PV-37</x:t>
        </x:is>
      </x:c>
      <x:c r="D172" s="6" t="inlineStr">
        <x:is>
          <x:t xml:space="preserve">PV-38</x:t>
        </x:is>
      </x:c>
      <x:c r="E172" s="6" t="inlineStr">
        <x:is>
          <x:t xml:space="preserve">PV-37</x:t>
        </x:is>
      </x:c>
      <x:c r="F172" s="6" t="inlineStr">
        <x:is>
          <x:t xml:space="preserve">PEAD</x:t>
        </x:is>
      </x:c>
      <x:c r="G172" s="6" t="n">
        <x:v>355</x:v>
      </x:c>
      <x:c r="H172" s="6" t="inlineStr">
        <x:is>
          <x:t xml:space="preserve">Método Não Destrutivo - MND</x:t>
        </x:is>
      </x:c>
      <x:c r="I172" s="7" t="n">
        <x:v>19.24</x:v>
      </x:c>
      <x:c r="J172" s="7" t="n">
        <x:v>1.79</x:v>
      </x:c>
      <x:c r="K172" s="7" t="n">
        <x:v>1.95</x:v>
      </x:c>
      <x:c r="L172" s="7" t="n">
        <x:v>1.95</x:v>
      </x:c>
      <x:c r="M172" s="6" t="inlineStr">
        <x:is>
          <x:t xml:space="preserve">concluída</x:t>
        </x:is>
      </x:c>
      <x:c r="N172" s="6" t="n"/>
      <x:c r="O172" s="7" t="n">
        <x:v>-23.5402842</x:v>
      </x:c>
      <x:c r="P172" s="7" t="n">
        <x:v>-46.3865363</x:v>
      </x:c>
      <x:c r="Q172" s="7" t="n">
        <x:v>-23.5401117</x:v>
      </x:c>
      <x:c r="R172" s="7" t="n">
        <x:v>-46.3865605</x:v>
      </x:c>
    </x:row>
    <x:row r="173">
      <x:c r="A173" s="6" t="inlineStr">
        <x:is>
          <x:t xml:space="preserve">cts_bandeirantes</x:t>
        </x:is>
      </x:c>
      <x:c r="B173" s="6" t="inlineStr">
        <x:is>
          <x:t xml:space="preserve">CTS_-029</x:t>
        </x:is>
      </x:c>
      <x:c r="C173" s="6" t="inlineStr">
        <x:is>
          <x:t xml:space="preserve">PV-42 - PV-42</x:t>
        </x:is>
      </x:c>
      <x:c r="D173" s="6" t="inlineStr">
        <x:is>
          <x:t xml:space="preserve">PV-42</x:t>
        </x:is>
      </x:c>
      <x:c r="E173" s="6" t="inlineStr">
        <x:is>
          <x:t xml:space="preserve">PV-42</x:t>
        </x:is>
      </x:c>
      <x:c r="F173" s="6" t="inlineStr">
        <x:is>
          <x:t xml:space="preserve">PVC</x:t>
        </x:is>
      </x:c>
      <x:c r="G173" s="6" t="n">
        <x:v>200</x:v>
      </x:c>
      <x:c r="H173" s="6" t="inlineStr">
        <x:is>
          <x:t xml:space="preserve">Vala a Céu Aberto - VCA</x:t>
        </x:is>
      </x:c>
      <x:c r="I173" s="7" t="n">
        <x:v>8.08</x:v>
      </x:c>
      <x:c r="J173" s="7" t="n">
        <x:v>1.95</x:v>
      </x:c>
      <x:c r="K173" s="7" t="n">
        <x:v>2.44</x:v>
      </x:c>
      <x:c r="L173" s="7" t="n">
        <x:v>2.44</x:v>
      </x:c>
      <x:c r="M173" s="6" t="inlineStr">
        <x:is>
          <x:t xml:space="preserve">concluída</x:t>
        </x:is>
      </x:c>
      <x:c r="N173" s="6" t="n"/>
      <x:c r="O173" s="7" t="n">
        <x:v>-23.5303508</x:v>
      </x:c>
      <x:c r="P173" s="7" t="n">
        <x:v>-46.3921088</x:v>
      </x:c>
      <x:c r="Q173" s="7" t="n">
        <x:v>-23.5303861</x:v>
      </x:c>
      <x:c r="R173" s="7" t="n">
        <x:v>-46.3921783</x:v>
      </x:c>
    </x:row>
    <x:row r="174">
      <x:c r="A174" s="6" t="inlineStr">
        <x:is>
          <x:t xml:space="preserve">cts_bandeirantes</x:t>
        </x:is>
      </x:c>
      <x:c r="B174" s="6" t="inlineStr">
        <x:is>
          <x:t xml:space="preserve">CTS_-030</x:t>
        </x:is>
      </x:c>
      <x:c r="C174" s="6" t="inlineStr">
        <x:is>
          <x:t xml:space="preserve">PV-5 - PV-4</x:t>
        </x:is>
      </x:c>
      <x:c r="D174" s="6" t="inlineStr">
        <x:is>
          <x:t xml:space="preserve">PV-5</x:t>
        </x:is>
      </x:c>
      <x:c r="E174" s="6" t="inlineStr">
        <x:is>
          <x:t xml:space="preserve">PV-4</x:t>
        </x:is>
      </x:c>
      <x:c r="F174" s="6" t="inlineStr">
        <x:is>
          <x:t xml:space="preserve">PEAD</x:t>
        </x:is>
      </x:c>
      <x:c r="G174" s="6" t="n">
        <x:v>355</x:v>
      </x:c>
      <x:c r="H174" s="6" t="inlineStr">
        <x:is>
          <x:t xml:space="preserve">Método Não Destrutivo - MND</x:t>
        </x:is>
      </x:c>
      <x:c r="I174" s="7" t="n">
        <x:v>81.75</x:v>
      </x:c>
      <x:c r="J174" s="7" t="n">
        <x:v>4.2</x:v>
      </x:c>
      <x:c r="K174" s="7" t="n">
        <x:v>4.67</x:v>
      </x:c>
      <x:c r="L174" s="7" t="n">
        <x:v>4.67</x:v>
      </x:c>
      <x:c r="M174" s="6" t="inlineStr">
        <x:is>
          <x:t xml:space="preserve">concluída</x:t>
        </x:is>
      </x:c>
      <x:c r="N174" s="6" t="n"/>
      <x:c r="O174" s="7" t="n">
        <x:v>-23.5305593</x:v>
      </x:c>
      <x:c r="P174" s="7" t="n">
        <x:v>-46.3939011</x:v>
      </x:c>
      <x:c r="Q174" s="7" t="n">
        <x:v>-23.5303983</x:v>
      </x:c>
      <x:c r="R174" s="7" t="n">
        <x:v>-46.3946824</x:v>
      </x:c>
    </x:row>
    <x:row r="175">
      <x:c r="A175" s="6" t="inlineStr">
        <x:is>
          <x:t xml:space="preserve">cts_bandeirantes</x:t>
        </x:is>
      </x:c>
      <x:c r="B175" s="6" t="inlineStr">
        <x:is>
          <x:t xml:space="preserve">CTS_-031</x:t>
        </x:is>
      </x:c>
      <x:c r="C175" s="6" t="inlineStr">
        <x:is>
          <x:t xml:space="preserve">PV-6 - PV-5</x:t>
        </x:is>
      </x:c>
      <x:c r="D175" s="6" t="inlineStr">
        <x:is>
          <x:t xml:space="preserve">PV-6</x:t>
        </x:is>
      </x:c>
      <x:c r="E175" s="6" t="inlineStr">
        <x:is>
          <x:t xml:space="preserve">PV-5</x:t>
        </x:is>
      </x:c>
      <x:c r="F175" s="6" t="inlineStr">
        <x:is>
          <x:t xml:space="preserve">PEAD</x:t>
        </x:is>
      </x:c>
      <x:c r="G175" s="6" t="n">
        <x:v>355</x:v>
      </x:c>
      <x:c r="H175" s="6" t="inlineStr">
        <x:is>
          <x:t xml:space="preserve">Método Não Destrutivo - MND</x:t>
        </x:is>
      </x:c>
      <x:c r="I175" s="7" t="n">
        <x:v>83.67</x:v>
      </x:c>
      <x:c r="J175" s="7" t="n">
        <x:v>4.36</x:v>
      </x:c>
      <x:c r="K175" s="7" t="n">
        <x:v>4.2</x:v>
      </x:c>
      <x:c r="L175" s="7" t="n">
        <x:v>4.36</x:v>
      </x:c>
      <x:c r="M175" s="6" t="inlineStr">
        <x:is>
          <x:t xml:space="preserve">concluída</x:t>
        </x:is>
      </x:c>
      <x:c r="N175" s="6" t="n"/>
      <x:c r="O175" s="7" t="n">
        <x:v>-23.5307327</x:v>
      </x:c>
      <x:c r="P175" s="7" t="n">
        <x:v>-46.3931032</x:v>
      </x:c>
      <x:c r="Q175" s="7" t="n">
        <x:v>-23.5305593</x:v>
      </x:c>
      <x:c r="R175" s="7" t="n">
        <x:v>-46.3939011</x:v>
      </x:c>
    </x:row>
    <x:row r="176">
      <x:c r="A176" s="6" t="inlineStr">
        <x:is>
          <x:t xml:space="preserve">cts_bandeirantes</x:t>
        </x:is>
      </x:c>
      <x:c r="B176" s="6" t="inlineStr">
        <x:is>
          <x:t xml:space="preserve">CTS_-032</x:t>
        </x:is>
      </x:c>
      <x:c r="C176" s="6" t="inlineStr">
        <x:is>
          <x:t xml:space="preserve">PV-7 - PV-6</x:t>
        </x:is>
      </x:c>
      <x:c r="D176" s="6" t="inlineStr">
        <x:is>
          <x:t xml:space="preserve">PV-7</x:t>
        </x:is>
      </x:c>
      <x:c r="E176" s="6" t="inlineStr">
        <x:is>
          <x:t xml:space="preserve">PV-6</x:t>
        </x:is>
      </x:c>
      <x:c r="F176" s="6" t="inlineStr">
        <x:is>
          <x:t xml:space="preserve">PEAD</x:t>
        </x:is>
      </x:c>
      <x:c r="G176" s="6" t="n">
        <x:v>355</x:v>
      </x:c>
      <x:c r="H176" s="6" t="inlineStr">
        <x:is>
          <x:t xml:space="preserve">Método Não Destrutivo - MND</x:t>
        </x:is>
      </x:c>
      <x:c r="I176" s="7" t="n">
        <x:v>86.03</x:v>
      </x:c>
      <x:c r="J176" s="7" t="n">
        <x:v>4.48</x:v>
      </x:c>
      <x:c r="K176" s="7" t="n">
        <x:v>4.36</x:v>
      </x:c>
      <x:c r="L176" s="7" t="n">
        <x:v>4.48</x:v>
      </x:c>
      <x:c r="M176" s="6" t="inlineStr">
        <x:is>
          <x:t xml:space="preserve">concluída</x:t>
        </x:is>
      </x:c>
      <x:c r="N176" s="6" t="n"/>
      <x:c r="O176" s="7" t="n">
        <x:v>-23.5309465</x:v>
      </x:c>
      <x:c r="P176" s="7" t="n">
        <x:v>-46.3922934</x:v>
      </x:c>
      <x:c r="Q176" s="7" t="n">
        <x:v>-23.5307327</x:v>
      </x:c>
      <x:c r="R176" s="7" t="n">
        <x:v>-46.3931032</x:v>
      </x:c>
    </x:row>
    <x:row r="177">
      <x:c r="A177" s="6" t="inlineStr">
        <x:is>
          <x:t xml:space="preserve">cts_bandeirantes</x:t>
        </x:is>
      </x:c>
      <x:c r="B177" s="6" t="inlineStr">
        <x:is>
          <x:t xml:space="preserve">CTS_-033</x:t>
        </x:is>
      </x:c>
      <x:c r="C177" s="6" t="inlineStr">
        <x:is>
          <x:t xml:space="preserve">PV-1 - PV-1</x:t>
        </x:is>
      </x:c>
      <x:c r="D177" s="6" t="inlineStr">
        <x:is>
          <x:t xml:space="preserve">PV-1</x:t>
        </x:is>
      </x:c>
      <x:c r="E177" s="6" t="inlineStr">
        <x:is>
          <x:t xml:space="preserve">PV-1</x:t>
        </x:is>
      </x:c>
      <x:c r="F177" s="6" t="inlineStr">
        <x:is>
          <x:t xml:space="preserve">PEAD</x:t>
        </x:is>
      </x:c>
      <x:c r="G177" s="6" t="n">
        <x:v>355</x:v>
      </x:c>
      <x:c r="H177" s="6" t="inlineStr">
        <x:is>
          <x:t xml:space="preserve">Método Não Destrutivo - MND</x:t>
        </x:is>
      </x:c>
      <x:c r="I177" s="7" t="n">
        <x:v>2.94</x:v>
      </x:c>
      <x:c r="J177" s="7" t="n">
        <x:v>4.46</x:v>
      </x:c>
      <x:c r="K177" s="7" t="n">
        <x:v>4.5</x:v>
      </x:c>
      <x:c r="L177" s="7" t="n">
        <x:v>4.5</x:v>
      </x:c>
      <x:c r="M177" s="6" t="inlineStr">
        <x:is>
          <x:t xml:space="preserve">concluída</x:t>
        </x:is>
      </x:c>
      <x:c r="N177" s="6" t="n"/>
      <x:c r="O177" s="7" t="n">
        <x:v>-23.529783</x:v>
      </x:c>
      <x:c r="P177" s="7" t="n">
        <x:v>-46.3952478</x:v>
      </x:c>
      <x:c r="Q177" s="7" t="n">
        <x:v>-23.5297629</x:v>
      </x:c>
      <x:c r="R177" s="7" t="n">
        <x:v>-46.395246</x:v>
      </x:c>
    </x:row>
    <x:row r="178">
      <x:c r="A178" s="6" t="inlineStr">
        <x:is>
          <x:t xml:space="preserve">cts_bandeirantes</x:t>
        </x:is>
      </x:c>
      <x:c r="B178" s="6" t="inlineStr">
        <x:is>
          <x:t xml:space="preserve">CTS_-034</x:t>
        </x:is>
      </x:c>
      <x:c r="C178" s="6" t="inlineStr">
        <x:is>
          <x:t xml:space="preserve">PV-16 - PV-14</x:t>
        </x:is>
      </x:c>
      <x:c r="D178" s="6" t="inlineStr">
        <x:is>
          <x:t xml:space="preserve">PV-16</x:t>
        </x:is>
      </x:c>
      <x:c r="E178" s="6" t="inlineStr">
        <x:is>
          <x:t xml:space="preserve">PV-14</x:t>
        </x:is>
      </x:c>
      <x:c r="F178" s="6" t="inlineStr">
        <x:is>
          <x:t xml:space="preserve">PEAD</x:t>
        </x:is>
      </x:c>
      <x:c r="G178" s="6" t="n">
        <x:v>355</x:v>
      </x:c>
      <x:c r="H178" s="6" t="inlineStr">
        <x:is>
          <x:t xml:space="preserve">Método Não Destrutivo - MND</x:t>
        </x:is>
      </x:c>
      <x:c r="I178" s="7" t="n">
        <x:v>109.55</x:v>
      </x:c>
      <x:c r="J178" s="7" t="n">
        <x:v>5.15</x:v>
      </x:c>
      <x:c r="K178" s="7" t="n">
        <x:v>11.41</x:v>
      </x:c>
      <x:c r="L178" s="7" t="n">
        <x:v>11.41</x:v>
      </x:c>
      <x:c r="M178" s="6" t="inlineStr">
        <x:is>
          <x:t xml:space="preserve">concluída</x:t>
        </x:is>
      </x:c>
      <x:c r="N178" s="6" t="n"/>
      <x:c r="O178" s="7" t="n">
        <x:v>-23.5326902</x:v>
      </x:c>
      <x:c r="P178" s="7" t="n">
        <x:v>-46.3895636</x:v>
      </x:c>
      <x:c r="Q178" s="7" t="n">
        <x:v>-23.5325989</x:v>
      </x:c>
      <x:c r="R178" s="7" t="n">
        <x:v>-46.3906223</x:v>
      </x:c>
    </x:row>
    <x:row r="179">
      <x:c r="A179" s="6" t="inlineStr">
        <x:is>
          <x:t xml:space="preserve">cts_bandeirantes</x:t>
        </x:is>
      </x:c>
      <x:c r="B179" s="6" t="inlineStr">
        <x:is>
          <x:t xml:space="preserve">CTS_-035</x:t>
        </x:is>
      </x:c>
      <x:c r="C179" s="6" t="inlineStr">
        <x:is>
          <x:t xml:space="preserve">PV-48 - PV-48</x:t>
        </x:is>
      </x:c>
      <x:c r="D179" s="6" t="inlineStr">
        <x:is>
          <x:t xml:space="preserve">PV-48</x:t>
        </x:is>
      </x:c>
      <x:c r="E179" s="6" t="inlineStr">
        <x:is>
          <x:t xml:space="preserve">PV-48</x:t>
        </x:is>
      </x:c>
      <x:c r="F179" s="6" t="inlineStr">
        <x:is>
          <x:t xml:space="preserve">PVC</x:t>
        </x:is>
      </x:c>
      <x:c r="G179" s="6" t="n">
        <x:v>200</x:v>
      </x:c>
      <x:c r="H179" s="6" t="inlineStr">
        <x:is>
          <x:t xml:space="preserve">Vala a Céu Aberto - VCA</x:t>
        </x:is>
      </x:c>
      <x:c r="I179" s="7" t="n">
        <x:v>1.36</x:v>
      </x:c>
      <x:c r="J179" s="7" t="n">
        <x:v>1.36</x:v>
      </x:c>
      <x:c r="K179" s="7" t="n">
        <x:v>1.44</x:v>
      </x:c>
      <x:c r="L179" s="7" t="n">
        <x:v>1.44</x:v>
      </x:c>
      <x:c r="M179" s="6" t="inlineStr">
        <x:is>
          <x:t xml:space="preserve">concluída</x:t>
        </x:is>
      </x:c>
      <x:c r="N179" s="6" t="n"/>
      <x:c r="O179" s="7" t="n">
        <x:v>-23.5343002</x:v>
      </x:c>
      <x:c r="P179" s="7" t="n">
        <x:v>-46.3881186</x:v>
      </x:c>
      <x:c r="Q179" s="7" t="n">
        <x:v>-23.5342937</x:v>
      </x:c>
      <x:c r="R179" s="7" t="n">
        <x:v>-46.3881306</x:v>
      </x:c>
    </x:row>
    <x:row r="180">
      <x:c r="A180" s="6" t="inlineStr">
        <x:is>
          <x:t xml:space="preserve">ct_jaragua</x:t>
        </x:is>
      </x:c>
      <x:c r="B180" s="6" t="inlineStr">
        <x:is>
          <x:t xml:space="preserve">CT_J-001</x:t>
        </x:is>
      </x:c>
      <x:c r="C180" s="6" t="inlineStr">
        <x:is>
          <x:t xml:space="preserve">PV-2 - PV-1</x:t>
        </x:is>
      </x:c>
      <x:c r="D180" s="6" t="inlineStr">
        <x:is>
          <x:t xml:space="preserve">PV-2</x:t>
        </x:is>
      </x:c>
      <x:c r="E180" s="6" t="inlineStr">
        <x:is>
          <x:t xml:space="preserve">PV-1</x:t>
        </x:is>
      </x:c>
      <x:c r="F180" s="6" t="inlineStr">
        <x:is>
          <x:t xml:space="preserve">PEAD</x:t>
        </x:is>
      </x:c>
      <x:c r="G180" s="6" t="n">
        <x:v>355</x:v>
      </x:c>
      <x:c r="H180" s="6" t="inlineStr">
        <x:is>
          <x:t xml:space="preserve">Método Não Destrutivo - MND</x:t>
        </x:is>
      </x:c>
      <x:c r="I180" s="7" t="n">
        <x:v>25.94</x:v>
      </x:c>
      <x:c r="J180" s="7" t="n">
        <x:v>4.08</x:v>
      </x:c>
      <x:c r="K180" s="7" t="n">
        <x:v>4.27</x:v>
      </x:c>
      <x:c r="L180" s="7" t="n">
        <x:v>4.27</x:v>
      </x:c>
      <x:c r="M180" s="6" t="inlineStr">
        <x:is>
          <x:t xml:space="preserve">concluída</x:t>
        </x:is>
      </x:c>
      <x:c r="N180" s="6" t="n"/>
      <x:c r="O180" s="7" t="n">
        <x:v>-23.5077949</x:v>
      </x:c>
      <x:c r="P180" s="7" t="n">
        <x:v>-46.4063322</x:v>
      </x:c>
      <x:c r="Q180" s="7" t="n">
        <x:v>-23.5077965</x:v>
      </x:c>
      <x:c r="R180" s="7" t="n">
        <x:v>-46.4060783</x:v>
      </x:c>
    </x:row>
    <x:row r="181">
      <x:c r="A181" s="6" t="inlineStr">
        <x:is>
          <x:t xml:space="preserve">ct_jaragua</x:t>
        </x:is>
      </x:c>
      <x:c r="B181" s="6" t="inlineStr">
        <x:is>
          <x:t xml:space="preserve">CT_J-002</x:t>
        </x:is>
      </x:c>
      <x:c r="C181" s="6" t="inlineStr">
        <x:is>
          <x:t xml:space="preserve">PV-5 - PV-4</x:t>
        </x:is>
      </x:c>
      <x:c r="D181" s="6" t="inlineStr">
        <x:is>
          <x:t xml:space="preserve">PV-5</x:t>
        </x:is>
      </x:c>
      <x:c r="E181" s="6" t="inlineStr">
        <x:is>
          <x:t xml:space="preserve">PV-4</x:t>
        </x:is>
      </x:c>
      <x:c r="F181" s="6" t="inlineStr">
        <x:is>
          <x:t xml:space="preserve">PEAD</x:t>
        </x:is>
      </x:c>
      <x:c r="G181" s="6" t="n">
        <x:v>355</x:v>
      </x:c>
      <x:c r="H181" s="6" t="inlineStr">
        <x:is>
          <x:t xml:space="preserve">Método Não Destrutivo - MND</x:t>
        </x:is>
      </x:c>
      <x:c r="I181" s="7" t="n">
        <x:v>56.37</x:v>
      </x:c>
      <x:c r="J181" s="7" t="n">
        <x:v>1.76</x:v>
      </x:c>
      <x:c r="K181" s="7" t="n">
        <x:v>2.04</x:v>
      </x:c>
      <x:c r="L181" s="7" t="n">
        <x:v>2.04</x:v>
      </x:c>
      <x:c r="M181" s="6" t="inlineStr">
        <x:is>
          <x:t xml:space="preserve">concluída</x:t>
        </x:is>
      </x:c>
      <x:c r="N181" s="6" t="n"/>
      <x:c r="O181" s="7" t="n">
        <x:v>-23.5087069</x:v>
      </x:c>
      <x:c r="P181" s="7" t="n">
        <x:v>-46.4068556</x:v>
      </x:c>
      <x:c r="Q181" s="7" t="n">
        <x:v>-23.5082729</x:v>
      </x:c>
      <x:c r="R181" s="7" t="n">
        <x:v>-46.406567</x:v>
      </x:c>
    </x:row>
    <x:row r="182">
      <x:c r="A182" s="6" t="inlineStr">
        <x:is>
          <x:t xml:space="preserve">ct_jaragua</x:t>
        </x:is>
      </x:c>
      <x:c r="B182" s="6" t="inlineStr">
        <x:is>
          <x:t xml:space="preserve">CT_J-003</x:t>
        </x:is>
      </x:c>
      <x:c r="C182" s="6" t="inlineStr">
        <x:is>
          <x:t xml:space="preserve">PV-9 - PV-8</x:t>
        </x:is>
      </x:c>
      <x:c r="D182" s="6" t="inlineStr">
        <x:is>
          <x:t xml:space="preserve">PV-9</x:t>
        </x:is>
      </x:c>
      <x:c r="E182" s="6" t="inlineStr">
        <x:is>
          <x:t xml:space="preserve">PV-8</x:t>
        </x:is>
      </x:c>
      <x:c r="F182" s="6" t="inlineStr">
        <x:is>
          <x:t xml:space="preserve">PEAD</x:t>
        </x:is>
      </x:c>
      <x:c r="G182" s="6" t="n">
        <x:v>355</x:v>
      </x:c>
      <x:c r="H182" s="6" t="inlineStr">
        <x:is>
          <x:t xml:space="preserve">Método Não Destrutivo - MND</x:t>
        </x:is>
      </x:c>
      <x:c r="I182" s="7" t="n">
        <x:v>62.29</x:v>
      </x:c>
      <x:c r="J182" s="7" t="n">
        <x:v>2.67</x:v>
      </x:c>
      <x:c r="K182" s="7" t="n">
        <x:v>2.48</x:v>
      </x:c>
      <x:c r="L182" s="7" t="n">
        <x:v>2.67</x:v>
      </x:c>
      <x:c r="M182" s="6" t="inlineStr">
        <x:is>
          <x:t xml:space="preserve">concluída</x:t>
        </x:is>
      </x:c>
      <x:c r="N182" s="6" t="n"/>
      <x:c r="O182" s="7" t="n">
        <x:v>-23.5096742</x:v>
      </x:c>
      <x:c r="P182" s="7" t="n">
        <x:v>-46.4076289</x:v>
      </x:c>
      <x:c r="Q182" s="7" t="n">
        <x:v>-23.5092203</x:v>
      </x:c>
      <x:c r="R182" s="7" t="n">
        <x:v>-46.4072685</x:v>
      </x:c>
    </x:row>
    <x:row r="183">
      <x:c r="A183" s="6" t="inlineStr">
        <x:is>
          <x:t xml:space="preserve">ct_jaragua</x:t>
        </x:is>
      </x:c>
      <x:c r="B183" s="6" t="inlineStr">
        <x:is>
          <x:t xml:space="preserve">CT_J-004</x:t>
        </x:is>
      </x:c>
      <x:c r="C183" s="6" t="inlineStr">
        <x:is>
          <x:t xml:space="preserve">PV-10 - PV-9</x:t>
        </x:is>
      </x:c>
      <x:c r="D183" s="6" t="inlineStr">
        <x:is>
          <x:t xml:space="preserve">PV-10</x:t>
        </x:is>
      </x:c>
      <x:c r="E183" s="6" t="inlineStr">
        <x:is>
          <x:t xml:space="preserve">PV-9</x:t>
        </x:is>
      </x:c>
      <x:c r="F183" s="6" t="inlineStr">
        <x:is>
          <x:t xml:space="preserve">PEAD</x:t>
        </x:is>
      </x:c>
      <x:c r="G183" s="6" t="n">
        <x:v>355</x:v>
      </x:c>
      <x:c r="H183" s="6" t="inlineStr">
        <x:is>
          <x:t xml:space="preserve">Método Não Destrutivo - MND</x:t>
        </x:is>
      </x:c>
      <x:c r="I183" s="7" t="n">
        <x:v>50.62</x:v>
      </x:c>
      <x:c r="J183" s="7" t="n">
        <x:v>2.08</x:v>
      </x:c>
      <x:c r="K183" s="7" t="n">
        <x:v>2.67</x:v>
      </x:c>
      <x:c r="L183" s="7" t="n">
        <x:v>2.67</x:v>
      </x:c>
      <x:c r="M183" s="6" t="inlineStr">
        <x:is>
          <x:t xml:space="preserve">concluída</x:t>
        </x:is>
      </x:c>
      <x:c r="N183" s="6" t="n"/>
      <x:c r="O183" s="7" t="n">
        <x:v>-23.5100516</x:v>
      </x:c>
      <x:c r="P183" s="7" t="n">
        <x:v>-46.4079087</x:v>
      </x:c>
      <x:c r="Q183" s="7" t="n">
        <x:v>-23.5096742</x:v>
      </x:c>
      <x:c r="R183" s="7" t="n">
        <x:v>-46.4076289</x:v>
      </x:c>
    </x:row>
    <x:row r="184">
      <x:c r="A184" s="6" t="inlineStr">
        <x:is>
          <x:t xml:space="preserve">ct_jaragua</x:t>
        </x:is>
      </x:c>
      <x:c r="B184" s="6" t="inlineStr">
        <x:is>
          <x:t xml:space="preserve">CT_J-005</x:t>
        </x:is>
      </x:c>
      <x:c r="C184" s="6" t="inlineStr">
        <x:is>
          <x:t xml:space="preserve">PV-11 - PV-10</x:t>
        </x:is>
      </x:c>
      <x:c r="D184" s="6" t="inlineStr">
        <x:is>
          <x:t xml:space="preserve">PV-11</x:t>
        </x:is>
      </x:c>
      <x:c r="E184" s="6" t="inlineStr">
        <x:is>
          <x:t xml:space="preserve">PV-10</x:t>
        </x:is>
      </x:c>
      <x:c r="F184" s="6" t="inlineStr">
        <x:is>
          <x:t xml:space="preserve">PEAD</x:t>
        </x:is>
      </x:c>
      <x:c r="G184" s="6" t="n">
        <x:v>355</x:v>
      </x:c>
      <x:c r="H184" s="6" t="inlineStr">
        <x:is>
          <x:t xml:space="preserve">Método Não Destrutivo - MND</x:t>
        </x:is>
      </x:c>
      <x:c r="I184" s="7" t="n">
        <x:v>57.9</x:v>
      </x:c>
      <x:c r="J184" s="7" t="n">
        <x:v>2.48</x:v>
      </x:c>
      <x:c r="K184" s="7" t="n">
        <x:v>2.08</x:v>
      </x:c>
      <x:c r="L184" s="7" t="n">
        <x:v>2.48</x:v>
      </x:c>
      <x:c r="M184" s="6" t="inlineStr">
        <x:is>
          <x:t xml:space="preserve">concluída</x:t>
        </x:is>
      </x:c>
      <x:c r="N184" s="6" t="n"/>
      <x:c r="O184" s="7" t="n">
        <x:v>-23.5104807</x:v>
      </x:c>
      <x:c r="P184" s="7" t="n">
        <x:v>-46.4082326</x:v>
      </x:c>
      <x:c r="Q184" s="7" t="n">
        <x:v>-23.5100516</x:v>
      </x:c>
      <x:c r="R184" s="7" t="n">
        <x:v>-46.4079087</x:v>
      </x:c>
    </x:row>
    <x:row r="185">
      <x:c r="A185" s="6" t="inlineStr">
        <x:is>
          <x:t xml:space="preserve">ct_jaragua</x:t>
        </x:is>
      </x:c>
      <x:c r="B185" s="6" t="inlineStr">
        <x:is>
          <x:t xml:space="preserve">CT_J-006</x:t>
        </x:is>
      </x:c>
      <x:c r="C185" s="6" t="inlineStr">
        <x:is>
          <x:t xml:space="preserve">PV-1 - PV-1</x:t>
        </x:is>
      </x:c>
      <x:c r="D185" s="6" t="inlineStr">
        <x:is>
          <x:t xml:space="preserve">PV-1</x:t>
        </x:is>
      </x:c>
      <x:c r="E185" s="6" t="inlineStr">
        <x:is>
          <x:t xml:space="preserve">PV-1</x:t>
        </x:is>
      </x:c>
      <x:c r="F185" s="6" t="inlineStr">
        <x:is>
          <x:t xml:space="preserve">PEAD</x:t>
        </x:is>
      </x:c>
      <x:c r="G185" s="6" t="n">
        <x:v>355</x:v>
      </x:c>
      <x:c r="H185" s="6" t="inlineStr">
        <x:is>
          <x:t xml:space="preserve">Método Não Destrutivo - MND</x:t>
        </x:is>
      </x:c>
      <x:c r="I185" s="7" t="n">
        <x:v>2.04</x:v>
      </x:c>
      <x:c r="J185" s="7" t="n">
        <x:v>4.27</x:v>
      </x:c>
      <x:c r="K185" s="7" t="n">
        <x:v>4.22</x:v>
      </x:c>
      <x:c r="L185" s="7" t="n">
        <x:v>4.27</x:v>
      </x:c>
      <x:c r="M185" s="6" t="inlineStr">
        <x:is>
          <x:t xml:space="preserve">concluída</x:t>
        </x:is>
      </x:c>
      <x:c r="N185" s="6" t="n"/>
      <x:c r="O185" s="7" t="n">
        <x:v>-23.5077965</x:v>
      </x:c>
      <x:c r="P185" s="7" t="n">
        <x:v>-46.4060783</x:v>
      </x:c>
      <x:c r="Q185" s="7" t="n">
        <x:v>-23.5077884</x:v>
      </x:c>
      <x:c r="R185" s="7" t="n">
        <x:v>-46.4060604</x:v>
      </x:c>
    </x:row>
    <x:row r="186">
      <x:c r="A186" s="6" t="inlineStr">
        <x:is>
          <x:t xml:space="preserve">ct_jaragua</x:t>
        </x:is>
      </x:c>
      <x:c r="B186" s="6" t="inlineStr">
        <x:is>
          <x:t xml:space="preserve">CT_J-007</x:t>
        </x:is>
      </x:c>
      <x:c r="C186" s="6" t="inlineStr">
        <x:is>
          <x:t xml:space="preserve">PIE-19 - PV-11</x:t>
        </x:is>
      </x:c>
      <x:c r="D186" s="6" t="inlineStr">
        <x:is>
          <x:t xml:space="preserve">PIE-19</x:t>
        </x:is>
      </x:c>
      <x:c r="E186" s="6" t="inlineStr">
        <x:is>
          <x:t xml:space="preserve">PV-11</x:t>
        </x:is>
      </x:c>
      <x:c r="F186" s="6" t="inlineStr">
        <x:is>
          <x:t xml:space="preserve">PVC</x:t>
        </x:is>
      </x:c>
      <x:c r="G186" s="6" t="n">
        <x:v>200</x:v>
      </x:c>
      <x:c r="H186" s="6" t="inlineStr">
        <x:is>
          <x:t xml:space="preserve">Vala a Céu Aberto - VCA</x:t>
        </x:is>
      </x:c>
      <x:c r="I186" s="7" t="n">
        <x:v>15.41</x:v>
      </x:c>
      <x:c r="J186" s="7" t="n">
        <x:v>1.46</x:v>
      </x:c>
      <x:c r="K186" s="7" t="n">
        <x:v>2.19</x:v>
      </x:c>
      <x:c r="L186" s="7" t="n">
        <x:v>2.19</x:v>
      </x:c>
      <x:c r="M186" s="6" t="inlineStr">
        <x:is>
          <x:t xml:space="preserve">concluída</x:t>
        </x:is>
      </x:c>
      <x:c r="N186" s="6" t="n"/>
      <x:c r="O186" s="7" t="n">
        <x:v>-23.5104017</x:v>
      </x:c>
      <x:c r="P186" s="7" t="n">
        <x:v>-46.4083567</x:v>
      </x:c>
      <x:c r="Q186" s="7" t="n">
        <x:v>-23.5104807</x:v>
      </x:c>
      <x:c r="R186" s="7" t="n">
        <x:v>-46.4082326</x:v>
      </x:c>
    </x:row>
    <x:row r="187">
      <x:c r="A187" s="6" t="inlineStr">
        <x:is>
          <x:t xml:space="preserve">ct_jaragua</x:t>
        </x:is>
      </x:c>
      <x:c r="B187" s="6" t="inlineStr">
        <x:is>
          <x:t xml:space="preserve">CT_J-008</x:t>
        </x:is>
      </x:c>
      <x:c r="C187" s="6" t="inlineStr">
        <x:is>
          <x:t xml:space="preserve">PIE-1 - PV-11</x:t>
        </x:is>
      </x:c>
      <x:c r="D187" s="6" t="inlineStr">
        <x:is>
          <x:t xml:space="preserve">PIE-1</x:t>
        </x:is>
      </x:c>
      <x:c r="E187" s="6" t="inlineStr">
        <x:is>
          <x:t xml:space="preserve">PV-11</x:t>
        </x:is>
      </x:c>
      <x:c r="F187" s="6" t="inlineStr">
        <x:is>
          <x:t xml:space="preserve">PVC</x:t>
        </x:is>
      </x:c>
      <x:c r="G187" s="6" t="n">
        <x:v>200</x:v>
      </x:c>
      <x:c r="H187" s="6" t="inlineStr">
        <x:is>
          <x:t xml:space="preserve">Vala a Céu Aberto - VCA</x:t>
        </x:is>
      </x:c>
      <x:c r="I187" s="7" t="n">
        <x:v>3.95</x:v>
      </x:c>
      <x:c r="J187" s="7" t="n">
        <x:v>1.54</x:v>
      </x:c>
      <x:c r="K187" s="7" t="n">
        <x:v>2.01</x:v>
      </x:c>
      <x:c r="L187" s="7" t="n">
        <x:v>2.01</x:v>
      </x:c>
      <x:c r="M187" s="6" t="inlineStr">
        <x:is>
          <x:t xml:space="preserve">concluída</x:t>
        </x:is>
      </x:c>
      <x:c r="N187" s="6" t="n"/>
      <x:c r="O187" s="7" t="n">
        <x:v>-23.5105036</x:v>
      </x:c>
      <x:c r="P187" s="7" t="n">
        <x:v>-46.4082623</x:v>
      </x:c>
      <x:c r="Q187" s="7" t="n">
        <x:v>-23.5104807</x:v>
      </x:c>
      <x:c r="R187" s="7" t="n">
        <x:v>-46.4082326</x:v>
      </x:c>
    </x:row>
    <x:row r="188">
      <x:c r="A188" s="6" t="inlineStr">
        <x:is>
          <x:t xml:space="preserve">ct_jaragua</x:t>
        </x:is>
      </x:c>
      <x:c r="B188" s="6" t="inlineStr">
        <x:is>
          <x:t xml:space="preserve">CT_J-009</x:t>
        </x:is>
      </x:c>
      <x:c r="C188" s="6" t="inlineStr">
        <x:is>
          <x:t xml:space="preserve">PIE-10 - PV-4</x:t>
        </x:is>
      </x:c>
      <x:c r="D188" s="6" t="inlineStr">
        <x:is>
          <x:t xml:space="preserve">PIE-10</x:t>
        </x:is>
      </x:c>
      <x:c r="E188" s="6" t="inlineStr">
        <x:is>
          <x:t xml:space="preserve">PV-4</x:t>
        </x:is>
      </x:c>
      <x:c r="F188" s="6" t="inlineStr">
        <x:is>
          <x:t xml:space="preserve">PVC</x:t>
        </x:is>
      </x:c>
      <x:c r="G188" s="6" t="n">
        <x:v>200</x:v>
      </x:c>
      <x:c r="H188" s="6" t="inlineStr">
        <x:is>
          <x:t xml:space="preserve">Vala a Céu Aberto - VCA</x:t>
        </x:is>
      </x:c>
      <x:c r="I188" s="7" t="n">
        <x:v>1.34</x:v>
      </x:c>
      <x:c r="J188" s="7" t="n">
        <x:v>1.17</x:v>
      </x:c>
      <x:c r="K188" s="7" t="n">
        <x:v>1.2</x:v>
      </x:c>
      <x:c r="L188" s="7" t="n">
        <x:v>1.2</x:v>
      </x:c>
      <x:c r="M188" s="6" t="inlineStr">
        <x:is>
          <x:t xml:space="preserve">concluída</x:t>
        </x:is>
      </x:c>
      <x:c r="N188" s="6" t="n"/>
      <x:c r="O188" s="7" t="n">
        <x:v>-23.5082794</x:v>
      </x:c>
      <x:c r="P188" s="7" t="n">
        <x:v>-46.4065781</x:v>
      </x:c>
      <x:c r="Q188" s="7" t="n">
        <x:v>-23.5082729</x:v>
      </x:c>
      <x:c r="R188" s="7" t="n">
        <x:v>-46.406567</x:v>
      </x:c>
    </x:row>
    <x:row r="189">
      <x:c r="A189" s="6" t="inlineStr">
        <x:is>
          <x:t xml:space="preserve">ct_jaragua</x:t>
        </x:is>
      </x:c>
      <x:c r="B189" s="6" t="inlineStr">
        <x:is>
          <x:t xml:space="preserve">CT_J-010</x:t>
        </x:is>
      </x:c>
      <x:c r="C189" s="6" t="inlineStr">
        <x:is>
          <x:t xml:space="preserve">PIE-5 - PV-8</x:t>
        </x:is>
      </x:c>
      <x:c r="D189" s="6" t="inlineStr">
        <x:is>
          <x:t xml:space="preserve">PIE-5</x:t>
        </x:is>
      </x:c>
      <x:c r="E189" s="6" t="inlineStr">
        <x:is>
          <x:t xml:space="preserve">PV-8</x:t>
        </x:is>
      </x:c>
      <x:c r="F189" s="6" t="inlineStr">
        <x:is>
          <x:t xml:space="preserve">PVC</x:t>
        </x:is>
      </x:c>
      <x:c r="G189" s="6" t="n">
        <x:v>200</x:v>
      </x:c>
      <x:c r="H189" s="6" t="inlineStr">
        <x:is>
          <x:t xml:space="preserve">Vala a Céu Aberto - VCA</x:t>
        </x:is>
      </x:c>
      <x:c r="I189" s="7" t="n">
        <x:v>3.1</x:v>
      </x:c>
      <x:c r="J189" s="7" t="n">
        <x:v>1.58</x:v>
      </x:c>
      <x:c r="K189" s="7" t="n">
        <x:v>1.62</x:v>
      </x:c>
      <x:c r="L189" s="7" t="n">
        <x:v>1.62</x:v>
      </x:c>
      <x:c r="M189" s="6" t="inlineStr">
        <x:is>
          <x:t xml:space="preserve">concluída</x:t>
        </x:is>
      </x:c>
      <x:c r="N189" s="6" t="n"/>
      <x:c r="O189" s="7" t="n">
        <x:v>-23.5092478</x:v>
      </x:c>
      <x:c r="P189" s="7" t="n">
        <x:v>-46.4072741</x:v>
      </x:c>
      <x:c r="Q189" s="7" t="n">
        <x:v>-23.5092203</x:v>
      </x:c>
      <x:c r="R189" s="7" t="n">
        <x:v>-46.4072685</x:v>
      </x:c>
    </x:row>
    <x:row r="190">
      <x:c r="A190" s="6" t="inlineStr">
        <x:is>
          <x:t xml:space="preserve">ct_jaragua</x:t>
        </x:is>
      </x:c>
      <x:c r="B190" s="6" t="inlineStr">
        <x:is>
          <x:t xml:space="preserve">CT_J-011</x:t>
        </x:is>
      </x:c>
      <x:c r="C190" s="6" t="inlineStr">
        <x:is>
          <x:t xml:space="preserve">PV-4 - PV-2</x:t>
        </x:is>
      </x:c>
      <x:c r="D190" s="6" t="inlineStr">
        <x:is>
          <x:t xml:space="preserve">PV-4</x:t>
        </x:is>
      </x:c>
      <x:c r="E190" s="6" t="inlineStr">
        <x:is>
          <x:t xml:space="preserve">PV-2</x:t>
        </x:is>
      </x:c>
      <x:c r="F190" s="6" t="inlineStr">
        <x:is>
          <x:t xml:space="preserve">PEAD</x:t>
        </x:is>
      </x:c>
      <x:c r="G190" s="6" t="n">
        <x:v>355</x:v>
      </x:c>
      <x:c r="H190" s="6" t="inlineStr">
        <x:is>
          <x:t xml:space="preserve">Método Não Destrutivo - MND</x:t>
        </x:is>
      </x:c>
      <x:c r="I190" s="7" t="n">
        <x:v>58.33</x:v>
      </x:c>
      <x:c r="J190" s="7" t="n">
        <x:v>2.04</x:v>
      </x:c>
      <x:c r="K190" s="7" t="n">
        <x:v>4</x:v>
      </x:c>
      <x:c r="L190" s="7" t="n">
        <x:v>4</x:v>
      </x:c>
      <x:c r="M190" s="6" t="inlineStr">
        <x:is>
          <x:t xml:space="preserve">concluída</x:t>
        </x:is>
      </x:c>
      <x:c r="N190" s="6" t="n"/>
      <x:c r="O190" s="7" t="n">
        <x:v>-23.5082729</x:v>
      </x:c>
      <x:c r="P190" s="7" t="n">
        <x:v>-46.406567</x:v>
      </x:c>
      <x:c r="Q190" s="7" t="n">
        <x:v>-23.5077947</x:v>
      </x:c>
      <x:c r="R190" s="7" t="n">
        <x:v>-46.4063316</x:v>
      </x:c>
    </x:row>
    <x:row r="191">
      <x:c r="A191" s="6" t="inlineStr">
        <x:is>
          <x:t xml:space="preserve">ct_jaragua</x:t>
        </x:is>
      </x:c>
      <x:c r="B191" s="6" t="inlineStr">
        <x:is>
          <x:t xml:space="preserve">CT_J-012</x:t>
        </x:is>
      </x:c>
      <x:c r="C191" s="6" t="inlineStr">
        <x:is>
          <x:t xml:space="preserve">PV-8 - PV-5</x:t>
        </x:is>
      </x:c>
      <x:c r="D191" s="6" t="inlineStr">
        <x:is>
          <x:t xml:space="preserve">PV-8</x:t>
        </x:is>
      </x:c>
      <x:c r="E191" s="6" t="inlineStr">
        <x:is>
          <x:t xml:space="preserve">PV-5</x:t>
        </x:is>
      </x:c>
      <x:c r="F191" s="6" t="inlineStr">
        <x:is>
          <x:t xml:space="preserve">PEAD</x:t>
        </x:is>
      </x:c>
      <x:c r="G191" s="6" t="n">
        <x:v>355</x:v>
      </x:c>
      <x:c r="H191" s="6" t="inlineStr">
        <x:is>
          <x:t xml:space="preserve">Método Não Destrutivo - MND</x:t>
        </x:is>
      </x:c>
      <x:c r="I191" s="7" t="n">
        <x:v>70.88</x:v>
      </x:c>
      <x:c r="J191" s="7" t="n">
        <x:v>2.48</x:v>
      </x:c>
      <x:c r="K191" s="7" t="n">
        <x:v>1.76</x:v>
      </x:c>
      <x:c r="L191" s="7" t="n">
        <x:v>2.48</x:v>
      </x:c>
      <x:c r="M191" s="6" t="inlineStr">
        <x:is>
          <x:t xml:space="preserve">concluída</x:t>
        </x:is>
      </x:c>
      <x:c r="N191" s="6" t="n"/>
      <x:c r="O191" s="7" t="n">
        <x:v>-23.5092203</x:v>
      </x:c>
      <x:c r="P191" s="7" t="n">
        <x:v>-46.4072685</x:v>
      </x:c>
      <x:c r="Q191" s="7" t="n">
        <x:v>-23.5087064</x:v>
      </x:c>
      <x:c r="R191" s="7" t="n">
        <x:v>-46.4068561</x:v>
      </x:c>
    </x:row>
    <x:row r="192">
      <x:c r="A192" s="6" t="inlineStr">
        <x:is>
          <x:t xml:space="preserve">rce_barao_luis_de_arariba</x:t>
        </x:is>
      </x:c>
      <x:c r="B192" s="6" t="inlineStr">
        <x:is>
          <x:t xml:space="preserve">RCE_-001</x:t>
        </x:is>
      </x:c>
      <x:c r="C192" s="6" t="inlineStr">
        <x:is>
          <x:t xml:space="preserve">PV-001 - PT-001</x:t>
        </x:is>
      </x:c>
      <x:c r="D192" s="6" t="inlineStr">
        <x:is>
          <x:t xml:space="preserve">PV-001</x:t>
        </x:is>
      </x:c>
      <x:c r="E192" s="6" t="inlineStr">
        <x:is>
          <x:t xml:space="preserve">PT-001</x:t>
        </x:is>
      </x:c>
      <x:c r="F192" s="6" t="inlineStr">
        <x:is>
          <x:t xml:space="preserve">Não informado</x:t>
        </x:is>
      </x:c>
      <x:c r="G192" s="6" t="n"/>
      <x:c r="H192" s="6" t="inlineStr">
        <x:is>
          <x:t xml:space="preserve">Não informado</x:t>
        </x:is>
      </x:c>
      <x:c r="I192" s="7" t="n">
        <x:v>48.78</x:v>
      </x:c>
      <x:c r="J192" s="6" t="n"/>
      <x:c r="K192" s="6" t="n"/>
      <x:c r="L192" s="6" t="n"/>
      <x:c r="M192" s="6" t="inlineStr">
        <x:is>
          <x:t xml:space="preserve">concluída</x:t>
        </x:is>
      </x:c>
      <x:c r="N192" s="6" t="inlineStr">
        <x:is>
          <x:t xml:space="preserve">VRT-C3-ALI-LINHA DE EIXO</x:t>
        </x:is>
      </x:c>
      <x:c r="O192" s="7" t="n">
        <x:v>-23.5189334</x:v>
      </x:c>
      <x:c r="P192" s="7" t="n">
        <x:v>-46.3993172</x:v>
      </x:c>
      <x:c r="Q192" s="7" t="n">
        <x:v>-23.5186061</x:v>
      </x:c>
      <x:c r="R192" s="7" t="n">
        <x:v>-46.3996368</x:v>
      </x:c>
    </x:row>
    <x:row r="193">
      <x:c r="A193" s="6" t="inlineStr">
        <x:is>
          <x:t xml:space="preserve">rce_barao_luis_de_arariba</x:t>
        </x:is>
      </x:c>
      <x:c r="B193" s="6" t="inlineStr">
        <x:is>
          <x:t xml:space="preserve">RCE_-002</x:t>
        </x:is>
      </x:c>
      <x:c r="C193" s="6" t="inlineStr">
        <x:is>
          <x:t xml:space="preserve">PV-002 - PV-001</x:t>
        </x:is>
      </x:c>
      <x:c r="D193" s="6" t="inlineStr">
        <x:is>
          <x:t xml:space="preserve">PV-002</x:t>
        </x:is>
      </x:c>
      <x:c r="E193" s="6" t="inlineStr">
        <x:is>
          <x:t xml:space="preserve">PV-001</x:t>
        </x:is>
      </x:c>
      <x:c r="F193" s="6" t="inlineStr">
        <x:is>
          <x:t xml:space="preserve">Não informado</x:t>
        </x:is>
      </x:c>
      <x:c r="G193" s="6" t="n"/>
      <x:c r="H193" s="6" t="inlineStr">
        <x:is>
          <x:t xml:space="preserve">Não informado</x:t>
        </x:is>
      </x:c>
      <x:c r="I193" s="7" t="n">
        <x:v>83.55</x:v>
      </x:c>
      <x:c r="J193" s="6" t="n"/>
      <x:c r="K193" s="6" t="n"/>
      <x:c r="L193" s="6" t="n"/>
      <x:c r="M193" s="6" t="inlineStr">
        <x:is>
          <x:t xml:space="preserve">concluída</x:t>
        </x:is>
      </x:c>
      <x:c r="N193" s="6" t="inlineStr">
        <x:is>
          <x:t xml:space="preserve">VRT-C3-ALI-LINHA DE EIXO</x:t>
        </x:is>
      </x:c>
      <x:c r="O193" s="7" t="n">
        <x:v>-23.5196106</x:v>
      </x:c>
      <x:c r="P193" s="7" t="n">
        <x:v>-46.3989564</x:v>
      </x:c>
      <x:c r="Q193" s="7" t="n">
        <x:v>-23.5189334</x:v>
      </x:c>
      <x:c r="R193" s="7" t="n">
        <x:v>-46.3993172</x:v>
      </x:c>
    </x:row>
    <x:row r="194">
      <x:c r="A194" s="6" t="inlineStr">
        <x:is>
          <x:t xml:space="preserve">rce_barao_luis_de_arariba</x:t>
        </x:is>
      </x:c>
      <x:c r="B194" s="6" t="inlineStr">
        <x:is>
          <x:t xml:space="preserve">RCE_-003</x:t>
        </x:is>
      </x:c>
      <x:c r="C194" s="6" t="inlineStr">
        <x:is>
          <x:t xml:space="preserve">PV-003 - PV-002</x:t>
        </x:is>
      </x:c>
      <x:c r="D194" s="6" t="inlineStr">
        <x:is>
          <x:t xml:space="preserve">PV-003</x:t>
        </x:is>
      </x:c>
      <x:c r="E194" s="6" t="inlineStr">
        <x:is>
          <x:t xml:space="preserve">PV-002</x:t>
        </x:is>
      </x:c>
      <x:c r="F194" s="6" t="inlineStr">
        <x:is>
          <x:t xml:space="preserve">Não informado</x:t>
        </x:is>
      </x:c>
      <x:c r="G194" s="6" t="n"/>
      <x:c r="H194" s="6" t="inlineStr">
        <x:is>
          <x:t xml:space="preserve">Não informado</x:t>
        </x:is>
      </x:c>
      <x:c r="I194" s="7" t="n">
        <x:v>82.2</x:v>
      </x:c>
      <x:c r="J194" s="6" t="n"/>
      <x:c r="K194" s="6" t="n"/>
      <x:c r="L194" s="6" t="n"/>
      <x:c r="M194" s="6" t="inlineStr">
        <x:is>
          <x:t xml:space="preserve">concluída</x:t>
        </x:is>
      </x:c>
      <x:c r="N194" s="6" t="inlineStr">
        <x:is>
          <x:t xml:space="preserve">VRT-C3-ALI-LINHA DE EIXO</x:t>
        </x:is>
      </x:c>
      <x:c r="O194" s="7" t="n">
        <x:v>-23.5203202</x:v>
      </x:c>
      <x:c r="P194" s="7" t="n">
        <x:v>-46.3987199</x:v>
      </x:c>
      <x:c r="Q194" s="7" t="n">
        <x:v>-23.5196106</x:v>
      </x:c>
      <x:c r="R194" s="7" t="n">
        <x:v>-46.3989564</x:v>
      </x:c>
    </x:row>
    <x:row r="195">
      <x:c r="A195" s="6" t="inlineStr">
        <x:is>
          <x:t xml:space="preserve">rce_barao_luis_de_arariba</x:t>
        </x:is>
      </x:c>
      <x:c r="B195" s="6" t="inlineStr">
        <x:is>
          <x:t xml:space="preserve">RCE_-004</x:t>
        </x:is>
      </x:c>
      <x:c r="C195" s="6" t="inlineStr">
        <x:is>
          <x:t xml:space="preserve">PV-007 - PV-003</x:t>
        </x:is>
      </x:c>
      <x:c r="D195" s="6" t="inlineStr">
        <x:is>
          <x:t xml:space="preserve">PV-007</x:t>
        </x:is>
      </x:c>
      <x:c r="E195" s="6" t="inlineStr">
        <x:is>
          <x:t xml:space="preserve">PV-003</x:t>
        </x:is>
      </x:c>
      <x:c r="F195" s="6" t="inlineStr">
        <x:is>
          <x:t xml:space="preserve">Não informado</x:t>
        </x:is>
      </x:c>
      <x:c r="G195" s="6" t="n"/>
      <x:c r="H195" s="6" t="inlineStr">
        <x:is>
          <x:t xml:space="preserve">Não informado</x:t>
        </x:is>
      </x:c>
      <x:c r="I195" s="7" t="n">
        <x:v>65.81999999999999</x:v>
      </x:c>
      <x:c r="J195" s="6" t="n"/>
      <x:c r="K195" s="6" t="n"/>
      <x:c r="L195" s="6" t="n"/>
      <x:c r="M195" s="6" t="inlineStr">
        <x:is>
          <x:t xml:space="preserve">concluída</x:t>
        </x:is>
      </x:c>
      <x:c r="N195" s="6" t="inlineStr">
        <x:is>
          <x:t xml:space="preserve">VRT-C3-ALI-LINHA DE EIXO</x:t>
        </x:is>
      </x:c>
      <x:c r="O195" s="7" t="n">
        <x:v>-23.5209143</x:v>
      </x:c>
      <x:c r="P195" s="7" t="n">
        <x:v>-46.3987013</x:v>
      </x:c>
      <x:c r="Q195" s="7" t="n">
        <x:v>-23.5203202</x:v>
      </x:c>
      <x:c r="R195" s="7" t="n">
        <x:v>-46.3987199</x:v>
      </x:c>
    </x:row>
    <x:row r="196">
      <x:c r="A196" s="6" t="inlineStr">
        <x:is>
          <x:t xml:space="preserve">rce_barao_luis_de_arariba</x:t>
        </x:is>
      </x:c>
      <x:c r="B196" s="6" t="inlineStr">
        <x:is>
          <x:t xml:space="preserve">RCE_-005</x:t>
        </x:is>
      </x:c>
      <x:c r="C196" s="6" t="inlineStr">
        <x:is>
          <x:t xml:space="preserve">PV-008 - PV-007</x:t>
        </x:is>
      </x:c>
      <x:c r="D196" s="6" t="inlineStr">
        <x:is>
          <x:t xml:space="preserve">PV-008</x:t>
        </x:is>
      </x:c>
      <x:c r="E196" s="6" t="inlineStr">
        <x:is>
          <x:t xml:space="preserve">PV-007</x:t>
        </x:is>
      </x:c>
      <x:c r="F196" s="6" t="inlineStr">
        <x:is>
          <x:t xml:space="preserve">Não informado</x:t>
        </x:is>
      </x:c>
      <x:c r="G196" s="6" t="n"/>
      <x:c r="H196" s="6" t="inlineStr">
        <x:is>
          <x:t xml:space="preserve">Não informado</x:t>
        </x:is>
      </x:c>
      <x:c r="I196" s="7" t="n">
        <x:v>59.78</x:v>
      </x:c>
      <x:c r="J196" s="6" t="n"/>
      <x:c r="K196" s="6" t="n"/>
      <x:c r="L196" s="6" t="n"/>
      <x:c r="M196" s="6" t="inlineStr">
        <x:is>
          <x:t xml:space="preserve">concluída</x:t>
        </x:is>
      </x:c>
      <x:c r="N196" s="6" t="inlineStr">
        <x:is>
          <x:t xml:space="preserve">VRT-C3-ALI-LINHA DE EIXO</x:t>
        </x:is>
      </x:c>
      <x:c r="O196" s="7" t="n">
        <x:v>-23.5214522</x:v>
      </x:c>
      <x:c r="P196" s="7" t="n">
        <x:v>-46.398651</x:v>
      </x:c>
      <x:c r="Q196" s="7" t="n">
        <x:v>-23.5209143</x:v>
      </x:c>
      <x:c r="R196" s="7" t="n">
        <x:v>-46.3987013</x:v>
      </x:c>
    </x:row>
    <x:row r="197">
      <x:c r="A197" s="6" t="inlineStr">
        <x:is>
          <x:t xml:space="preserve">rce_barao_luis_de_arariba</x:t>
        </x:is>
      </x:c>
      <x:c r="B197" s="6" t="inlineStr">
        <x:is>
          <x:t xml:space="preserve">RCE_-006</x:t>
        </x:is>
      </x:c>
      <x:c r="C197" s="6" t="inlineStr">
        <x:is>
          <x:t xml:space="preserve">PV-010 - PV-008</x:t>
        </x:is>
      </x:c>
      <x:c r="D197" s="6" t="inlineStr">
        <x:is>
          <x:t xml:space="preserve">PV-010</x:t>
        </x:is>
      </x:c>
      <x:c r="E197" s="6" t="inlineStr">
        <x:is>
          <x:t xml:space="preserve">PV-008</x:t>
        </x:is>
      </x:c>
      <x:c r="F197" s="6" t="inlineStr">
        <x:is>
          <x:t xml:space="preserve">Não informado</x:t>
        </x:is>
      </x:c>
      <x:c r="G197" s="6" t="n"/>
      <x:c r="H197" s="6" t="inlineStr">
        <x:is>
          <x:t xml:space="preserve">Não informado</x:t>
        </x:is>
      </x:c>
      <x:c r="I197" s="7" t="n">
        <x:v>51.39</x:v>
      </x:c>
      <x:c r="J197" s="6" t="n"/>
      <x:c r="K197" s="6" t="n"/>
      <x:c r="L197" s="6" t="n"/>
      <x:c r="M197" s="6" t="inlineStr">
        <x:is>
          <x:t xml:space="preserve">concluída</x:t>
        </x:is>
      </x:c>
      <x:c r="N197" s="6" t="inlineStr">
        <x:is>
          <x:t xml:space="preserve">VRT-C3-ALI-LINHA DE EIXO</x:t>
        </x:is>
      </x:c>
      <x:c r="O197" s="7" t="n">
        <x:v>-23.5218522</x:v>
      </x:c>
      <x:c r="P197" s="7" t="n">
        <x:v>-46.3983958</x:v>
      </x:c>
      <x:c r="Q197" s="7" t="n">
        <x:v>-23.5214522</x:v>
      </x:c>
      <x:c r="R197" s="7" t="n">
        <x:v>-46.398651</x:v>
      </x:c>
    </x:row>
    <x:row r="198">
      <x:c r="A198" s="6" t="inlineStr">
        <x:is>
          <x:t xml:space="preserve">rce_barao_luis_de_arariba</x:t>
        </x:is>
      </x:c>
      <x:c r="B198" s="6" t="inlineStr">
        <x:is>
          <x:t xml:space="preserve">RCE_-007</x:t>
        </x:is>
      </x:c>
      <x:c r="C198" s="6" t="inlineStr">
        <x:is>
          <x:t xml:space="preserve">PV-011 - PV-010</x:t>
        </x:is>
      </x:c>
      <x:c r="D198" s="6" t="inlineStr">
        <x:is>
          <x:t xml:space="preserve">PV-011</x:t>
        </x:is>
      </x:c>
      <x:c r="E198" s="6" t="inlineStr">
        <x:is>
          <x:t xml:space="preserve">PV-010</x:t>
        </x:is>
      </x:c>
      <x:c r="F198" s="6" t="inlineStr">
        <x:is>
          <x:t xml:space="preserve">Não informado</x:t>
        </x:is>
      </x:c>
      <x:c r="G198" s="6" t="n"/>
      <x:c r="H198" s="6" t="inlineStr">
        <x:is>
          <x:t xml:space="preserve">Não informado</x:t>
        </x:is>
      </x:c>
      <x:c r="I198" s="7" t="n">
        <x:v>69.70999999999999</x:v>
      </x:c>
      <x:c r="J198" s="6" t="n"/>
      <x:c r="K198" s="6" t="n"/>
      <x:c r="L198" s="6" t="n"/>
      <x:c r="M198" s="6" t="inlineStr">
        <x:is>
          <x:t xml:space="preserve">concluída</x:t>
        </x:is>
      </x:c>
      <x:c r="N198" s="6" t="inlineStr">
        <x:is>
          <x:t xml:space="preserve">VRT-C3-ALI-LINHA DE EIXO</x:t>
        </x:is>
      </x:c>
      <x:c r="O198" s="7" t="n">
        <x:v>-23.5220532</x:v>
      </x:c>
      <x:c r="P198" s="7" t="n">
        <x:v>-46.3977489</x:v>
      </x:c>
      <x:c r="Q198" s="7" t="n">
        <x:v>-23.5218522</x:v>
      </x:c>
      <x:c r="R198" s="7" t="n">
        <x:v>-46.3983958</x:v>
      </x:c>
    </x:row>
    <x:row r="199">
      <x:c r="A199" s="6" t="inlineStr">
        <x:is>
          <x:t xml:space="preserve">rce_barao_luis_de_arariba</x:t>
        </x:is>
      </x:c>
      <x:c r="B199" s="6" t="inlineStr">
        <x:is>
          <x:t xml:space="preserve">RCE_-008</x:t>
        </x:is>
      </x:c>
      <x:c r="C199" s="6" t="inlineStr">
        <x:is>
          <x:t xml:space="preserve">PV-012 - PV-011</x:t>
        </x:is>
      </x:c>
      <x:c r="D199" s="6" t="inlineStr">
        <x:is>
          <x:t xml:space="preserve">PV-012</x:t>
        </x:is>
      </x:c>
      <x:c r="E199" s="6" t="inlineStr">
        <x:is>
          <x:t xml:space="preserve">PV-011</x:t>
        </x:is>
      </x:c>
      <x:c r="F199" s="6" t="inlineStr">
        <x:is>
          <x:t xml:space="preserve">Não informado</x:t>
        </x:is>
      </x:c>
      <x:c r="G199" s="6" t="n"/>
      <x:c r="H199" s="6" t="inlineStr">
        <x:is>
          <x:t xml:space="preserve">Não informado</x:t>
        </x:is>
      </x:c>
      <x:c r="I199" s="7" t="n">
        <x:v>28.94</x:v>
      </x:c>
      <x:c r="J199" s="6" t="n"/>
      <x:c r="K199" s="6" t="n"/>
      <x:c r="L199" s="6" t="n"/>
      <x:c r="M199" s="6" t="inlineStr">
        <x:is>
          <x:t xml:space="preserve">concluída</x:t>
        </x:is>
      </x:c>
      <x:c r="N199" s="6" t="inlineStr">
        <x:is>
          <x:t xml:space="preserve">VRT-C3-ALI-LINHA DE EIXO</x:t>
        </x:is>
      </x:c>
      <x:c r="O199" s="7" t="n">
        <x:v>-23.5218418</x:v>
      </x:c>
      <x:c r="P199" s="7" t="n">
        <x:v>-46.3975822</x:v>
      </x:c>
      <x:c r="Q199" s="7" t="n">
        <x:v>-23.5220532</x:v>
      </x:c>
      <x:c r="R199" s="7" t="n">
        <x:v>-46.3977489</x:v>
      </x:c>
    </x:row>
    <x:row r="200">
      <x:c r="A200" s="6" t="inlineStr">
        <x:is>
          <x:t xml:space="preserve">rce_barao_luis_de_arariba</x:t>
        </x:is>
      </x:c>
      <x:c r="B200" s="6" t="inlineStr">
        <x:is>
          <x:t xml:space="preserve">RCE_-009</x:t>
        </x:is>
      </x:c>
      <x:c r="C200" s="6" t="inlineStr">
        <x:is>
          <x:t xml:space="preserve">PV-013 - PV-012</x:t>
        </x:is>
      </x:c>
      <x:c r="D200" s="6" t="inlineStr">
        <x:is>
          <x:t xml:space="preserve">PV-013</x:t>
        </x:is>
      </x:c>
      <x:c r="E200" s="6" t="inlineStr">
        <x:is>
          <x:t xml:space="preserve">PV-012</x:t>
        </x:is>
      </x:c>
      <x:c r="F200" s="6" t="inlineStr">
        <x:is>
          <x:t xml:space="preserve">Não informado</x:t>
        </x:is>
      </x:c>
      <x:c r="G200" s="6" t="n"/>
      <x:c r="H200" s="6" t="inlineStr">
        <x:is>
          <x:t xml:space="preserve">Não informado</x:t>
        </x:is>
      </x:c>
      <x:c r="I200" s="7" t="n">
        <x:v>26.54</x:v>
      </x:c>
      <x:c r="J200" s="6" t="n"/>
      <x:c r="K200" s="6" t="n"/>
      <x:c r="L200" s="6" t="n"/>
      <x:c r="M200" s="6" t="inlineStr">
        <x:is>
          <x:t xml:space="preserve">concluída</x:t>
        </x:is>
      </x:c>
      <x:c r="N200" s="6" t="inlineStr">
        <x:is>
          <x:t xml:space="preserve">VRT-C3-ALI-LINHA DE EIXO</x:t>
        </x:is>
      </x:c>
      <x:c r="O200" s="7" t="n">
        <x:v>-23.5217169</x:v>
      </x:c>
      <x:c r="P200" s="7" t="n">
        <x:v>-46.397804</x:v>
      </x:c>
      <x:c r="Q200" s="7" t="n">
        <x:v>-23.5218418</x:v>
      </x:c>
      <x:c r="R200" s="7" t="n">
        <x:v>-46.3975822</x:v>
      </x:c>
    </x:row>
    <x:row r="201">
      <x:c r="A201" s="6" t="inlineStr">
        <x:is>
          <x:t xml:space="preserve">rce_barao_luis_de_arariba</x:t>
        </x:is>
      </x:c>
      <x:c r="B201" s="6" t="inlineStr">
        <x:is>
          <x:t xml:space="preserve">RCE_-010</x:t>
        </x:is>
      </x:c>
      <x:c r="C201" s="6" t="inlineStr">
        <x:is>
          <x:t xml:space="preserve">PV-015 - PV-013</x:t>
        </x:is>
      </x:c>
      <x:c r="D201" s="6" t="inlineStr">
        <x:is>
          <x:t xml:space="preserve">PV-015</x:t>
        </x:is>
      </x:c>
      <x:c r="E201" s="6" t="inlineStr">
        <x:is>
          <x:t xml:space="preserve">PV-013</x:t>
        </x:is>
      </x:c>
      <x:c r="F201" s="6" t="inlineStr">
        <x:is>
          <x:t xml:space="preserve">Não informado</x:t>
        </x:is>
      </x:c>
      <x:c r="G201" s="6" t="n"/>
      <x:c r="H201" s="6" t="inlineStr">
        <x:is>
          <x:t xml:space="preserve">Não informado</x:t>
        </x:is>
      </x:c>
      <x:c r="I201" s="7" t="n">
        <x:v>24.78</x:v>
      </x:c>
      <x:c r="J201" s="6" t="n"/>
      <x:c r="K201" s="6" t="n"/>
      <x:c r="L201" s="6" t="n"/>
      <x:c r="M201" s="6" t="inlineStr">
        <x:is>
          <x:t xml:space="preserve">concluída</x:t>
        </x:is>
      </x:c>
      <x:c r="N201" s="6" t="inlineStr">
        <x:is>
          <x:t xml:space="preserve">VRT-C3-ALI-LINHA DE EIXO</x:t>
        </x:is>
      </x:c>
      <x:c r="O201" s="7" t="n">
        <x:v>-23.5215941</x:v>
      </x:c>
      <x:c r="P201" s="7" t="n">
        <x:v>-46.3980068</x:v>
      </x:c>
      <x:c r="Q201" s="7" t="n">
        <x:v>-23.5217169</x:v>
      </x:c>
      <x:c r="R201" s="7" t="n">
        <x:v>-46.397804</x:v>
      </x:c>
    </x:row>
    <x:row r="202">
      <x:c r="A202" s="6" t="inlineStr">
        <x:is>
          <x:t xml:space="preserve">rce_barao_luis_de_arariba</x:t>
        </x:is>
      </x:c>
      <x:c r="B202" s="6" t="inlineStr">
        <x:is>
          <x:t xml:space="preserve">RCE_-011</x:t>
        </x:is>
      </x:c>
      <x:c r="C202" s="6" t="inlineStr">
        <x:is>
          <x:t xml:space="preserve">PV-004 - PV-003</x:t>
        </x:is>
      </x:c>
      <x:c r="D202" s="6" t="inlineStr">
        <x:is>
          <x:t xml:space="preserve">PV-004</x:t>
        </x:is>
      </x:c>
      <x:c r="E202" s="6" t="inlineStr">
        <x:is>
          <x:t xml:space="preserve">PV-003</x:t>
        </x:is>
      </x:c>
      <x:c r="F202" s="6" t="inlineStr">
        <x:is>
          <x:t xml:space="preserve">Não informado</x:t>
        </x:is>
      </x:c>
      <x:c r="G202" s="6" t="n"/>
      <x:c r="H202" s="6" t="inlineStr">
        <x:is>
          <x:t xml:space="preserve">Não informado</x:t>
        </x:is>
      </x:c>
      <x:c r="I202" s="7" t="n">
        <x:v>54.38</x:v>
      </x:c>
      <x:c r="J202" s="6" t="n"/>
      <x:c r="K202" s="6" t="n"/>
      <x:c r="L202" s="6" t="n"/>
      <x:c r="M202" s="6" t="inlineStr">
        <x:is>
          <x:t xml:space="preserve">concluída</x:t>
        </x:is>
      </x:c>
      <x:c r="N202" s="6" t="inlineStr">
        <x:is>
          <x:t xml:space="preserve">VRT-C3-ALI-LINHA DE EIXO</x:t>
        </x:is>
      </x:c>
      <x:c r="O202" s="7" t="n">
        <x:v>-23.5201312</x:v>
      </x:c>
      <x:c r="P202" s="7" t="n">
        <x:v>-46.3982283</x:v>
      </x:c>
      <x:c r="Q202" s="7" t="n">
        <x:v>-23.5203202</x:v>
      </x:c>
      <x:c r="R202" s="7" t="n">
        <x:v>-46.3987199</x:v>
      </x:c>
    </x:row>
    <x:row r="203">
      <x:c r="A203" s="6" t="inlineStr">
        <x:is>
          <x:t xml:space="preserve">rce_barao_luis_de_arariba</x:t>
        </x:is>
      </x:c>
      <x:c r="B203" s="6" t="inlineStr">
        <x:is>
          <x:t xml:space="preserve">RCE_-012</x:t>
        </x:is>
      </x:c>
      <x:c r="C203" s="6" t="inlineStr">
        <x:is>
          <x:t xml:space="preserve">PV-006 - PV-004</x:t>
        </x:is>
      </x:c>
      <x:c r="D203" s="6" t="inlineStr">
        <x:is>
          <x:t xml:space="preserve">PV-006</x:t>
        </x:is>
      </x:c>
      <x:c r="E203" s="6" t="inlineStr">
        <x:is>
          <x:t xml:space="preserve">PV-004</x:t>
        </x:is>
      </x:c>
      <x:c r="F203" s="6" t="inlineStr">
        <x:is>
          <x:t xml:space="preserve">Não informado</x:t>
        </x:is>
      </x:c>
      <x:c r="G203" s="6" t="n"/>
      <x:c r="H203" s="6" t="inlineStr">
        <x:is>
          <x:t xml:space="preserve">Não informado</x:t>
        </x:is>
      </x:c>
      <x:c r="I203" s="7" t="n">
        <x:v>14.31</x:v>
      </x:c>
      <x:c r="J203" s="6" t="n"/>
      <x:c r="K203" s="6" t="n"/>
      <x:c r="L203" s="6" t="n"/>
      <x:c r="M203" s="6" t="inlineStr">
        <x:is>
          <x:t xml:space="preserve">concluída</x:t>
        </x:is>
      </x:c>
      <x:c r="N203" s="6" t="inlineStr">
        <x:is>
          <x:t xml:space="preserve">VRT-C3-ALI-LINHA DE EIXO</x:t>
        </x:is>
      </x:c>
      <x:c r="O203" s="7" t="n">
        <x:v>-23.5201867</x:v>
      </x:c>
      <x:c r="P203" s="7" t="n">
        <x:v>-46.3981018</x:v>
      </x:c>
      <x:c r="Q203" s="7" t="n">
        <x:v>-23.5201312</x:v>
      </x:c>
      <x:c r="R203" s="7" t="n">
        <x:v>-46.3982283</x:v>
      </x:c>
    </x:row>
    <x:row r="204">
      <x:c r="A204" s="6" t="inlineStr">
        <x:is>
          <x:t xml:space="preserve">rce_barao_luis_de_arariba</x:t>
        </x:is>
      </x:c>
      <x:c r="B204" s="6" t="inlineStr">
        <x:is>
          <x:t xml:space="preserve">RCE_-013</x:t>
        </x:is>
      </x:c>
      <x:c r="C204" s="6" t="inlineStr">
        <x:is>
          <x:t xml:space="preserve">PV-005 - PV-004</x:t>
        </x:is>
      </x:c>
      <x:c r="D204" s="6" t="inlineStr">
        <x:is>
          <x:t xml:space="preserve">PV-005</x:t>
        </x:is>
      </x:c>
      <x:c r="E204" s="6" t="inlineStr">
        <x:is>
          <x:t xml:space="preserve">PV-004</x:t>
        </x:is>
      </x:c>
      <x:c r="F204" s="6" t="inlineStr">
        <x:is>
          <x:t xml:space="preserve">Não informado</x:t>
        </x:is>
      </x:c>
      <x:c r="G204" s="6" t="n"/>
      <x:c r="H204" s="6" t="inlineStr">
        <x:is>
          <x:t xml:space="preserve">Não informado</x:t>
        </x:is>
      </x:c>
      <x:c r="I204" s="7" t="n">
        <x:v>3.85</x:v>
      </x:c>
      <x:c r="J204" s="6" t="n"/>
      <x:c r="K204" s="6" t="n"/>
      <x:c r="L204" s="6" t="n"/>
      <x:c r="M204" s="6" t="inlineStr">
        <x:is>
          <x:t xml:space="preserve">concluída</x:t>
        </x:is>
      </x:c>
      <x:c r="N204" s="6" t="inlineStr">
        <x:is>
          <x:t xml:space="preserve">VRT-C3-ALI-LINHA DE EIXO</x:t>
        </x:is>
      </x:c>
      <x:c r="O204" s="7" t="n">
        <x:v>-23.5201177</x:v>
      </x:c>
      <x:c r="P204" s="7" t="n">
        <x:v>-46.3981936</x:v>
      </x:c>
      <x:c r="Q204" s="7" t="n">
        <x:v>-23.5201312</x:v>
      </x:c>
      <x:c r="R204" s="7" t="n">
        <x:v>-46.3982283</x:v>
      </x:c>
    </x:row>
    <x:row r="205">
      <x:c r="A205" s="6" t="inlineStr">
        <x:is>
          <x:t xml:space="preserve">rce_barao_luis_de_arariba</x:t>
        </x:is>
      </x:c>
      <x:c r="B205" s="6" t="inlineStr">
        <x:is>
          <x:t xml:space="preserve">RCE_-014</x:t>
        </x:is>
      </x:c>
      <x:c r="C205" s="6" t="inlineStr">
        <x:is>
          <x:t xml:space="preserve">PV-009 - PV-008</x:t>
        </x:is>
      </x:c>
      <x:c r="D205" s="6" t="inlineStr">
        <x:is>
          <x:t xml:space="preserve">PV-009</x:t>
        </x:is>
      </x:c>
      <x:c r="E205" s="6" t="inlineStr">
        <x:is>
          <x:t xml:space="preserve">PV-008</x:t>
        </x:is>
      </x:c>
      <x:c r="F205" s="6" t="inlineStr">
        <x:is>
          <x:t xml:space="preserve">Não informado</x:t>
        </x:is>
      </x:c>
      <x:c r="G205" s="6" t="n"/>
      <x:c r="H205" s="6" t="inlineStr">
        <x:is>
          <x:t xml:space="preserve">Não informado</x:t>
        </x:is>
      </x:c>
      <x:c r="I205" s="7" t="n">
        <x:v>2.49</x:v>
      </x:c>
      <x:c r="J205" s="6" t="n"/>
      <x:c r="K205" s="6" t="n"/>
      <x:c r="L205" s="6" t="n"/>
      <x:c r="M205" s="6" t="inlineStr">
        <x:is>
          <x:t xml:space="preserve">concluída</x:t>
        </x:is>
      </x:c>
      <x:c r="N205" s="6" t="inlineStr">
        <x:is>
          <x:t xml:space="preserve">VRT-C3-ALI-LINHA DE EIXO</x:t>
        </x:is>
      </x:c>
      <x:c r="O205" s="7" t="n">
        <x:v>-23.5214569</x:v>
      </x:c>
      <x:c r="P205" s="7" t="n">
        <x:v>-46.3986271</x:v>
      </x:c>
      <x:c r="Q205" s="7" t="n">
        <x:v>-23.5214522</x:v>
      </x:c>
      <x:c r="R205" s="7" t="n">
        <x:v>-46.398651</x:v>
      </x:c>
    </x:row>
    <x:row r="206">
      <x:c r="A206" s="6" t="inlineStr">
        <x:is>
          <x:t xml:space="preserve">rce_barao_luis_de_arariba</x:t>
        </x:is>
      </x:c>
      <x:c r="B206" s="6" t="inlineStr">
        <x:is>
          <x:t xml:space="preserve">RCE_-015</x:t>
        </x:is>
      </x:c>
      <x:c r="C206" s="6" t="inlineStr">
        <x:is>
          <x:t xml:space="preserve">PV-014 - PV-013</x:t>
        </x:is>
      </x:c>
      <x:c r="D206" s="6" t="inlineStr">
        <x:is>
          <x:t xml:space="preserve">PV-014</x:t>
        </x:is>
      </x:c>
      <x:c r="E206" s="6" t="inlineStr">
        <x:is>
          <x:t xml:space="preserve">PV-013</x:t>
        </x:is>
      </x:c>
      <x:c r="F206" s="6" t="inlineStr">
        <x:is>
          <x:t xml:space="preserve">Não informado</x:t>
        </x:is>
      </x:c>
      <x:c r="G206" s="6" t="n"/>
      <x:c r="H206" s="6" t="inlineStr">
        <x:is>
          <x:t xml:space="preserve">Não informado</x:t>
        </x:is>
      </x:c>
      <x:c r="I206" s="7" t="n">
        <x:v>1.24</x:v>
      </x:c>
      <x:c r="J206" s="6" t="n"/>
      <x:c r="K206" s="6" t="n"/>
      <x:c r="L206" s="6" t="n"/>
      <x:c r="M206" s="6" t="inlineStr">
        <x:is>
          <x:t xml:space="preserve">concluída</x:t>
        </x:is>
      </x:c>
      <x:c r="N206" s="6" t="inlineStr">
        <x:is>
          <x:t xml:space="preserve">VRT-C3-ALI-LINHA DE EIXO</x:t>
        </x:is>
      </x:c>
      <x:c r="O206" s="7" t="n">
        <x:v>-23.5217196</x:v>
      </x:c>
      <x:c r="P206" s="7" t="n">
        <x:v>-46.3977922</x:v>
      </x:c>
      <x:c r="Q206" s="7" t="n">
        <x:v>-23.5217169</x:v>
      </x:c>
      <x:c r="R206" s="7" t="n">
        <x:v>-46.397804</x:v>
      </x:c>
    </x:row>
    <x:row r="207">
      <x:c r="A207" s="6" t="inlineStr">
        <x:is>
          <x:t xml:space="preserve">ct_jardim_miriam_blocos_05_a_09</x:t>
        </x:is>
      </x:c>
      <x:c r="B207" s="6" t="inlineStr">
        <x:is>
          <x:t xml:space="preserve">CT_J-001</x:t>
        </x:is>
      </x:c>
      <x:c r="C207" s="6" t="inlineStr">
        <x:is>
          <x:t xml:space="preserve">PV-43 - PV-30</x:t>
        </x:is>
      </x:c>
      <x:c r="D207" s="6" t="inlineStr">
        <x:is>
          <x:t xml:space="preserve">PV-43</x:t>
        </x:is>
      </x:c>
      <x:c r="E207" s="6" t="inlineStr">
        <x:is>
          <x:t xml:space="preserve">PV-30</x:t>
        </x:is>
      </x:c>
      <x:c r="F207" s="6" t="inlineStr">
        <x:is>
          <x:t xml:space="preserve">PEAD</x:t>
        </x:is>
      </x:c>
      <x:c r="G207" s="6" t="n">
        <x:v>355</x:v>
      </x:c>
      <x:c r="H207" s="6" t="inlineStr">
        <x:is>
          <x:t xml:space="preserve">Método Não Destrutivo - MND</x:t>
        </x:is>
      </x:c>
      <x:c r="I207" s="7" t="n">
        <x:v>14.88</x:v>
      </x:c>
      <x:c r="J207" s="7" t="n">
        <x:v>3.7</x:v>
      </x:c>
      <x:c r="K207" s="7" t="n">
        <x:v>3.4</x:v>
      </x:c>
      <x:c r="L207" s="7" t="n">
        <x:v>3.7</x:v>
      </x:c>
      <x:c r="M207" s="6" t="inlineStr">
        <x:is>
          <x:t xml:space="preserve">não iniciada</x:t>
        </x:is>
      </x:c>
      <x:c r="N207" s="6" t="n"/>
      <x:c r="O207" s="7" t="n">
        <x:v>-23.5188997</x:v>
      </x:c>
      <x:c r="P207" s="7" t="n">
        <x:v>-46.3950852</x:v>
      </x:c>
      <x:c r="Q207" s="7" t="n">
        <x:v>-23.518772</x:v>
      </x:c>
      <x:c r="R207" s="7" t="n">
        <x:v>-46.3950395</x:v>
      </x:c>
    </x:row>
    <x:row r="208">
      <x:c r="A208" s="6" t="inlineStr">
        <x:is>
          <x:t xml:space="preserve">ct_jardim_miriam_blocos_05_a_09</x:t>
        </x:is>
      </x:c>
      <x:c r="B208" s="6" t="inlineStr">
        <x:is>
          <x:t xml:space="preserve">CT_J-002</x:t>
        </x:is>
      </x:c>
      <x:c r="C208" s="6" t="inlineStr">
        <x:is>
          <x:t xml:space="preserve">PV-9 - PV-8</x:t>
        </x:is>
      </x:c>
      <x:c r="D208" s="6" t="inlineStr">
        <x:is>
          <x:t xml:space="preserve">PV-9</x:t>
        </x:is>
      </x:c>
      <x:c r="E208" s="6" t="inlineStr">
        <x:is>
          <x:t xml:space="preserve">PV-8</x:t>
        </x:is>
      </x:c>
      <x:c r="F208" s="6" t="inlineStr">
        <x:is>
          <x:t xml:space="preserve">PEAD</x:t>
        </x:is>
      </x:c>
      <x:c r="G208" s="6" t="n">
        <x:v>355</x:v>
      </x:c>
      <x:c r="H208" s="6" t="inlineStr">
        <x:is>
          <x:t xml:space="preserve">Método Não Destrutivo - MND</x:t>
        </x:is>
      </x:c>
      <x:c r="I208" s="7" t="n">
        <x:v>20.68</x:v>
      </x:c>
      <x:c r="J208" s="7" t="n">
        <x:v>3.25</x:v>
      </x:c>
      <x:c r="K208" s="7" t="n">
        <x:v>3.45</x:v>
      </x:c>
      <x:c r="L208" s="7" t="n">
        <x:v>3.45</x:v>
      </x:c>
      <x:c r="M208" s="6" t="inlineStr">
        <x:is>
          <x:t xml:space="preserve">não iniciada</x:t>
        </x:is>
      </x:c>
      <x:c r="N208" s="6" t="n"/>
      <x:c r="O208" s="7" t="n">
        <x:v>-23.5184884</x:v>
      </x:c>
      <x:c r="P208" s="7" t="n">
        <x:v>-46.3997323</x:v>
      </x:c>
      <x:c r="Q208" s="7" t="n">
        <x:v>-23.5185562</x:v>
      </x:c>
      <x:c r="R208" s="7" t="n">
        <x:v>-46.3999208</x:v>
      </x:c>
    </x:row>
    <x:row r="209">
      <x:c r="A209" s="6" t="inlineStr">
        <x:is>
          <x:t xml:space="preserve">ct_jardim_miriam_blocos_05_a_09</x:t>
        </x:is>
      </x:c>
      <x:c r="B209" s="6" t="inlineStr">
        <x:is>
          <x:t xml:space="preserve">CT_J-003</x:t>
        </x:is>
      </x:c>
      <x:c r="C209" s="6" t="inlineStr">
        <x:is>
          <x:t xml:space="preserve">PV-33 - PV-9</x:t>
        </x:is>
      </x:c>
      <x:c r="D209" s="6" t="inlineStr">
        <x:is>
          <x:t xml:space="preserve">PV-33</x:t>
        </x:is>
      </x:c>
      <x:c r="E209" s="6" t="inlineStr">
        <x:is>
          <x:t xml:space="preserve">PV-9</x:t>
        </x:is>
      </x:c>
      <x:c r="F209" s="6" t="inlineStr">
        <x:is>
          <x:t xml:space="preserve">PEAD</x:t>
        </x:is>
      </x:c>
      <x:c r="G209" s="6" t="n">
        <x:v>355</x:v>
      </x:c>
      <x:c r="H209" s="6" t="inlineStr">
        <x:is>
          <x:t xml:space="preserve">Método Não Destrutivo - MND</x:t>
        </x:is>
      </x:c>
      <x:c r="I209" s="7" t="n">
        <x:v>51.6</x:v>
      </x:c>
      <x:c r="J209" s="7" t="n">
        <x:v>2.55</x:v>
      </x:c>
      <x:c r="K209" s="7" t="n">
        <x:v>3.25</x:v>
      </x:c>
      <x:c r="L209" s="7" t="n">
        <x:v>3.25</x:v>
      </x:c>
      <x:c r="M209" s="6" t="inlineStr">
        <x:is>
          <x:t xml:space="preserve">não iniciada</x:t>
        </x:is>
      </x:c>
      <x:c r="N209" s="6" t="n"/>
      <x:c r="O209" s="7" t="n">
        <x:v>-23.5181285</x:v>
      </x:c>
      <x:c r="P209" s="7" t="n">
        <x:v>-46.4000534</x:v>
      </x:c>
      <x:c r="Q209" s="7" t="n">
        <x:v>-23.5184884</x:v>
      </x:c>
      <x:c r="R209" s="7" t="n">
        <x:v>-46.3997323</x:v>
      </x:c>
    </x:row>
    <x:row r="210">
      <x:c r="A210" s="6" t="inlineStr">
        <x:is>
          <x:t xml:space="preserve">ct_jardim_miriam_blocos_05_a_09</x:t>
        </x:is>
      </x:c>
      <x:c r="B210" s="6" t="inlineStr">
        <x:is>
          <x:t xml:space="preserve">CT_J-004</x:t>
        </x:is>
      </x:c>
      <x:c r="C210" s="6" t="inlineStr">
        <x:is>
          <x:t xml:space="preserve">PV-2 - PV-2</x:t>
        </x:is>
      </x:c>
      <x:c r="D210" s="6" t="inlineStr">
        <x:is>
          <x:t xml:space="preserve">PV-2</x:t>
        </x:is>
      </x:c>
      <x:c r="E210" s="6" t="inlineStr">
        <x:is>
          <x:t xml:space="preserve">PV-2</x:t>
        </x:is>
      </x:c>
      <x:c r="F210" s="6" t="inlineStr">
        <x:is>
          <x:t xml:space="preserve">PEAD</x:t>
        </x:is>
      </x:c>
      <x:c r="G210" s="6" t="n">
        <x:v>355</x:v>
      </x:c>
      <x:c r="H210" s="6" t="inlineStr">
        <x:is>
          <x:t xml:space="preserve">Método Não Destrutivo - MND</x:t>
        </x:is>
      </x:c>
      <x:c r="I210" s="7" t="n">
        <x:v>3.27</x:v>
      </x:c>
      <x:c r="J210" s="7" t="n">
        <x:v>3.5</x:v>
      </x:c>
      <x:c r="K210" s="7" t="n">
        <x:v>3.56</x:v>
      </x:c>
      <x:c r="L210" s="7" t="n">
        <x:v>3.56</x:v>
      </x:c>
      <x:c r="M210" s="6" t="inlineStr">
        <x:is>
          <x:t xml:space="preserve">não iniciada</x:t>
        </x:is>
      </x:c>
      <x:c r="N210" s="6" t="n"/>
      <x:c r="O210" s="7" t="n">
        <x:v>-23.5159964</x:v>
      </x:c>
      <x:c r="P210" s="7" t="n">
        <x:v>-46.4022632</x:v>
      </x:c>
      <x:c r="Q210" s="7" t="n">
        <x:v>-23.5159987</x:v>
      </x:c>
      <x:c r="R210" s="7" t="n">
        <x:v>-46.4022938</x:v>
      </x:c>
    </x:row>
    <x:row r="211">
      <x:c r="A211" s="6" t="inlineStr">
        <x:is>
          <x:t xml:space="preserve">ct_jardim_miriam_blocos_05_a_09</x:t>
        </x:is>
      </x:c>
      <x:c r="B211" s="6" t="inlineStr">
        <x:is>
          <x:t xml:space="preserve">CT_J-005</x:t>
        </x:is>
      </x:c>
      <x:c r="C211" s="6" t="inlineStr">
        <x:is>
          <x:t xml:space="preserve">PV-5 - PV-4</x:t>
        </x:is>
      </x:c>
      <x:c r="D211" s="6" t="inlineStr">
        <x:is>
          <x:t xml:space="preserve">PV-5</x:t>
        </x:is>
      </x:c>
      <x:c r="E211" s="6" t="inlineStr">
        <x:is>
          <x:t xml:space="preserve">PV-4</x:t>
        </x:is>
      </x:c>
      <x:c r="F211" s="6" t="inlineStr">
        <x:is>
          <x:t xml:space="preserve">PEAD</x:t>
        </x:is>
      </x:c>
      <x:c r="G211" s="6" t="n">
        <x:v>355</x:v>
      </x:c>
      <x:c r="H211" s="6" t="inlineStr">
        <x:is>
          <x:t xml:space="preserve">Método Não Destrutivo - MND</x:t>
        </x:is>
      </x:c>
      <x:c r="I211" s="7" t="n">
        <x:v>64.51000000000001</x:v>
      </x:c>
      <x:c r="J211" s="7" t="n">
        <x:v>3.15</x:v>
      </x:c>
      <x:c r="K211" s="7" t="n">
        <x:v>3.09</x:v>
      </x:c>
      <x:c r="L211" s="7" t="n">
        <x:v>3.15</x:v>
      </x:c>
      <x:c r="M211" s="6" t="inlineStr">
        <x:is>
          <x:t xml:space="preserve">não iniciada</x:t>
        </x:is>
      </x:c>
      <x:c r="N211" s="6" t="n"/>
      <x:c r="O211" s="7" t="n">
        <x:v>-23.5171053</x:v>
      </x:c>
      <x:c r="P211" s="7" t="n">
        <x:v>-46.4013214</x:v>
      </x:c>
      <x:c r="Q211" s="7" t="n">
        <x:v>-23.5166705</x:v>
      </x:c>
      <x:c r="R211" s="7" t="n">
        <x:v>-46.4017412</x:v>
      </x:c>
    </x:row>
    <x:row r="212">
      <x:c r="A212" s="6" t="inlineStr">
        <x:is>
          <x:t xml:space="preserve">ct_jardim_miriam_blocos_05_a_09</x:t>
        </x:is>
      </x:c>
      <x:c r="B212" s="6" t="inlineStr">
        <x:is>
          <x:t xml:space="preserve">CT_J-006</x:t>
        </x:is>
      </x:c>
      <x:c r="C212" s="6" t="inlineStr">
        <x:is>
          <x:t xml:space="preserve">PV-6 - PV-5</x:t>
        </x:is>
      </x:c>
      <x:c r="D212" s="6" t="inlineStr">
        <x:is>
          <x:t xml:space="preserve">PV-6</x:t>
        </x:is>
      </x:c>
      <x:c r="E212" s="6" t="inlineStr">
        <x:is>
          <x:t xml:space="preserve">PV-5</x:t>
        </x:is>
      </x:c>
      <x:c r="F212" s="6" t="inlineStr">
        <x:is>
          <x:t xml:space="preserve">PEAD</x:t>
        </x:is>
      </x:c>
      <x:c r="G212" s="6" t="n">
        <x:v>355</x:v>
      </x:c>
      <x:c r="H212" s="6" t="inlineStr">
        <x:is>
          <x:t xml:space="preserve">Método Não Destrutivo - MND</x:t>
        </x:is>
      </x:c>
      <x:c r="I212" s="7" t="n">
        <x:v>75.36</x:v>
      </x:c>
      <x:c r="J212" s="7" t="n">
        <x:v>3.28</x:v>
      </x:c>
      <x:c r="K212" s="7" t="n">
        <x:v>3.05</x:v>
      </x:c>
      <x:c r="L212" s="7" t="n">
        <x:v>3.28</x:v>
      </x:c>
      <x:c r="M212" s="6" t="inlineStr">
        <x:is>
          <x:t xml:space="preserve">não iniciada</x:t>
        </x:is>
      </x:c>
      <x:c r="N212" s="6" t="n"/>
      <x:c r="O212" s="7" t="n">
        <x:v>-23.517567</x:v>
      </x:c>
      <x:c r="P212" s="7" t="n">
        <x:v>-46.4007792</x:v>
      </x:c>
      <x:c r="Q212" s="7" t="n">
        <x:v>-23.5171053</x:v>
      </x:c>
      <x:c r="R212" s="7" t="n">
        <x:v>-46.4013214</x:v>
      </x:c>
    </x:row>
    <x:row r="213">
      <x:c r="A213" s="6" t="inlineStr">
        <x:is>
          <x:t xml:space="preserve">ct_jardim_miriam_blocos_05_a_09</x:t>
        </x:is>
      </x:c>
      <x:c r="B213" s="6" t="inlineStr">
        <x:is>
          <x:t xml:space="preserve">CT_J-007</x:t>
        </x:is>
      </x:c>
      <x:c r="C213" s="6" t="inlineStr">
        <x:is>
          <x:t xml:space="preserve">PV-7 - PV-6</x:t>
        </x:is>
      </x:c>
      <x:c r="D213" s="6" t="inlineStr">
        <x:is>
          <x:t xml:space="preserve">PV-7</x:t>
        </x:is>
      </x:c>
      <x:c r="E213" s="6" t="inlineStr">
        <x:is>
          <x:t xml:space="preserve">PV-6</x:t>
        </x:is>
      </x:c>
      <x:c r="F213" s="6" t="inlineStr">
        <x:is>
          <x:t xml:space="preserve">PEAD</x:t>
        </x:is>
      </x:c>
      <x:c r="G213" s="6" t="n">
        <x:v>355</x:v>
      </x:c>
      <x:c r="H213" s="6" t="inlineStr">
        <x:is>
          <x:t xml:space="preserve">Método Não Destrutivo - MND</x:t>
        </x:is>
      </x:c>
      <x:c r="I213" s="7" t="n">
        <x:v>87.73999999999999</x:v>
      </x:c>
      <x:c r="J213" s="7" t="n">
        <x:v>3.45</x:v>
      </x:c>
      <x:c r="K213" s="7" t="n">
        <x:v>3.19</x:v>
      </x:c>
      <x:c r="L213" s="7" t="n">
        <x:v>3.45</x:v>
      </x:c>
      <x:c r="M213" s="6" t="inlineStr">
        <x:is>
          <x:t xml:space="preserve">não iniciada</x:t>
        </x:is>
      </x:c>
      <x:c r="N213" s="6" t="n"/>
      <x:c r="O213" s="7" t="n">
        <x:v>-23.5181821</x:v>
      </x:c>
      <x:c r="P213" s="7" t="n">
        <x:v>-46.4002375</x:v>
      </x:c>
      <x:c r="Q213" s="7" t="n">
        <x:v>-23.517567</x:v>
      </x:c>
      <x:c r="R213" s="7" t="n">
        <x:v>-46.4007792</x:v>
      </x:c>
    </x:row>
    <x:row r="214">
      <x:c r="A214" s="6" t="inlineStr">
        <x:is>
          <x:t xml:space="preserve">ct_jardim_miriam_blocos_05_a_09</x:t>
        </x:is>
      </x:c>
      <x:c r="B214" s="6" t="inlineStr">
        <x:is>
          <x:t xml:space="preserve">CT_J-008</x:t>
        </x:is>
      </x:c>
      <x:c r="C214" s="6" t="inlineStr">
        <x:is>
          <x:t xml:space="preserve">PV-8 - PV-7</x:t>
        </x:is>
      </x:c>
      <x:c r="D214" s="6" t="inlineStr">
        <x:is>
          <x:t xml:space="preserve">PV-8</x:t>
        </x:is>
      </x:c>
      <x:c r="E214" s="6" t="inlineStr">
        <x:is>
          <x:t xml:space="preserve">PV-7</x:t>
        </x:is>
      </x:c>
      <x:c r="F214" s="6" t="inlineStr">
        <x:is>
          <x:t xml:space="preserve">PEAD</x:t>
        </x:is>
      </x:c>
      <x:c r="G214" s="6" t="n">
        <x:v>355</x:v>
      </x:c>
      <x:c r="H214" s="6" t="inlineStr">
        <x:is>
          <x:t xml:space="preserve">Método Não Destrutivo - MND</x:t>
        </x:is>
      </x:c>
      <x:c r="I214" s="7" t="n">
        <x:v>52.59</x:v>
      </x:c>
      <x:c r="J214" s="7" t="n">
        <x:v>3.45</x:v>
      </x:c>
      <x:c r="K214" s="7" t="n">
        <x:v>3.3</x:v>
      </x:c>
      <x:c r="L214" s="7" t="n">
        <x:v>3.45</x:v>
      </x:c>
      <x:c r="M214" s="6" t="inlineStr">
        <x:is>
          <x:t xml:space="preserve">não iniciada</x:t>
        </x:is>
      </x:c>
      <x:c r="N214" s="6" t="n"/>
      <x:c r="O214" s="7" t="n">
        <x:v>-23.5185562</x:v>
      </x:c>
      <x:c r="P214" s="7" t="n">
        <x:v>-46.3999208</x:v>
      </x:c>
      <x:c r="Q214" s="7" t="n">
        <x:v>-23.5181821</x:v>
      </x:c>
      <x:c r="R214" s="7" t="n">
        <x:v>-46.4002375</x:v>
      </x:c>
    </x:row>
    <x:row r="215">
      <x:c r="A215" s="6" t="inlineStr">
        <x:is>
          <x:t xml:space="preserve">ct_jardim_miriam_blocos_05_a_09</x:t>
        </x:is>
      </x:c>
      <x:c r="B215" s="6" t="inlineStr">
        <x:is>
          <x:t xml:space="preserve">CT_J-009</x:t>
        </x:is>
      </x:c>
      <x:c r="C215" s="6" t="inlineStr">
        <x:is>
          <x:t xml:space="preserve">PI-34 - PV-33</x:t>
        </x:is>
      </x:c>
      <x:c r="D215" s="6" t="inlineStr">
        <x:is>
          <x:t xml:space="preserve">PI-34</x:t>
        </x:is>
      </x:c>
      <x:c r="E215" s="6" t="inlineStr">
        <x:is>
          <x:t xml:space="preserve">PV-33</x:t>
        </x:is>
      </x:c>
      <x:c r="F215" s="6" t="inlineStr">
        <x:is>
          <x:t xml:space="preserve">PEAD</x:t>
        </x:is>
      </x:c>
      <x:c r="G215" s="6" t="n">
        <x:v>355</x:v>
      </x:c>
      <x:c r="H215" s="6" t="inlineStr">
        <x:is>
          <x:t xml:space="preserve">Método Não Destrutivo - MND</x:t>
        </x:is>
      </x:c>
      <x:c r="I215" s="7" t="n">
        <x:v>60.05</x:v>
      </x:c>
      <x:c r="J215" s="7" t="n">
        <x:v>1.15</x:v>
      </x:c>
      <x:c r="K215" s="7" t="n">
        <x:v>2.55</x:v>
      </x:c>
      <x:c r="L215" s="7" t="n">
        <x:v>2.55</x:v>
      </x:c>
      <x:c r="M215" s="6" t="inlineStr">
        <x:is>
          <x:t xml:space="preserve">não iniciada</x:t>
        </x:is>
      </x:c>
      <x:c r="N215" s="6" t="n"/>
      <x:c r="O215" s="7" t="n">
        <x:v>-23.5177052</x:v>
      </x:c>
      <x:c r="P215" s="7" t="n">
        <x:v>-46.400421</x:v>
      </x:c>
      <x:c r="Q215" s="7" t="n">
        <x:v>-23.5181285</x:v>
      </x:c>
      <x:c r="R215" s="7" t="n">
        <x:v>-46.4000534</x:v>
      </x:c>
    </x:row>
    <x:row r="216">
      <x:c r="A216" s="6" t="inlineStr">
        <x:is>
          <x:t xml:space="preserve">ct_jardim_miriam_blocos_05_a_09</x:t>
        </x:is>
      </x:c>
      <x:c r="B216" s="6" t="inlineStr">
        <x:is>
          <x:t xml:space="preserve">CT_J-010</x:t>
        </x:is>
      </x:c>
      <x:c r="C216" s="6" t="inlineStr">
        <x:is>
          <x:t xml:space="preserve">PV-19 - PV-18</x:t>
        </x:is>
      </x:c>
      <x:c r="D216" s="6" t="inlineStr">
        <x:is>
          <x:t xml:space="preserve">PV-19</x:t>
        </x:is>
      </x:c>
      <x:c r="E216" s="6" t="inlineStr">
        <x:is>
          <x:t xml:space="preserve">PV-18</x:t>
        </x:is>
      </x:c>
      <x:c r="F216" s="6" t="inlineStr">
        <x:is>
          <x:t xml:space="preserve">PEAD</x:t>
        </x:is>
      </x:c>
      <x:c r="G216" s="6" t="n">
        <x:v>355</x:v>
      </x:c>
      <x:c r="H216" s="6" t="inlineStr">
        <x:is>
          <x:t xml:space="preserve">Método Não Destrutivo - MND</x:t>
        </x:is>
      </x:c>
      <x:c r="I216" s="7" t="n">
        <x:v>48.1</x:v>
      </x:c>
      <x:c r="J216" s="7" t="n">
        <x:v>3.35</x:v>
      </x:c>
      <x:c r="K216" s="7" t="n">
        <x:v>2.88</x:v>
      </x:c>
      <x:c r="L216" s="7" t="n">
        <x:v>3.35</x:v>
      </x:c>
      <x:c r="M216" s="6" t="inlineStr">
        <x:is>
          <x:t xml:space="preserve">não iniciada</x:t>
        </x:is>
      </x:c>
      <x:c r="N216" s="6" t="n"/>
      <x:c r="O216" s="7" t="n">
        <x:v>-23.5191242</x:v>
      </x:c>
      <x:c r="P216" s="7" t="n">
        <x:v>-46.3977033</x:v>
      </x:c>
      <x:c r="Q216" s="7" t="n">
        <x:v>-23.518782</x:v>
      </x:c>
      <x:c r="R216" s="7" t="n">
        <x:v>-46.3979934</x:v>
      </x:c>
    </x:row>
    <x:row r="217">
      <x:c r="A217" s="6" t="inlineStr">
        <x:is>
          <x:t xml:space="preserve">ct_jardim_miriam_blocos_05_a_09</x:t>
        </x:is>
      </x:c>
      <x:c r="B217" s="6" t="inlineStr">
        <x:is>
          <x:t xml:space="preserve">CT_J-011</x:t>
        </x:is>
      </x:c>
      <x:c r="C217" s="6" t="inlineStr">
        <x:is>
          <x:t xml:space="preserve">PV-18 - PV-17</x:t>
        </x:is>
      </x:c>
      <x:c r="D217" s="6" t="inlineStr">
        <x:is>
          <x:t xml:space="preserve">PV-18</x:t>
        </x:is>
      </x:c>
      <x:c r="E217" s="6" t="inlineStr">
        <x:is>
          <x:t xml:space="preserve">PV-17</x:t>
        </x:is>
      </x:c>
      <x:c r="F217" s="6" t="inlineStr">
        <x:is>
          <x:t xml:space="preserve">PEAD</x:t>
        </x:is>
      </x:c>
      <x:c r="G217" s="6" t="n">
        <x:v>355</x:v>
      </x:c>
      <x:c r="H217" s="6" t="inlineStr">
        <x:is>
          <x:t xml:space="preserve">Método Não Destrutivo - MND</x:t>
        </x:is>
      </x:c>
      <x:c r="I217" s="7" t="n">
        <x:v>20.69</x:v>
      </x:c>
      <x:c r="J217" s="7" t="n">
        <x:v>2.88</x:v>
      </x:c>
      <x:c r="K217" s="7" t="n">
        <x:v>3.05</x:v>
      </x:c>
      <x:c r="L217" s="7" t="n">
        <x:v>3.05</x:v>
      </x:c>
      <x:c r="M217" s="6" t="inlineStr">
        <x:is>
          <x:t xml:space="preserve">não iniciada</x:t>
        </x:is>
      </x:c>
      <x:c r="N217" s="6" t="n"/>
      <x:c r="O217" s="7" t="n">
        <x:v>-23.518782</x:v>
      </x:c>
      <x:c r="P217" s="7" t="n">
        <x:v>-46.3979934</x:v>
      </x:c>
      <x:c r="Q217" s="7" t="n">
        <x:v>-23.5186149</x:v>
      </x:c>
      <x:c r="R217" s="7" t="n">
        <x:v>-46.3980842</x:v>
      </x:c>
    </x:row>
    <x:row r="218">
      <x:c r="A218" s="6" t="inlineStr">
        <x:is>
          <x:t xml:space="preserve">ct_jardim_miriam_blocos_05_a_09</x:t>
        </x:is>
      </x:c>
      <x:c r="B218" s="6" t="inlineStr">
        <x:is>
          <x:t xml:space="preserve">CT_J-012</x:t>
        </x:is>
      </x:c>
      <x:c r="C218" s="6" t="inlineStr">
        <x:is>
          <x:t xml:space="preserve">PV-17 - PV-16</x:t>
        </x:is>
      </x:c>
      <x:c r="D218" s="6" t="inlineStr">
        <x:is>
          <x:t xml:space="preserve">PV-17</x:t>
        </x:is>
      </x:c>
      <x:c r="E218" s="6" t="inlineStr">
        <x:is>
          <x:t xml:space="preserve">PV-16</x:t>
        </x:is>
      </x:c>
      <x:c r="F218" s="6" t="inlineStr">
        <x:is>
          <x:t xml:space="preserve">PEAD</x:t>
        </x:is>
      </x:c>
      <x:c r="G218" s="6" t="n">
        <x:v>355</x:v>
      </x:c>
      <x:c r="H218" s="6" t="inlineStr">
        <x:is>
          <x:t xml:space="preserve">Método Não Destrutivo - MND</x:t>
        </x:is>
      </x:c>
      <x:c r="I218" s="7" t="n">
        <x:v>23.47</x:v>
      </x:c>
      <x:c r="J218" s="7" t="n">
        <x:v>3.05</x:v>
      </x:c>
      <x:c r="K218" s="7" t="n">
        <x:v>5.2</x:v>
      </x:c>
      <x:c r="L218" s="7" t="n">
        <x:v>5.2</x:v>
      </x:c>
      <x:c r="M218" s="6" t="inlineStr">
        <x:is>
          <x:t xml:space="preserve">não iniciada</x:t>
        </x:is>
      </x:c>
      <x:c r="N218" s="6" t="n"/>
      <x:c r="O218" s="7" t="n">
        <x:v>-23.5186149</x:v>
      </x:c>
      <x:c r="P218" s="7" t="n">
        <x:v>-46.3980842</x:v>
      </x:c>
      <x:c r="Q218" s="7" t="n">
        <x:v>-23.5184341</x:v>
      </x:c>
      <x:c r="R218" s="7" t="n">
        <x:v>-46.398204</x:v>
      </x:c>
    </x:row>
    <x:row r="219">
      <x:c r="A219" s="6" t="inlineStr">
        <x:is>
          <x:t xml:space="preserve">ct_jardim_miriam_blocos_05_a_09</x:t>
        </x:is>
      </x:c>
      <x:c r="B219" s="6" t="inlineStr">
        <x:is>
          <x:t xml:space="preserve">CT_J-013</x:t>
        </x:is>
      </x:c>
      <x:c r="C219" s="6" t="inlineStr">
        <x:is>
          <x:t xml:space="preserve">PV-35 - PV-14</x:t>
        </x:is>
      </x:c>
      <x:c r="D219" s="6" t="inlineStr">
        <x:is>
          <x:t xml:space="preserve">PV-35</x:t>
        </x:is>
      </x:c>
      <x:c r="E219" s="6" t="inlineStr">
        <x:is>
          <x:t xml:space="preserve">PV-14</x:t>
        </x:is>
      </x:c>
      <x:c r="F219" s="6" t="inlineStr">
        <x:is>
          <x:t xml:space="preserve">PEAD</x:t>
        </x:is>
      </x:c>
      <x:c r="G219" s="6" t="n">
        <x:v>355</x:v>
      </x:c>
      <x:c r="H219" s="6" t="inlineStr">
        <x:is>
          <x:t xml:space="preserve">Método Não Destrutivo - MND</x:t>
        </x:is>
      </x:c>
      <x:c r="I219" s="7" t="n">
        <x:v>36.37</x:v>
      </x:c>
      <x:c r="J219" s="7" t="n">
        <x:v>3</x:v>
      </x:c>
      <x:c r="K219" s="7" t="n">
        <x:v>3.15</x:v>
      </x:c>
      <x:c r="L219" s="7" t="n">
        <x:v>3.15</x:v>
      </x:c>
      <x:c r="M219" s="6" t="inlineStr">
        <x:is>
          <x:t xml:space="preserve">não iniciada</x:t>
        </x:is>
      </x:c>
      <x:c r="N219" s="6" t="n"/>
      <x:c r="O219" s="7" t="n">
        <x:v>-23.5189139</x:v>
      </x:c>
      <x:c r="P219" s="7" t="n">
        <x:v>-46.3985783</x:v>
      </x:c>
      <x:c r="Q219" s="7" t="n">
        <x:v>-23.5186172</x:v>
      </x:c>
      <x:c r="R219" s="7" t="n">
        <x:v>-46.3987311</x:v>
      </x:c>
    </x:row>
    <x:row r="220">
      <x:c r="A220" s="6" t="inlineStr">
        <x:is>
          <x:t xml:space="preserve">ct_jardim_miriam_blocos_05_a_09</x:t>
        </x:is>
      </x:c>
      <x:c r="B220" s="6" t="inlineStr">
        <x:is>
          <x:t xml:space="preserve">CT_J-014</x:t>
        </x:is>
      </x:c>
      <x:c r="C220" s="6" t="inlineStr">
        <x:is>
          <x:t xml:space="preserve">PV-35 - PV-35</x:t>
        </x:is>
      </x:c>
      <x:c r="D220" s="6" t="inlineStr">
        <x:is>
          <x:t xml:space="preserve">PV-35</x:t>
        </x:is>
      </x:c>
      <x:c r="E220" s="6" t="inlineStr">
        <x:is>
          <x:t xml:space="preserve">PV-35</x:t>
        </x:is>
      </x:c>
      <x:c r="F220" s="6" t="inlineStr">
        <x:is>
          <x:t xml:space="preserve">PVC</x:t>
        </x:is>
      </x:c>
      <x:c r="G220" s="6" t="n">
        <x:v>200</x:v>
      </x:c>
      <x:c r="H220" s="6" t="inlineStr">
        <x:is>
          <x:t xml:space="preserve">Vala a Céu Aberto - VCA</x:t>
        </x:is>
      </x:c>
      <x:c r="I220" s="7" t="n">
        <x:v>2.14</x:v>
      </x:c>
      <x:c r="J220" s="7" t="n">
        <x:v>1.77</x:v>
      </x:c>
      <x:c r="K220" s="7" t="n">
        <x:v>2</x:v>
      </x:c>
      <x:c r="L220" s="7" t="n">
        <x:v>2</x:v>
      </x:c>
      <x:c r="M220" s="6" t="inlineStr">
        <x:is>
          <x:t xml:space="preserve">não iniciada</x:t>
        </x:is>
      </x:c>
      <x:c r="N220" s="6" t="n"/>
      <x:c r="O220" s="7" t="n">
        <x:v>-23.5189378</x:v>
      </x:c>
      <x:c r="P220" s="7" t="n">
        <x:v>-46.3985854</x:v>
      </x:c>
      <x:c r="Q220" s="7" t="n">
        <x:v>-23.5189139</x:v>
      </x:c>
      <x:c r="R220" s="7" t="n">
        <x:v>-46.3985783</x:v>
      </x:c>
    </x:row>
    <x:row r="221">
      <x:c r="A221" s="6" t="inlineStr">
        <x:is>
          <x:t xml:space="preserve">ct_jardim_miriam_blocos_05_a_09</x:t>
        </x:is>
      </x:c>
      <x:c r="B221" s="6" t="inlineStr">
        <x:is>
          <x:t xml:space="preserve">CT_J-015</x:t>
        </x:is>
      </x:c>
      <x:c r="C221" s="6" t="inlineStr">
        <x:is>
          <x:t xml:space="preserve">PV-14 - PV-12</x:t>
        </x:is>
      </x:c>
      <x:c r="D221" s="6" t="inlineStr">
        <x:is>
          <x:t xml:space="preserve">PV-14</x:t>
        </x:is>
      </x:c>
      <x:c r="E221" s="6" t="inlineStr">
        <x:is>
          <x:t xml:space="preserve">PV-12</x:t>
        </x:is>
      </x:c>
      <x:c r="F221" s="6" t="inlineStr">
        <x:is>
          <x:t xml:space="preserve">PEAD</x:t>
        </x:is>
      </x:c>
      <x:c r="G221" s="6" t="n">
        <x:v>355</x:v>
      </x:c>
      <x:c r="H221" s="6" t="inlineStr">
        <x:is>
          <x:t xml:space="preserve">Método Não Destrutivo - MND</x:t>
        </x:is>
      </x:c>
      <x:c r="I221" s="7" t="n">
        <x:v>55.13</x:v>
      </x:c>
      <x:c r="J221" s="7" t="n">
        <x:v>3.15</x:v>
      </x:c>
      <x:c r="K221" s="7" t="n">
        <x:v>3.2</x:v>
      </x:c>
      <x:c r="L221" s="7" t="n">
        <x:v>3.2</x:v>
      </x:c>
      <x:c r="M221" s="6" t="inlineStr">
        <x:is>
          <x:t xml:space="preserve">não iniciada</x:t>
        </x:is>
      </x:c>
      <x:c r="N221" s="6" t="n"/>
      <x:c r="O221" s="7" t="n">
        <x:v>-23.5186172</x:v>
      </x:c>
      <x:c r="P221" s="7" t="n">
        <x:v>-46.3987311</x:v>
      </x:c>
      <x:c r="Q221" s="7" t="n">
        <x:v>-23.5182636</x:v>
      </x:c>
      <x:c r="R221" s="7" t="n">
        <x:v>-46.3991113</x:v>
      </x:c>
    </x:row>
    <x:row r="222">
      <x:c r="A222" s="6" t="inlineStr">
        <x:is>
          <x:t xml:space="preserve">ct_jardim_miriam_blocos_05_a_09</x:t>
        </x:is>
      </x:c>
      <x:c r="B222" s="6" t="inlineStr">
        <x:is>
          <x:t xml:space="preserve">CT_J-016</x:t>
        </x:is>
      </x:c>
      <x:c r="C222" s="6" t="inlineStr">
        <x:is>
          <x:t xml:space="preserve">PV-12 - PV-111</x:t>
        </x:is>
      </x:c>
      <x:c r="D222" s="6" t="inlineStr">
        <x:is>
          <x:t xml:space="preserve">PV-12</x:t>
        </x:is>
      </x:c>
      <x:c r="E222" s="6" t="inlineStr">
        <x:is>
          <x:t xml:space="preserve">PV-111</x:t>
        </x:is>
      </x:c>
      <x:c r="F222" s="6" t="inlineStr">
        <x:is>
          <x:t xml:space="preserve">PEAD</x:t>
        </x:is>
      </x:c>
      <x:c r="G222" s="6" t="n">
        <x:v>355</x:v>
      </x:c>
      <x:c r="H222" s="6" t="inlineStr">
        <x:is>
          <x:t xml:space="preserve">Método Não Destrutivo - MND</x:t>
        </x:is>
      </x:c>
      <x:c r="I222" s="7" t="n">
        <x:v>34.96</x:v>
      </x:c>
      <x:c r="J222" s="7" t="n">
        <x:v>3.2</x:v>
      </x:c>
      <x:c r="K222" s="7" t="n">
        <x:v>2.8</x:v>
      </x:c>
      <x:c r="L222" s="7" t="n">
        <x:v>3.2</x:v>
      </x:c>
      <x:c r="M222" s="6" t="inlineStr">
        <x:is>
          <x:t xml:space="preserve">não iniciada</x:t>
        </x:is>
      </x:c>
      <x:c r="N222" s="6" t="n"/>
      <x:c r="O222" s="7" t="n">
        <x:v>-23.5182636</x:v>
      </x:c>
      <x:c r="P222" s="7" t="n">
        <x:v>-46.3991113</x:v>
      </x:c>
      <x:c r="Q222" s="7" t="n">
        <x:v>-23.5184382</x:v>
      </x:c>
      <x:c r="R222" s="7" t="n">
        <x:v>-46.3993965</x:v>
      </x:c>
    </x:row>
    <x:row r="223">
      <x:c r="A223" s="6" t="inlineStr">
        <x:is>
          <x:t xml:space="preserve">ct_jardim_miriam_blocos_05_a_09</x:t>
        </x:is>
      </x:c>
      <x:c r="B223" s="6" t="inlineStr">
        <x:is>
          <x:t xml:space="preserve">CT_J-017</x:t>
        </x:is>
      </x:c>
      <x:c r="C223" s="6" t="inlineStr">
        <x:is>
          <x:t xml:space="preserve">PV-111 - PV-11</x:t>
        </x:is>
      </x:c>
      <x:c r="D223" s="6" t="inlineStr">
        <x:is>
          <x:t xml:space="preserve">PV-111</x:t>
        </x:is>
      </x:c>
      <x:c r="E223" s="6" t="inlineStr">
        <x:is>
          <x:t xml:space="preserve">PV-11</x:t>
        </x:is>
      </x:c>
      <x:c r="F223" s="6" t="inlineStr">
        <x:is>
          <x:t xml:space="preserve">PEAD</x:t>
        </x:is>
      </x:c>
      <x:c r="G223" s="6" t="n">
        <x:v>355</x:v>
      </x:c>
      <x:c r="H223" s="6" t="inlineStr">
        <x:is>
          <x:t xml:space="preserve">Método Não Destrutivo - MND</x:t>
        </x:is>
      </x:c>
      <x:c r="I223" s="7" t="n">
        <x:v>30.95</x:v>
      </x:c>
      <x:c r="J223" s="7" t="n">
        <x:v>2.8</x:v>
      </x:c>
      <x:c r="K223" s="7" t="n">
        <x:v>3.25</x:v>
      </x:c>
      <x:c r="L223" s="7" t="n">
        <x:v>3.25</x:v>
      </x:c>
      <x:c r="M223" s="6" t="inlineStr">
        <x:is>
          <x:t xml:space="preserve">não iniciada</x:t>
        </x:is>
      </x:c>
      <x:c r="N223" s="6" t="n"/>
      <x:c r="O223" s="7" t="n">
        <x:v>-23.5184382</x:v>
      </x:c>
      <x:c r="P223" s="7" t="n">
        <x:v>-46.3993965</x:v>
      </x:c>
      <x:c r="Q223" s="7" t="n">
        <x:v>-23.5186083</x:v>
      </x:c>
      <x:c r="R223" s="7" t="n">
        <x:v>-46.3996371</x:v>
      </x:c>
    </x:row>
    <x:row r="224">
      <x:c r="A224" s="6" t="inlineStr">
        <x:is>
          <x:t xml:space="preserve">ct_jardim_miriam_blocos_05_a_09</x:t>
        </x:is>
      </x:c>
      <x:c r="B224" s="6" t="inlineStr">
        <x:is>
          <x:t xml:space="preserve">CT_J-018</x:t>
        </x:is>
      </x:c>
      <x:c r="C224" s="6" t="inlineStr">
        <x:is>
          <x:t xml:space="preserve">PV-11 - PV-9</x:t>
        </x:is>
      </x:c>
      <x:c r="D224" s="6" t="inlineStr">
        <x:is>
          <x:t xml:space="preserve">PV-11</x:t>
        </x:is>
      </x:c>
      <x:c r="E224" s="6" t="inlineStr">
        <x:is>
          <x:t xml:space="preserve">PV-9</x:t>
        </x:is>
      </x:c>
      <x:c r="F224" s="6" t="inlineStr">
        <x:is>
          <x:t xml:space="preserve">PEAD</x:t>
        </x:is>
      </x:c>
      <x:c r="G224" s="6" t="n">
        <x:v>355</x:v>
      </x:c>
      <x:c r="H224" s="6" t="inlineStr">
        <x:is>
          <x:t xml:space="preserve">Método Não Destrutivo - MND</x:t>
        </x:is>
      </x:c>
      <x:c r="I224" s="7" t="n">
        <x:v>16.34</x:v>
      </x:c>
      <x:c r="J224" s="7" t="n">
        <x:v>3.25</x:v>
      </x:c>
      <x:c r="K224" s="7" t="n">
        <x:v>3.25</x:v>
      </x:c>
      <x:c r="L224" s="7" t="n">
        <x:v>3.25</x:v>
      </x:c>
      <x:c r="M224" s="6" t="inlineStr">
        <x:is>
          <x:t xml:space="preserve">não iniciada</x:t>
        </x:is>
      </x:c>
      <x:c r="N224" s="6" t="n"/>
      <x:c r="O224" s="7" t="n">
        <x:v>-23.5186083</x:v>
      </x:c>
      <x:c r="P224" s="7" t="n">
        <x:v>-46.3996371</x:v>
      </x:c>
      <x:c r="Q224" s="7" t="n">
        <x:v>-23.5184884</x:v>
      </x:c>
      <x:c r="R224" s="7" t="n">
        <x:v>-46.3997323</x:v>
      </x:c>
    </x:row>
    <x:row r="225">
      <x:c r="A225" s="6" t="inlineStr">
        <x:is>
          <x:t xml:space="preserve">ct_jardim_miriam_blocos_05_a_09</x:t>
        </x:is>
      </x:c>
      <x:c r="B225" s="6" t="inlineStr">
        <x:is>
          <x:t xml:space="preserve">CT_J-019</x:t>
        </x:is>
      </x:c>
      <x:c r="C225" s="6" t="inlineStr">
        <x:is>
          <x:t xml:space="preserve">PV-20 - PV-19</x:t>
        </x:is>
      </x:c>
      <x:c r="D225" s="6" t="inlineStr">
        <x:is>
          <x:t xml:space="preserve">PV-20</x:t>
        </x:is>
      </x:c>
      <x:c r="E225" s="6" t="inlineStr">
        <x:is>
          <x:t xml:space="preserve">PV-19</x:t>
        </x:is>
      </x:c>
      <x:c r="F225" s="6" t="inlineStr">
        <x:is>
          <x:t xml:space="preserve">PEAD</x:t>
        </x:is>
      </x:c>
      <x:c r="G225" s="6" t="n">
        <x:v>355</x:v>
      </x:c>
      <x:c r="H225" s="6" t="inlineStr">
        <x:is>
          <x:t xml:space="preserve">Método Não Destrutivo - MND</x:t>
        </x:is>
      </x:c>
      <x:c r="I225" s="7" t="n">
        <x:v>53.37</x:v>
      </x:c>
      <x:c r="J225" s="7" t="n">
        <x:v>7.66</x:v>
      </x:c>
      <x:c r="K225" s="7" t="n">
        <x:v>3.35</x:v>
      </x:c>
      <x:c r="L225" s="7" t="n">
        <x:v>7.66</x:v>
      </x:c>
      <x:c r="M225" s="6" t="inlineStr">
        <x:is>
          <x:t xml:space="preserve">não iniciada</x:t>
        </x:is>
      </x:c>
      <x:c r="N225" s="6" t="n"/>
      <x:c r="O225" s="7" t="n">
        <x:v>-23.5194923</x:v>
      </x:c>
      <x:c r="P225" s="7" t="n">
        <x:v>-46.3973659</x:v>
      </x:c>
      <x:c r="Q225" s="7" t="n">
        <x:v>-23.5191242</x:v>
      </x:c>
      <x:c r="R225" s="7" t="n">
        <x:v>-46.3977033</x:v>
      </x:c>
    </x:row>
    <x:row r="226">
      <x:c r="A226" s="6" t="inlineStr">
        <x:is>
          <x:t xml:space="preserve">ct_jardim_miriam_blocos_05_a_09</x:t>
        </x:is>
      </x:c>
      <x:c r="B226" s="6" t="inlineStr">
        <x:is>
          <x:t xml:space="preserve">CT_J-020</x:t>
        </x:is>
      </x:c>
      <x:c r="C226" s="6" t="inlineStr">
        <x:is>
          <x:t xml:space="preserve">PV-21 - PV-20</x:t>
        </x:is>
      </x:c>
      <x:c r="D226" s="6" t="inlineStr">
        <x:is>
          <x:t xml:space="preserve">PV-21</x:t>
        </x:is>
      </x:c>
      <x:c r="E226" s="6" t="inlineStr">
        <x:is>
          <x:t xml:space="preserve">PV-20</x:t>
        </x:is>
      </x:c>
      <x:c r="F226" s="6" t="inlineStr">
        <x:is>
          <x:t xml:space="preserve">PEAD</x:t>
        </x:is>
      </x:c>
      <x:c r="G226" s="6" t="n">
        <x:v>355</x:v>
      </x:c>
      <x:c r="H226" s="6" t="inlineStr">
        <x:is>
          <x:t xml:space="preserve">Método Não Destrutivo - MND</x:t>
        </x:is>
      </x:c>
      <x:c r="I226" s="7" t="n">
        <x:v>55.78</x:v>
      </x:c>
      <x:c r="J226" s="7" t="n">
        <x:v>4.46</x:v>
      </x:c>
      <x:c r="K226" s="7" t="n">
        <x:v>7.66</x:v>
      </x:c>
      <x:c r="L226" s="7" t="n">
        <x:v>7.66</x:v>
      </x:c>
      <x:c r="M226" s="6" t="inlineStr">
        <x:is>
          <x:t xml:space="preserve">não iniciada</x:t>
        </x:is>
      </x:c>
      <x:c r="N226" s="6" t="n"/>
      <x:c r="O226" s="7" t="n">
        <x:v>-23.5191795</x:v>
      </x:c>
      <x:c r="P226" s="7" t="n">
        <x:v>-46.3969377</x:v>
      </x:c>
      <x:c r="Q226" s="7" t="n">
        <x:v>-23.5194923</x:v>
      </x:c>
      <x:c r="R226" s="7" t="n">
        <x:v>-46.3973659</x:v>
      </x:c>
    </x:row>
    <x:row r="227">
      <x:c r="A227" s="6" t="inlineStr">
        <x:is>
          <x:t xml:space="preserve">ct_jardim_miriam_blocos_05_a_09</x:t>
        </x:is>
      </x:c>
      <x:c r="B227" s="6" t="inlineStr">
        <x:is>
          <x:t xml:space="preserve">CT_J-021</x:t>
        </x:is>
      </x:c>
      <x:c r="C227" s="6" t="inlineStr">
        <x:is>
          <x:t xml:space="preserve">PV-22 - PV-21</x:t>
        </x:is>
      </x:c>
      <x:c r="D227" s="6" t="inlineStr">
        <x:is>
          <x:t xml:space="preserve">PV-22</x:t>
        </x:is>
      </x:c>
      <x:c r="E227" s="6" t="inlineStr">
        <x:is>
          <x:t xml:space="preserve">PV-21</x:t>
        </x:is>
      </x:c>
      <x:c r="F227" s="6" t="inlineStr">
        <x:is>
          <x:t xml:space="preserve">PEAD</x:t>
        </x:is>
      </x:c>
      <x:c r="G227" s="6" t="n">
        <x:v>355</x:v>
      </x:c>
      <x:c r="H227" s="6" t="inlineStr">
        <x:is>
          <x:t xml:space="preserve">Método Não Destrutivo - MND</x:t>
        </x:is>
      </x:c>
      <x:c r="I227" s="7" t="n">
        <x:v>40.12</x:v>
      </x:c>
      <x:c r="J227" s="7" t="n">
        <x:v>3.25</x:v>
      </x:c>
      <x:c r="K227" s="7" t="n">
        <x:v>4.46</x:v>
      </x:c>
      <x:c r="L227" s="7" t="n">
        <x:v>4.46</x:v>
      </x:c>
      <x:c r="M227" s="6" t="inlineStr">
        <x:is>
          <x:t xml:space="preserve">não iniciada</x:t>
        </x:is>
      </x:c>
      <x:c r="N227" s="6" t="n"/>
      <x:c r="O227" s="7" t="n">
        <x:v>-23.518952</x:v>
      </x:c>
      <x:c r="P227" s="7" t="n">
        <x:v>-46.3966318</x:v>
      </x:c>
      <x:c r="Q227" s="7" t="n">
        <x:v>-23.5191795</x:v>
      </x:c>
      <x:c r="R227" s="7" t="n">
        <x:v>-46.3969377</x:v>
      </x:c>
    </x:row>
    <x:row r="228">
      <x:c r="A228" s="6" t="inlineStr">
        <x:is>
          <x:t xml:space="preserve">ct_jardim_miriam_blocos_05_a_09</x:t>
        </x:is>
      </x:c>
      <x:c r="B228" s="6" t="inlineStr">
        <x:is>
          <x:t xml:space="preserve">CT_J-022</x:t>
        </x:is>
      </x:c>
      <x:c r="C228" s="6" t="inlineStr">
        <x:is>
          <x:t xml:space="preserve">PV-23 - PV-22</x:t>
        </x:is>
      </x:c>
      <x:c r="D228" s="6" t="inlineStr">
        <x:is>
          <x:t xml:space="preserve">PV-23</x:t>
        </x:is>
      </x:c>
      <x:c r="E228" s="6" t="inlineStr">
        <x:is>
          <x:t xml:space="preserve">PV-22</x:t>
        </x:is>
      </x:c>
      <x:c r="F228" s="6" t="inlineStr">
        <x:is>
          <x:t xml:space="preserve">PEAD</x:t>
        </x:is>
      </x:c>
      <x:c r="G228" s="6" t="n">
        <x:v>355</x:v>
      </x:c>
      <x:c r="H228" s="6" t="inlineStr">
        <x:is>
          <x:t xml:space="preserve">Método Não Destrutivo - MND</x:t>
        </x:is>
      </x:c>
      <x:c r="I228" s="7" t="n">
        <x:v>41.73</x:v>
      </x:c>
      <x:c r="J228" s="7" t="n">
        <x:v>2.7</x:v>
      </x:c>
      <x:c r="K228" s="7" t="n">
        <x:v>3.25</x:v>
      </x:c>
      <x:c r="L228" s="7" t="n">
        <x:v>3.25</x:v>
      </x:c>
      <x:c r="M228" s="6" t="inlineStr">
        <x:is>
          <x:t xml:space="preserve">não iniciada</x:t>
        </x:is>
      </x:c>
      <x:c r="N228" s="6" t="n"/>
      <x:c r="O228" s="7" t="n">
        <x:v>-23.5191445</x:v>
      </x:c>
      <x:c r="P228" s="7" t="n">
        <x:v>-46.3962805</x:v>
      </x:c>
      <x:c r="Q228" s="7" t="n">
        <x:v>-23.518952</x:v>
      </x:c>
      <x:c r="R228" s="7" t="n">
        <x:v>-46.3966318</x:v>
      </x:c>
    </x:row>
    <x:row r="229">
      <x:c r="A229" s="6" t="inlineStr">
        <x:is>
          <x:t xml:space="preserve">ct_jardim_miriam_blocos_05_a_09</x:t>
        </x:is>
      </x:c>
      <x:c r="B229" s="6" t="inlineStr">
        <x:is>
          <x:t xml:space="preserve">CT_J-023</x:t>
        </x:is>
      </x:c>
      <x:c r="C229" s="6" t="inlineStr">
        <x:is>
          <x:t xml:space="preserve">PV-25 - PV-23</x:t>
        </x:is>
      </x:c>
      <x:c r="D229" s="6" t="inlineStr">
        <x:is>
          <x:t xml:space="preserve">PV-25</x:t>
        </x:is>
      </x:c>
      <x:c r="E229" s="6" t="inlineStr">
        <x:is>
          <x:t xml:space="preserve">PV-23</x:t>
        </x:is>
      </x:c>
      <x:c r="F229" s="6" t="inlineStr">
        <x:is>
          <x:t xml:space="preserve">PEAD</x:t>
        </x:is>
      </x:c>
      <x:c r="G229" s="6" t="n">
        <x:v>355</x:v>
      </x:c>
      <x:c r="H229" s="6" t="inlineStr">
        <x:is>
          <x:t xml:space="preserve">Método Não Destrutivo - MND</x:t>
        </x:is>
      </x:c>
      <x:c r="I229" s="7" t="n">
        <x:v>19.17</x:v>
      </x:c>
      <x:c r="J229" s="7" t="n">
        <x:v>3.05</x:v>
      </x:c>
      <x:c r="K229" s="7" t="n">
        <x:v>2.7</x:v>
      </x:c>
      <x:c r="L229" s="7" t="n">
        <x:v>3.05</x:v>
      </x:c>
      <x:c r="M229" s="6" t="inlineStr">
        <x:is>
          <x:t xml:space="preserve">não iniciada</x:t>
        </x:is>
      </x:c>
      <x:c r="N229" s="6" t="n"/>
      <x:c r="O229" s="7" t="n">
        <x:v>-23.5191191</x:v>
      </x:c>
      <x:c r="P229" s="7" t="n">
        <x:v>-46.3960948</x:v>
      </x:c>
      <x:c r="Q229" s="7" t="n">
        <x:v>-23.5191445</x:v>
      </x:c>
      <x:c r="R229" s="7" t="n">
        <x:v>-46.3962805</x:v>
      </x:c>
    </x:row>
    <x:row r="230">
      <x:c r="A230" s="6" t="inlineStr">
        <x:is>
          <x:t xml:space="preserve">ct_jardim_miriam_blocos_05_a_09</x:t>
        </x:is>
      </x:c>
      <x:c r="B230" s="6" t="inlineStr">
        <x:is>
          <x:t xml:space="preserve">CT_J-024</x:t>
        </x:is>
      </x:c>
      <x:c r="C230" s="6" t="inlineStr">
        <x:is>
          <x:t xml:space="preserve">PV-27 - PV-26</x:t>
        </x:is>
      </x:c>
      <x:c r="D230" s="6" t="inlineStr">
        <x:is>
          <x:t xml:space="preserve">PV-27</x:t>
        </x:is>
      </x:c>
      <x:c r="E230" s="6" t="inlineStr">
        <x:is>
          <x:t xml:space="preserve">PV-26</x:t>
        </x:is>
      </x:c>
      <x:c r="F230" s="6" t="inlineStr">
        <x:is>
          <x:t xml:space="preserve">PEAD</x:t>
        </x:is>
      </x:c>
      <x:c r="G230" s="6" t="n">
        <x:v>355</x:v>
      </x:c>
      <x:c r="H230" s="6" t="inlineStr">
        <x:is>
          <x:t xml:space="preserve">Método Não Destrutivo - MND</x:t>
        </x:is>
      </x:c>
      <x:c r="I230" s="7" t="n">
        <x:v>47.92</x:v>
      </x:c>
      <x:c r="J230" s="7" t="n">
        <x:v>3.11</x:v>
      </x:c>
      <x:c r="K230" s="7" t="n">
        <x:v>2.87</x:v>
      </x:c>
      <x:c r="L230" s="7" t="n">
        <x:v>3.11</x:v>
      </x:c>
      <x:c r="M230" s="6" t="inlineStr">
        <x:is>
          <x:t xml:space="preserve">não iniciada</x:t>
        </x:is>
      </x:c>
      <x:c r="N230" s="6" t="n"/>
      <x:c r="O230" s="7" t="n">
        <x:v>-23.518794</x:v>
      </x:c>
      <x:c r="P230" s="7" t="n">
        <x:v>-46.3954256</x:v>
      </x:c>
      <x:c r="Q230" s="7" t="n">
        <x:v>-23.5189883</x:v>
      </x:c>
      <x:c r="R230" s="7" t="n">
        <x:v>-46.395845</x:v>
      </x:c>
    </x:row>
    <x:row r="231">
      <x:c r="A231" s="6" t="inlineStr">
        <x:is>
          <x:t xml:space="preserve">ct_jardim_miriam_blocos_05_a_09</x:t>
        </x:is>
      </x:c>
      <x:c r="B231" s="6" t="inlineStr">
        <x:is>
          <x:t xml:space="preserve">CT_J-025</x:t>
        </x:is>
      </x:c>
      <x:c r="C231" s="6" t="inlineStr">
        <x:is>
          <x:t xml:space="preserve">PV-27 - PV-27</x:t>
        </x:is>
      </x:c>
      <x:c r="D231" s="6" t="inlineStr">
        <x:is>
          <x:t xml:space="preserve">PV-27</x:t>
        </x:is>
      </x:c>
      <x:c r="E231" s="6" t="inlineStr">
        <x:is>
          <x:t xml:space="preserve">PV-27</x:t>
        </x:is>
      </x:c>
      <x:c r="F231" s="6" t="inlineStr">
        <x:is>
          <x:t xml:space="preserve">PVC</x:t>
        </x:is>
      </x:c>
      <x:c r="G231" s="6" t="n">
        <x:v>200</x:v>
      </x:c>
      <x:c r="H231" s="6" t="inlineStr">
        <x:is>
          <x:t xml:space="preserve">Vala a Céu Aberto - VCA</x:t>
        </x:is>
      </x:c>
      <x:c r="I231" s="7" t="n">
        <x:v>11.08</x:v>
      </x:c>
      <x:c r="J231" s="7" t="n">
        <x:v>2.02</x:v>
      </x:c>
      <x:c r="K231" s="7" t="n">
        <x:v>2.51</x:v>
      </x:c>
      <x:c r="L231" s="7" t="n">
        <x:v>2.51</x:v>
      </x:c>
      <x:c r="M231" s="6" t="inlineStr">
        <x:is>
          <x:t xml:space="preserve">não iniciada</x:t>
        </x:is>
      </x:c>
      <x:c r="N231" s="6" t="n"/>
      <x:c r="O231" s="7" t="n">
        <x:v>-23.5186944</x:v>
      </x:c>
      <x:c r="P231" s="7" t="n">
        <x:v>-46.3954354</x:v>
      </x:c>
      <x:c r="Q231" s="7" t="n">
        <x:v>-23.518794</x:v>
      </x:c>
      <x:c r="R231" s="7" t="n">
        <x:v>-46.3954256</x:v>
      </x:c>
    </x:row>
    <x:row r="232">
      <x:c r="A232" s="6" t="inlineStr">
        <x:is>
          <x:t xml:space="preserve">ct_jardim_miriam_blocos_05_a_09</x:t>
        </x:is>
      </x:c>
      <x:c r="B232" s="6" t="inlineStr">
        <x:is>
          <x:t xml:space="preserve">CT_J-026</x:t>
        </x:is>
      </x:c>
      <x:c r="C232" s="6" t="inlineStr">
        <x:is>
          <x:t xml:space="preserve">PV-30 - PV-27</x:t>
        </x:is>
      </x:c>
      <x:c r="D232" s="6" t="inlineStr">
        <x:is>
          <x:t xml:space="preserve">PV-30</x:t>
        </x:is>
      </x:c>
      <x:c r="E232" s="6" t="inlineStr">
        <x:is>
          <x:t xml:space="preserve">PV-27</x:t>
        </x:is>
      </x:c>
      <x:c r="F232" s="6" t="inlineStr">
        <x:is>
          <x:t xml:space="preserve">PEAD</x:t>
        </x:is>
      </x:c>
      <x:c r="G232" s="6" t="n">
        <x:v>355</x:v>
      </x:c>
      <x:c r="H232" s="6" t="inlineStr">
        <x:is>
          <x:t xml:space="preserve">Método Não Destrutivo - MND</x:t>
        </x:is>
      </x:c>
      <x:c r="I232" s="7" t="n">
        <x:v>39.5</x:v>
      </x:c>
      <x:c r="J232" s="7" t="n">
        <x:v>3.7</x:v>
      </x:c>
      <x:c r="K232" s="7" t="n">
        <x:v>3.11</x:v>
      </x:c>
      <x:c r="L232" s="7" t="n">
        <x:v>3.7</x:v>
      </x:c>
      <x:c r="M232" s="6" t="inlineStr">
        <x:is>
          <x:t xml:space="preserve">não iniciada</x:t>
        </x:is>
      </x:c>
      <x:c r="N232" s="6" t="n"/>
      <x:c r="O232" s="7" t="n">
        <x:v>-23.518772</x:v>
      </x:c>
      <x:c r="P232" s="7" t="n">
        <x:v>-46.3950395</x:v>
      </x:c>
      <x:c r="Q232" s="7" t="n">
        <x:v>-23.518794</x:v>
      </x:c>
      <x:c r="R232" s="7" t="n">
        <x:v>-46.3954256</x:v>
      </x:c>
    </x:row>
    <x:row r="233">
      <x:c r="A233" s="6" t="inlineStr">
        <x:is>
          <x:t xml:space="preserve">ct_jardim_miriam_blocos_05_a_09</x:t>
        </x:is>
      </x:c>
      <x:c r="B233" s="6" t="inlineStr">
        <x:is>
          <x:t xml:space="preserve">CT_J-027</x:t>
        </x:is>
      </x:c>
      <x:c r="C233" s="6" t="inlineStr">
        <x:is>
          <x:t xml:space="preserve">PV-47 - PT-001</x:t>
        </x:is>
      </x:c>
      <x:c r="D233" s="6" t="inlineStr">
        <x:is>
          <x:t xml:space="preserve">PV-47</x:t>
        </x:is>
      </x:c>
      <x:c r="E233" s="6" t="inlineStr">
        <x:is>
          <x:t xml:space="preserve">PT-001</x:t>
        </x:is>
      </x:c>
      <x:c r="F233" s="6" t="inlineStr">
        <x:is>
          <x:t xml:space="preserve">PEAD</x:t>
        </x:is>
      </x:c>
      <x:c r="G233" s="6" t="n">
        <x:v>355</x:v>
      </x:c>
      <x:c r="H233" s="6" t="inlineStr">
        <x:is>
          <x:t xml:space="preserve">Método Não Destrutivo - MND</x:t>
        </x:is>
      </x:c>
      <x:c r="I233" s="7" t="n">
        <x:v>27.42</x:v>
      </x:c>
      <x:c r="J233" s="7" t="n">
        <x:v>2.12</x:v>
      </x:c>
      <x:c r="K233" s="7" t="n">
        <x:v>1.94</x:v>
      </x:c>
      <x:c r="L233" s="7" t="n">
        <x:v>2.12</x:v>
      </x:c>
      <x:c r="M233" s="6" t="inlineStr">
        <x:is>
          <x:t xml:space="preserve">não iniciada</x:t>
        </x:is>
      </x:c>
      <x:c r="N233" s="6" t="n"/>
      <x:c r="O233" s="7" t="n">
        <x:v>-23.5186206</x:v>
      </x:c>
      <x:c r="P233" s="7" t="n">
        <x:v>-46.3935694</x:v>
      </x:c>
      <x:c r="Q233" s="7" t="n">
        <x:v>-23.5188255</x:v>
      </x:c>
      <x:c r="R233" s="7" t="n">
        <x:v>-46.3937175</x:v>
      </x:c>
    </x:row>
    <x:row r="234">
      <x:c r="A234" s="6" t="inlineStr">
        <x:is>
          <x:t xml:space="preserve">ct_jardim_miriam_blocos_05_a_09</x:t>
        </x:is>
      </x:c>
      <x:c r="B234" s="6" t="inlineStr">
        <x:is>
          <x:t xml:space="preserve">CT_J-028</x:t>
        </x:is>
      </x:c>
      <x:c r="C234" s="6" t="inlineStr">
        <x:is>
          <x:t xml:space="preserve">PV-48 - PV-47</x:t>
        </x:is>
      </x:c>
      <x:c r="D234" s="6" t="inlineStr">
        <x:is>
          <x:t xml:space="preserve">PV-48</x:t>
        </x:is>
      </x:c>
      <x:c r="E234" s="6" t="inlineStr">
        <x:is>
          <x:t xml:space="preserve">PV-47</x:t>
        </x:is>
      </x:c>
      <x:c r="F234" s="6" t="inlineStr">
        <x:is>
          <x:t xml:space="preserve">PEAD</x:t>
        </x:is>
      </x:c>
      <x:c r="G234" s="6" t="n">
        <x:v>355</x:v>
      </x:c>
      <x:c r="H234" s="6" t="inlineStr">
        <x:is>
          <x:t xml:space="preserve">Método Não Destrutivo - MND</x:t>
        </x:is>
      </x:c>
      <x:c r="I234" s="7" t="n">
        <x:v>56.26</x:v>
      </x:c>
      <x:c r="J234" s="7" t="n">
        <x:v>2.22</x:v>
      </x:c>
      <x:c r="K234" s="7" t="n">
        <x:v>2.12</x:v>
      </x:c>
      <x:c r="L234" s="7" t="n">
        <x:v>2.22</x:v>
      </x:c>
      <x:c r="M234" s="6" t="inlineStr">
        <x:is>
          <x:t xml:space="preserve">não iniciada</x:t>
        </x:is>
      </x:c>
      <x:c r="N234" s="6" t="n"/>
      <x:c r="O234" s="7" t="n">
        <x:v>-23.5183987</x:v>
      </x:c>
      <x:c r="P234" s="7" t="n">
        <x:v>-46.393072</x:v>
      </x:c>
      <x:c r="Q234" s="7" t="n">
        <x:v>-23.5186206</x:v>
      </x:c>
      <x:c r="R234" s="7" t="n">
        <x:v>-46.3935694</x:v>
      </x:c>
    </x:row>
    <x:row r="235">
      <x:c r="A235" s="6" t="inlineStr">
        <x:is>
          <x:t xml:space="preserve">ct_jardim_miriam_blocos_05_a_09</x:t>
        </x:is>
      </x:c>
      <x:c r="B235" s="6" t="inlineStr">
        <x:is>
          <x:t xml:space="preserve">CT_J-029</x:t>
        </x:is>
      </x:c>
      <x:c r="C235" s="6" t="inlineStr">
        <x:is>
          <x:t xml:space="preserve">PV-49 - PV-48</x:t>
        </x:is>
      </x:c>
      <x:c r="D235" s="6" t="inlineStr">
        <x:is>
          <x:t xml:space="preserve">PV-49</x:t>
        </x:is>
      </x:c>
      <x:c r="E235" s="6" t="inlineStr">
        <x:is>
          <x:t xml:space="preserve">PV-48</x:t>
        </x:is>
      </x:c>
      <x:c r="F235" s="6" t="inlineStr">
        <x:is>
          <x:t xml:space="preserve">PEAD</x:t>
        </x:is>
      </x:c>
      <x:c r="G235" s="6" t="n">
        <x:v>355</x:v>
      </x:c>
      <x:c r="H235" s="6" t="inlineStr">
        <x:is>
          <x:t xml:space="preserve">Método Não Destrutivo - MND</x:t>
        </x:is>
      </x:c>
      <x:c r="I235" s="7" t="n">
        <x:v>71.25</x:v>
      </x:c>
      <x:c r="J235" s="7" t="n">
        <x:v>3.46</x:v>
      </x:c>
      <x:c r="K235" s="7" t="n">
        <x:v>2.22</x:v>
      </x:c>
      <x:c r="L235" s="7" t="n">
        <x:v>3.46</x:v>
      </x:c>
      <x:c r="M235" s="6" t="inlineStr">
        <x:is>
          <x:t xml:space="preserve">não iniciada</x:t>
        </x:is>
      </x:c>
      <x:c r="N235" s="6" t="n"/>
      <x:c r="O235" s="7" t="n">
        <x:v>-23.5183532</x:v>
      </x:c>
      <x:c r="P235" s="7" t="n">
        <x:v>-46.3923762</x:v>
      </x:c>
      <x:c r="Q235" s="7" t="n">
        <x:v>-23.5183987</x:v>
      </x:c>
      <x:c r="R235" s="7" t="n">
        <x:v>-46.393072</x:v>
      </x:c>
    </x:row>
    <x:row r="236">
      <x:c r="A236" s="6" t="inlineStr">
        <x:is>
          <x:t xml:space="preserve">ct_jardim_miriam_blocos_05_a_09</x:t>
        </x:is>
      </x:c>
      <x:c r="B236" s="6" t="inlineStr">
        <x:is>
          <x:t xml:space="preserve">CT_J-030</x:t>
        </x:is>
      </x:c>
      <x:c r="C236" s="6" t="inlineStr">
        <x:is>
          <x:t xml:space="preserve">PV-491 - PV-49</x:t>
        </x:is>
      </x:c>
      <x:c r="D236" s="6" t="inlineStr">
        <x:is>
          <x:t xml:space="preserve">PV-491</x:t>
        </x:is>
      </x:c>
      <x:c r="E236" s="6" t="inlineStr">
        <x:is>
          <x:t xml:space="preserve">PV-49</x:t>
        </x:is>
      </x:c>
      <x:c r="F236" s="6" t="inlineStr">
        <x:is>
          <x:t xml:space="preserve">PEAD</x:t>
        </x:is>
      </x:c>
      <x:c r="G236" s="6" t="n">
        <x:v>355</x:v>
      </x:c>
      <x:c r="H236" s="6" t="inlineStr">
        <x:is>
          <x:t xml:space="preserve">Método Não Destrutivo - MND</x:t>
        </x:is>
      </x:c>
      <x:c r="I236" s="7" t="n">
        <x:v>30.85</x:v>
      </x:c>
      <x:c r="J236" s="7" t="n">
        <x:v>2.3</x:v>
      </x:c>
      <x:c r="K236" s="7" t="n">
        <x:v>3.46</x:v>
      </x:c>
      <x:c r="L236" s="7" t="n">
        <x:v>3.46</x:v>
      </x:c>
      <x:c r="M236" s="6" t="inlineStr">
        <x:is>
          <x:t xml:space="preserve">não iniciada</x:t>
        </x:is>
      </x:c>
      <x:c r="N236" s="6" t="n"/>
      <x:c r="O236" s="7" t="n">
        <x:v>-23.5180751</x:v>
      </x:c>
      <x:c r="P236" s="7" t="n">
        <x:v>-46.3923766</x:v>
      </x:c>
      <x:c r="Q236" s="7" t="n">
        <x:v>-23.5183532</x:v>
      </x:c>
      <x:c r="R236" s="7" t="n">
        <x:v>-46.3923762</x:v>
      </x:c>
    </x:row>
    <x:row r="237">
      <x:c r="A237" s="6" t="inlineStr">
        <x:is>
          <x:t xml:space="preserve">ct_jardim_miriam_blocos_05_a_09</x:t>
        </x:is>
      </x:c>
      <x:c r="B237" s="6" t="inlineStr">
        <x:is>
          <x:t xml:space="preserve">CT_J-031</x:t>
        </x:is>
      </x:c>
      <x:c r="C237" s="6" t="inlineStr">
        <x:is>
          <x:t xml:space="preserve">PV-26 - PV-25</x:t>
        </x:is>
      </x:c>
      <x:c r="D237" s="6" t="inlineStr">
        <x:is>
          <x:t xml:space="preserve">PV-26</x:t>
        </x:is>
      </x:c>
      <x:c r="E237" s="6" t="inlineStr">
        <x:is>
          <x:t xml:space="preserve">PV-25</x:t>
        </x:is>
      </x:c>
      <x:c r="F237" s="6" t="inlineStr">
        <x:is>
          <x:t xml:space="preserve">PEAD</x:t>
        </x:is>
      </x:c>
      <x:c r="G237" s="6" t="n">
        <x:v>355</x:v>
      </x:c>
      <x:c r="H237" s="6" t="inlineStr">
        <x:is>
          <x:t xml:space="preserve">Método Não Destrutivo - MND</x:t>
        </x:is>
      </x:c>
      <x:c r="I237" s="7" t="n">
        <x:v>29.26</x:v>
      </x:c>
      <x:c r="J237" s="7" t="n">
        <x:v>2.97</x:v>
      </x:c>
      <x:c r="K237" s="7" t="n">
        <x:v>3.05</x:v>
      </x:c>
      <x:c r="L237" s="7" t="n">
        <x:v>3.05</x:v>
      </x:c>
      <x:c r="M237" s="6" t="inlineStr">
        <x:is>
          <x:t xml:space="preserve">não iniciada</x:t>
        </x:is>
      </x:c>
      <x:c r="N237" s="6" t="n"/>
      <x:c r="O237" s="7" t="n">
        <x:v>-23.5189883</x:v>
      </x:c>
      <x:c r="P237" s="7" t="n">
        <x:v>-46.395845</x:v>
      </x:c>
      <x:c r="Q237" s="7" t="n">
        <x:v>-23.5191191</x:v>
      </x:c>
      <x:c r="R237" s="7" t="n">
        <x:v>-46.3960948</x:v>
      </x:c>
    </x:row>
    <x:row r="238">
      <x:c r="A238" s="6" t="inlineStr">
        <x:is>
          <x:t xml:space="preserve">ct_jardim_miriam_blocos_05_a_09</x:t>
        </x:is>
      </x:c>
      <x:c r="B238" s="6" t="inlineStr">
        <x:is>
          <x:t xml:space="preserve">CT_J-032</x:t>
        </x:is>
      </x:c>
      <x:c r="C238" s="6" t="inlineStr">
        <x:is>
          <x:t xml:space="preserve">PV-16 - PV-14</x:t>
        </x:is>
      </x:c>
      <x:c r="D238" s="6" t="inlineStr">
        <x:is>
          <x:t xml:space="preserve">PV-16</x:t>
        </x:is>
      </x:c>
      <x:c r="E238" s="6" t="inlineStr">
        <x:is>
          <x:t xml:space="preserve">PV-14</x:t>
        </x:is>
      </x:c>
      <x:c r="F238" s="6" t="inlineStr">
        <x:is>
          <x:t xml:space="preserve">PEAD</x:t>
        </x:is>
      </x:c>
      <x:c r="G238" s="6" t="n">
        <x:v>355</x:v>
      </x:c>
      <x:c r="H238" s="6" t="inlineStr">
        <x:is>
          <x:t xml:space="preserve">Método Não Destrutivo - MND</x:t>
        </x:is>
      </x:c>
      <x:c r="I238" s="7" t="n">
        <x:v>57.52</x:v>
      </x:c>
      <x:c r="J238" s="7" t="n">
        <x:v>5.2</x:v>
      </x:c>
      <x:c r="K238" s="7" t="n">
        <x:v>3.15</x:v>
      </x:c>
      <x:c r="L238" s="7" t="n">
        <x:v>5.2</x:v>
      </x:c>
      <x:c r="M238" s="6" t="inlineStr">
        <x:is>
          <x:t xml:space="preserve">não iniciada</x:t>
        </x:is>
      </x:c>
      <x:c r="N238" s="6" t="n"/>
      <x:c r="O238" s="7" t="n">
        <x:v>-23.5184341</x:v>
      </x:c>
      <x:c r="P238" s="7" t="n">
        <x:v>-46.398204</x:v>
      </x:c>
      <x:c r="Q238" s="7" t="n">
        <x:v>-23.5186172</x:v>
      </x:c>
      <x:c r="R238" s="7" t="n">
        <x:v>-46.3987311</x:v>
      </x:c>
    </x:row>
    <x:row r="239">
      <x:c r="A239" s="6" t="inlineStr">
        <x:is>
          <x:t xml:space="preserve">ct_jardim_miriam_blocos_05_a_09</x:t>
        </x:is>
      </x:c>
      <x:c r="B239" s="6" t="inlineStr">
        <x:is>
          <x:t xml:space="preserve">CT_J-033</x:t>
        </x:is>
      </x:c>
      <x:c r="C239" s="6" t="inlineStr">
        <x:is>
          <x:t xml:space="preserve">PV-4 - PV-2</x:t>
        </x:is>
      </x:c>
      <x:c r="D239" s="6" t="inlineStr">
        <x:is>
          <x:t xml:space="preserve">PV-4</x:t>
        </x:is>
      </x:c>
      <x:c r="E239" s="6" t="inlineStr">
        <x:is>
          <x:t xml:space="preserve">PV-2</x:t>
        </x:is>
      </x:c>
      <x:c r="F239" s="6" t="inlineStr">
        <x:is>
          <x:t xml:space="preserve">PEAD</x:t>
        </x:is>
      </x:c>
      <x:c r="G239" s="6" t="n">
        <x:v>355</x:v>
      </x:c>
      <x:c r="H239" s="6" t="inlineStr">
        <x:is>
          <x:t xml:space="preserve">Método Não Destrutivo - MND</x:t>
        </x:is>
      </x:c>
      <x:c r="I239" s="7" t="n">
        <x:v>91.65000000000001</x:v>
      </x:c>
      <x:c r="J239" s="7" t="n">
        <x:v>3.16</x:v>
      </x:c>
      <x:c r="K239" s="7" t="n">
        <x:v>3.5</x:v>
      </x:c>
      <x:c r="L239" s="7" t="n">
        <x:v>3.5</x:v>
      </x:c>
      <x:c r="M239" s="6" t="inlineStr">
        <x:is>
          <x:t xml:space="preserve">não iniciada</x:t>
        </x:is>
      </x:c>
      <x:c r="N239" s="6" t="n"/>
      <x:c r="O239" s="7" t="n">
        <x:v>-23.5166705</x:v>
      </x:c>
      <x:c r="P239" s="7" t="n">
        <x:v>-46.4017412</x:v>
      </x:c>
      <x:c r="Q239" s="7" t="n">
        <x:v>-23.5159964</x:v>
      </x:c>
      <x:c r="R239" s="7" t="n">
        <x:v>-46.4022632</x:v>
      </x:c>
    </x:row>
    <x:row r="240">
      <x:c r="A240" s="6" t="inlineStr">
        <x:is>
          <x:t xml:space="preserve">ct_jardim_miriam_blocos_05_a_09</x:t>
        </x:is>
      </x:c>
      <x:c r="B240" s="6" t="inlineStr">
        <x:is>
          <x:t xml:space="preserve">CT_J-034</x:t>
        </x:is>
      </x:c>
      <x:c r="C240" s="6" t="inlineStr">
        <x:is>
          <x:t xml:space="preserve">PV-44 - PV-26</x:t>
        </x:is>
      </x:c>
      <x:c r="D240" s="6" t="inlineStr">
        <x:is>
          <x:t xml:space="preserve">PV-44</x:t>
        </x:is>
      </x:c>
      <x:c r="E240" s="6" t="inlineStr">
        <x:is>
          <x:t xml:space="preserve">PV-26</x:t>
        </x:is>
      </x:c>
      <x:c r="F240" s="6" t="inlineStr">
        <x:is>
          <x:t xml:space="preserve">PEAD</x:t>
        </x:is>
      </x:c>
      <x:c r="G240" s="6" t="n">
        <x:v>355</x:v>
      </x:c>
      <x:c r="H240" s="6" t="inlineStr">
        <x:is>
          <x:t xml:space="preserve">Método Não Destrutivo - MND</x:t>
        </x:is>
      </x:c>
      <x:c r="I240" s="7" t="n">
        <x:v>24.38</x:v>
      </x:c>
      <x:c r="J240" s="7" t="n">
        <x:v>4</x:v>
      </x:c>
      <x:c r="K240" s="7" t="n">
        <x:v>2.9</x:v>
      </x:c>
      <x:c r="L240" s="7" t="n">
        <x:v>4</x:v>
      </x:c>
      <x:c r="M240" s="6" t="inlineStr">
        <x:is>
          <x:t xml:space="preserve">não iniciada</x:t>
        </x:is>
      </x:c>
      <x:c r="N240" s="6" t="n"/>
      <x:c r="O240" s="7" t="n">
        <x:v>-23.5190844</x:v>
      </x:c>
      <x:c r="P240" s="7" t="n">
        <x:v>-46.3956302</x:v>
      </x:c>
      <x:c r="Q240" s="7" t="n">
        <x:v>-23.5189883</x:v>
      </x:c>
      <x:c r="R240" s="7" t="n">
        <x:v>-46.395845</x:v>
      </x:c>
    </x:row>
    <x:row r="241">
      <x:c r="A241" s="6" t="inlineStr">
        <x:is>
          <x:t xml:space="preserve">ct_jardim_miriam_blocos_05_a_09</x:t>
        </x:is>
      </x:c>
      <x:c r="B241" s="6" t="inlineStr">
        <x:is>
          <x:t xml:space="preserve">CT_J-035</x:t>
        </x:is>
      </x:c>
      <x:c r="C241" s="6" t="inlineStr">
        <x:is>
          <x:t xml:space="preserve">PV-39 - PV-25</x:t>
        </x:is>
      </x:c>
      <x:c r="D241" s="6" t="inlineStr">
        <x:is>
          <x:t xml:space="preserve">PV-39</x:t>
        </x:is>
      </x:c>
      <x:c r="E241" s="6" t="inlineStr">
        <x:is>
          <x:t xml:space="preserve">PV-25</x:t>
        </x:is>
      </x:c>
      <x:c r="F241" s="6" t="inlineStr">
        <x:is>
          <x:t xml:space="preserve">PEAD</x:t>
        </x:is>
      </x:c>
      <x:c r="G241" s="6" t="n">
        <x:v>355</x:v>
      </x:c>
      <x:c r="H241" s="6" t="inlineStr">
        <x:is>
          <x:t xml:space="preserve">Método Não Destrutivo - MND</x:t>
        </x:is>
      </x:c>
      <x:c r="I241" s="7" t="n">
        <x:v>21.15</x:v>
      </x:c>
      <x:c r="J241" s="7" t="n">
        <x:v>2.14</x:v>
      </x:c>
      <x:c r="K241" s="7" t="n">
        <x:v>2.85</x:v>
      </x:c>
      <x:c r="L241" s="7" t="n">
        <x:v>2.85</x:v>
      </x:c>
      <x:c r="M241" s="6" t="inlineStr">
        <x:is>
          <x:t xml:space="preserve">não iniciada</x:t>
        </x:is>
      </x:c>
      <x:c r="N241" s="6" t="n"/>
      <x:c r="O241" s="7" t="n">
        <x:v>-23.5192891</x:v>
      </x:c>
      <x:c r="P241" s="7" t="n">
        <x:v>-46.3960006</x:v>
      </x:c>
      <x:c r="Q241" s="7" t="n">
        <x:v>-23.5191191</x:v>
      </x:c>
      <x:c r="R241" s="7" t="n">
        <x:v>-46.3960948</x:v>
      </x:c>
    </x:row>
    <x:row r="242">
      <x:c r="A242" s="6" t="inlineStr">
        <x:is>
          <x:t xml:space="preserve">ct_jardim_miriam_blocos_05_a_09</x:t>
        </x:is>
      </x:c>
      <x:c r="B242" s="6" t="inlineStr">
        <x:is>
          <x:t xml:space="preserve">CT_J-036</x:t>
        </x:is>
      </x:c>
      <x:c r="C242" s="6" t="inlineStr">
        <x:is>
          <x:t xml:space="preserve">PV-39 - PV-39</x:t>
        </x:is>
      </x:c>
      <x:c r="D242" s="6" t="inlineStr">
        <x:is>
          <x:t xml:space="preserve">PV-39</x:t>
        </x:is>
      </x:c>
      <x:c r="E242" s="6" t="inlineStr">
        <x:is>
          <x:t xml:space="preserve">PV-39</x:t>
        </x:is>
      </x:c>
      <x:c r="F242" s="6" t="inlineStr">
        <x:is>
          <x:t xml:space="preserve">PVC</x:t>
        </x:is>
      </x:c>
      <x:c r="G242" s="6" t="n">
        <x:v>200</x:v>
      </x:c>
      <x:c r="H242" s="6" t="inlineStr">
        <x:is>
          <x:t xml:space="preserve">Método Não Destrutivo - MND</x:t>
        </x:is>
      </x:c>
      <x:c r="I242" s="7" t="n">
        <x:v>4.06</x:v>
      </x:c>
      <x:c r="J242" s="7" t="n">
        <x:v>1.25</x:v>
      </x:c>
      <x:c r="K242" s="7" t="n">
        <x:v>1.94</x:v>
      </x:c>
      <x:c r="L242" s="7" t="n">
        <x:v>1.94</x:v>
      </x:c>
      <x:c r="M242" s="6" t="inlineStr">
        <x:is>
          <x:t xml:space="preserve">não iniciada</x:t>
        </x:is>
      </x:c>
      <x:c r="N242" s="6" t="n"/>
      <x:c r="O242" s="7" t="n">
        <x:v>-23.5193239</x:v>
      </x:c>
      <x:c r="P242" s="7" t="n">
        <x:v>-46.3960095</x:v>
      </x:c>
      <x:c r="Q242" s="7" t="n">
        <x:v>-23.5192891</x:v>
      </x:c>
      <x:c r="R242" s="7" t="n">
        <x:v>-46.3960006</x:v>
      </x:c>
    </x:row>
    <x:row r="243">
      <x:c r="A243" s="6" t="inlineStr">
        <x:is>
          <x:t xml:space="preserve">ct_jardim_miriam_blocos_05_a_09</x:t>
        </x:is>
      </x:c>
      <x:c r="B243" s="6" t="inlineStr">
        <x:is>
          <x:t xml:space="preserve">CT_J-037</x:t>
        </x:is>
      </x:c>
      <x:c r="C243" s="6" t="inlineStr">
        <x:is>
          <x:t xml:space="preserve">PV-44 - PV-44</x:t>
        </x:is>
      </x:c>
      <x:c r="D243" s="6" t="inlineStr">
        <x:is>
          <x:t xml:space="preserve">PV-44</x:t>
        </x:is>
      </x:c>
      <x:c r="E243" s="6" t="inlineStr">
        <x:is>
          <x:t xml:space="preserve">PV-44</x:t>
        </x:is>
      </x:c>
      <x:c r="F243" s="6" t="inlineStr">
        <x:is>
          <x:t xml:space="preserve">PVC</x:t>
        </x:is>
      </x:c>
      <x:c r="G243" s="6" t="n">
        <x:v>200</x:v>
      </x:c>
      <x:c r="H243" s="6" t="inlineStr">
        <x:is>
          <x:t xml:space="preserve">Vala a Céu Aberto - VCA</x:t>
        </x:is>
      </x:c>
      <x:c r="I243" s="7" t="n">
        <x:v>7.97</x:v>
      </x:c>
      <x:c r="J243" s="7" t="n">
        <x:v>1.88</x:v>
      </x:c>
      <x:c r="K243" s="7" t="n">
        <x:v>2.27</x:v>
      </x:c>
      <x:c r="L243" s="7" t="n">
        <x:v>2.27</x:v>
      </x:c>
      <x:c r="M243" s="6" t="inlineStr">
        <x:is>
          <x:t xml:space="preserve">não iniciada</x:t>
        </x:is>
      </x:c>
      <x:c r="N243" s="6" t="n"/>
      <x:c r="O243" s="7" t="n">
        <x:v>-23.5191202</x:v>
      </x:c>
      <x:c r="P243" s="7" t="n">
        <x:v>-46.3955625</x:v>
      </x:c>
      <x:c r="Q243" s="7" t="n">
        <x:v>-23.5190844</x:v>
      </x:c>
      <x:c r="R243" s="7" t="n">
        <x:v>-46.3956302</x:v>
      </x:c>
    </x:row>
    <x:row r="244">
      <x:c r="A244" s="6" t="inlineStr">
        <x:is>
          <x:t xml:space="preserve">ct_jardim_miriam_blocos_05_a_09</x:t>
        </x:is>
      </x:c>
      <x:c r="B244" s="6" t="inlineStr">
        <x:is>
          <x:t xml:space="preserve">CT_J-038</x:t>
        </x:is>
      </x:c>
      <x:c r="C244" s="6" t="inlineStr">
        <x:is>
          <x:t xml:space="preserve">PI-181 - PV-18</x:t>
        </x:is>
      </x:c>
      <x:c r="D244" s="6" t="inlineStr">
        <x:is>
          <x:t xml:space="preserve">PI-181</x:t>
        </x:is>
      </x:c>
      <x:c r="E244" s="6" t="inlineStr">
        <x:is>
          <x:t xml:space="preserve">PV-18</x:t>
        </x:is>
      </x:c>
      <x:c r="F244" s="6" t="inlineStr">
        <x:is>
          <x:t xml:space="preserve">PVC</x:t>
        </x:is>
      </x:c>
      <x:c r="G244" s="6" t="n">
        <x:v>200</x:v>
      </x:c>
      <x:c r="H244" s="6" t="inlineStr">
        <x:is>
          <x:t xml:space="preserve">Vala a Céu Aberto - VCA</x:t>
        </x:is>
      </x:c>
      <x:c r="I244" s="7" t="n">
        <x:v>1.44</x:v>
      </x:c>
      <x:c r="J244" s="7" t="n">
        <x:v>1.4</x:v>
      </x:c>
      <x:c r="K244" s="7" t="n">
        <x:v>1.45</x:v>
      </x:c>
      <x:c r="L244" s="7" t="n">
        <x:v>1.45</x:v>
      </x:c>
      <x:c r="M244" s="6" t="inlineStr">
        <x:is>
          <x:t xml:space="preserve">não iniciada</x:t>
        </x:is>
      </x:c>
      <x:c r="N244" s="6" t="n"/>
      <x:c r="O244" s="7" t="n">
        <x:v>-23.5187907</x:v>
      </x:c>
      <x:c r="P244" s="7" t="n">
        <x:v>-46.3980039</x:v>
      </x:c>
      <x:c r="Q244" s="7" t="n">
        <x:v>-23.518782</x:v>
      </x:c>
      <x:c r="R244" s="7" t="n">
        <x:v>-46.3979934</x:v>
      </x:c>
    </x:row>
    <x:row r="245">
      <x:c r="A245" s="6" t="inlineStr">
        <x:is>
          <x:t xml:space="preserve">ct_jardim_miriam_blocos_05_a_09</x:t>
        </x:is>
      </x:c>
      <x:c r="B245" s="6" t="inlineStr">
        <x:is>
          <x:t xml:space="preserve">CT_J-039</x:t>
        </x:is>
      </x:c>
      <x:c r="C245" s="6" t="inlineStr">
        <x:is>
          <x:t xml:space="preserve">PI-182 - PV-18</x:t>
        </x:is>
      </x:c>
      <x:c r="D245" s="6" t="inlineStr">
        <x:is>
          <x:t xml:space="preserve">PI-182</x:t>
        </x:is>
      </x:c>
      <x:c r="E245" s="6" t="inlineStr">
        <x:is>
          <x:t xml:space="preserve">PV-18</x:t>
        </x:is>
      </x:c>
      <x:c r="F245" s="6" t="inlineStr">
        <x:is>
          <x:t xml:space="preserve">PVC</x:t>
        </x:is>
      </x:c>
      <x:c r="G245" s="6" t="n">
        <x:v>300</x:v>
      </x:c>
      <x:c r="H245" s="6" t="inlineStr">
        <x:is>
          <x:t xml:space="preserve">Vala a Céu Aberto - VCA</x:t>
        </x:is>
      </x:c>
      <x:c r="I245" s="7" t="n">
        <x:v>2.08</x:v>
      </x:c>
      <x:c r="J245" s="7" t="n">
        <x:v>1.32</x:v>
      </x:c>
      <x:c r="K245" s="7" t="n">
        <x:v>1.45</x:v>
      </x:c>
      <x:c r="L245" s="7" t="n">
        <x:v>1.45</x:v>
      </x:c>
      <x:c r="M245" s="6" t="inlineStr">
        <x:is>
          <x:t xml:space="preserve">não iniciada</x:t>
        </x:is>
      </x:c>
      <x:c r="N245" s="6" t="n"/>
      <x:c r="O245" s="7" t="n">
        <x:v>-23.5187685</x:v>
      </x:c>
      <x:c r="P245" s="7" t="n">
        <x:v>-46.3979792</x:v>
      </x:c>
      <x:c r="Q245" s="7" t="n">
        <x:v>-23.518782</x:v>
      </x:c>
      <x:c r="R245" s="7" t="n">
        <x:v>-46.3979934</x:v>
      </x:c>
    </x:row>
    <x:row r="246">
      <x:c r="A246" s="6" t="inlineStr">
        <x:is>
          <x:t xml:space="preserve">ct_jardim_miriam_blocos_05_a_09</x:t>
        </x:is>
      </x:c>
      <x:c r="B246" s="6" t="inlineStr">
        <x:is>
          <x:t xml:space="preserve">CT_J-040</x:t>
        </x:is>
      </x:c>
      <x:c r="C246" s="6" t="inlineStr">
        <x:is>
          <x:t xml:space="preserve">PI-183 - PI-182</x:t>
        </x:is>
      </x:c>
      <x:c r="D246" s="6" t="inlineStr">
        <x:is>
          <x:t xml:space="preserve">PI-183</x:t>
        </x:is>
      </x:c>
      <x:c r="E246" s="6" t="inlineStr">
        <x:is>
          <x:t xml:space="preserve">PI-182</x:t>
        </x:is>
      </x:c>
      <x:c r="F246" s="6" t="inlineStr">
        <x:is>
          <x:t xml:space="preserve">PVC</x:t>
        </x:is>
      </x:c>
      <x:c r="G246" s="6" t="n">
        <x:v>300</x:v>
      </x:c>
      <x:c r="H246" s="6" t="inlineStr">
        <x:is>
          <x:t xml:space="preserve">Vala a Céu Aberto - VCA</x:t>
        </x:is>
      </x:c>
      <x:c r="I246" s="7" t="n">
        <x:v>6.74</x:v>
      </x:c>
      <x:c r="J246" s="7" t="n">
        <x:v>1</x:v>
      </x:c>
      <x:c r="K246" s="7" t="n">
        <x:v>1.32</x:v>
      </x:c>
      <x:c r="L246" s="7" t="n">
        <x:v>1.32</x:v>
      </x:c>
      <x:c r="M246" s="6" t="inlineStr">
        <x:is>
          <x:t xml:space="preserve">não iniciada</x:t>
        </x:is>
      </x:c>
      <x:c r="N246" s="6" t="n"/>
      <x:c r="O246" s="7" t="n">
        <x:v>-23.5187109</x:v>
      </x:c>
      <x:c r="P246" s="7" t="n">
        <x:v>-46.3980005</x:v>
      </x:c>
      <x:c r="Q246" s="7" t="n">
        <x:v>-23.5187685</x:v>
      </x:c>
      <x:c r="R246" s="7" t="n">
        <x:v>-46.3979792</x:v>
      </x:c>
    </x:row>
    <x:row r="247">
      <x:c r="A247" s="6" t="inlineStr">
        <x:is>
          <x:t xml:space="preserve">ct_jardim_miriam_blocos_05_a_09</x:t>
        </x:is>
      </x:c>
      <x:c r="B247" s="6" t="inlineStr">
        <x:is>
          <x:t xml:space="preserve">CT_J-041</x:t>
        </x:is>
      </x:c>
      <x:c r="C247" s="6" t="inlineStr">
        <x:is>
          <x:t xml:space="preserve">PI-171 - PV-17</x:t>
        </x:is>
      </x:c>
      <x:c r="D247" s="6" t="inlineStr">
        <x:is>
          <x:t xml:space="preserve">PI-171</x:t>
        </x:is>
      </x:c>
      <x:c r="E247" s="6" t="inlineStr">
        <x:is>
          <x:t xml:space="preserve">PV-17</x:t>
        </x:is>
      </x:c>
      <x:c r="F247" s="6" t="inlineStr">
        <x:is>
          <x:t xml:space="preserve">PVC</x:t>
        </x:is>
      </x:c>
      <x:c r="G247" s="6" t="n">
        <x:v>200</x:v>
      </x:c>
      <x:c r="H247" s="6" t="inlineStr">
        <x:is>
          <x:t xml:space="preserve">Vala a Céu Aberto - VCA</x:t>
        </x:is>
      </x:c>
      <x:c r="I247" s="7" t="n">
        <x:v>6.31</x:v>
      </x:c>
      <x:c r="J247" s="7" t="n">
        <x:v>1.55</x:v>
      </x:c>
      <x:c r="K247" s="7" t="n">
        <x:v>1.87</x:v>
      </x:c>
      <x:c r="L247" s="7" t="n">
        <x:v>1.87</x:v>
      </x:c>
      <x:c r="M247" s="6" t="inlineStr">
        <x:is>
          <x:t xml:space="preserve">não iniciada</x:t>
        </x:is>
      </x:c>
      <x:c r="N247" s="6" t="n"/>
      <x:c r="O247" s="7" t="n">
        <x:v>-23.5186717</x:v>
      </x:c>
      <x:c r="P247" s="7" t="n">
        <x:v>-46.3980894</x:v>
      </x:c>
      <x:c r="Q247" s="7" t="n">
        <x:v>-23.5186149</x:v>
      </x:c>
      <x:c r="R247" s="7" t="n">
        <x:v>-46.3980842</x:v>
      </x:c>
    </x:row>
    <x:row r="248">
      <x:c r="A248" s="6" t="inlineStr">
        <x:is>
          <x:t xml:space="preserve">ct_jardim_miriam_blocos_05_a_09</x:t>
        </x:is>
      </x:c>
      <x:c r="B248" s="6" t="inlineStr">
        <x:is>
          <x:t xml:space="preserve">CT_J-042</x:t>
        </x:is>
      </x:c>
      <x:c r="C248" s="6" t="inlineStr">
        <x:is>
          <x:t xml:space="preserve">PI-183 - PI-171</x:t>
        </x:is>
      </x:c>
      <x:c r="D248" s="6" t="inlineStr">
        <x:is>
          <x:t xml:space="preserve">PI-183</x:t>
        </x:is>
      </x:c>
      <x:c r="E248" s="6" t="inlineStr">
        <x:is>
          <x:t xml:space="preserve">PI-171</x:t>
        </x:is>
      </x:c>
      <x:c r="F248" s="6" t="inlineStr">
        <x:is>
          <x:t xml:space="preserve">PVC</x:t>
        </x:is>
      </x:c>
      <x:c r="G248" s="6" t="n">
        <x:v>200</x:v>
      </x:c>
      <x:c r="H248" s="6" t="inlineStr">
        <x:is>
          <x:t xml:space="preserve">Vala a Céu Aberto - VCA</x:t>
        </x:is>
      </x:c>
      <x:c r="I248" s="7" t="n">
        <x:v>5.85</x:v>
      </x:c>
      <x:c r="J248" s="6" t="n"/>
      <x:c r="K248" s="7" t="n">
        <x:v>1.55</x:v>
      </x:c>
      <x:c r="L248" s="7" t="n">
        <x:v>1.55</x:v>
      </x:c>
      <x:c r="M248" s="6" t="inlineStr">
        <x:is>
          <x:t xml:space="preserve">não iniciada</x:t>
        </x:is>
      </x:c>
      <x:c r="N248" s="6" t="n"/>
      <x:c r="O248" s="7" t="n">
        <x:v>-23.5186843</x:v>
      </x:c>
      <x:c r="P248" s="7" t="n">
        <x:v>-46.3980337</x:v>
      </x:c>
      <x:c r="Q248" s="7" t="n">
        <x:v>-23.5186717</x:v>
      </x:c>
      <x:c r="R248" s="7" t="n">
        <x:v>-46.3980894</x:v>
      </x:c>
    </x:row>
    <x:row r="249">
      <x:c r="A249" s="6" t="inlineStr">
        <x:is>
          <x:t xml:space="preserve">ct_jardim_miriam_blocos_05_a_09</x:t>
        </x:is>
      </x:c>
      <x:c r="B249" s="6" t="inlineStr">
        <x:is>
          <x:t xml:space="preserve">CT_M-001</x:t>
        </x:is>
      </x:c>
      <x:c r="C249" s="6" t="inlineStr">
        <x:is>
          <x:t xml:space="preserve">PV-50 - PT-001</x:t>
        </x:is>
      </x:c>
      <x:c r="D249" s="6" t="inlineStr">
        <x:is>
          <x:t xml:space="preserve">PV-50</x:t>
        </x:is>
      </x:c>
      <x:c r="E249" s="6" t="inlineStr">
        <x:is>
          <x:t xml:space="preserve">PT-001</x:t>
        </x:is>
      </x:c>
      <x:c r="F249" s="6" t="inlineStr">
        <x:is>
          <x:t xml:space="preserve">PEAD</x:t>
        </x:is>
      </x:c>
      <x:c r="G249" s="6" t="n">
        <x:v>355</x:v>
      </x:c>
      <x:c r="H249" s="6" t="inlineStr">
        <x:is>
          <x:t xml:space="preserve">Método Não Destrutivo - MND</x:t>
        </x:is>
      </x:c>
      <x:c r="I249" s="7" t="n">
        <x:v>26.27</x:v>
      </x:c>
      <x:c r="J249" s="7" t="n">
        <x:v>4.58</x:v>
      </x:c>
      <x:c r="K249" s="7" t="n">
        <x:v>3.46</x:v>
      </x:c>
      <x:c r="L249" s="7" t="n">
        <x:v>4.58</x:v>
      </x:c>
      <x:c r="M249" s="6" t="inlineStr">
        <x:is>
          <x:t xml:space="preserve">não iniciada</x:t>
        </x:is>
      </x:c>
      <x:c r="N249" s="6" t="n"/>
      <x:c r="O249" s="7" t="n">
        <x:v>-23.518323</x:v>
      </x:c>
      <x:c r="P249" s="7" t="n">
        <x:v>-46.3921239</x:v>
      </x:c>
      <x:c r="Q249" s="7" t="n">
        <x:v>-23.5183532</x:v>
      </x:c>
      <x:c r="R249" s="7" t="n">
        <x:v>-46.3923762</x:v>
      </x:c>
    </x:row>
    <x:row r="250">
      <x:c r="A250" s="6" t="inlineStr">
        <x:is>
          <x:t xml:space="preserve">ct_jardim_miriam_blocos_05_a_09</x:t>
        </x:is>
      </x:c>
      <x:c r="B250" s="6" t="inlineStr">
        <x:is>
          <x:t xml:space="preserve">CT_M-002</x:t>
        </x:is>
      </x:c>
      <x:c r="C250" s="6" t="inlineStr">
        <x:is>
          <x:t xml:space="preserve">PV-57 - PV-56</x:t>
        </x:is>
      </x:c>
      <x:c r="D250" s="6" t="inlineStr">
        <x:is>
          <x:t xml:space="preserve">PV-57</x:t>
        </x:is>
      </x:c>
      <x:c r="E250" s="6" t="inlineStr">
        <x:is>
          <x:t xml:space="preserve">PV-56</x:t>
        </x:is>
      </x:c>
      <x:c r="F250" s="6" t="inlineStr">
        <x:is>
          <x:t xml:space="preserve">PEAD</x:t>
        </x:is>
      </x:c>
      <x:c r="G250" s="6" t="n">
        <x:v>355</x:v>
      </x:c>
      <x:c r="H250" s="6" t="inlineStr">
        <x:is>
          <x:t xml:space="preserve">Método Não Destrutivo - MND</x:t>
        </x:is>
      </x:c>
      <x:c r="I250" s="7" t="n">
        <x:v>6.83</x:v>
      </x:c>
      <x:c r="J250" s="7" t="n">
        <x:v>1.29</x:v>
      </x:c>
      <x:c r="K250" s="7" t="n">
        <x:v>1.34</x:v>
      </x:c>
      <x:c r="L250" s="7" t="n">
        <x:v>1.34</x:v>
      </x:c>
      <x:c r="M250" s="6" t="inlineStr">
        <x:is>
          <x:t xml:space="preserve">não iniciada</x:t>
        </x:is>
      </x:c>
      <x:c r="N250" s="6" t="n"/>
      <x:c r="O250" s="7" t="n">
        <x:v>-23.5174364</x:v>
      </x:c>
      <x:c r="P250" s="7" t="n">
        <x:v>-46.3905008</x:v>
      </x:c>
      <x:c r="Q250" s="7" t="n">
        <x:v>-23.5174607</x:v>
      </x:c>
      <x:c r="R250" s="7" t="n">
        <x:v>-46.3905595</x:v>
      </x:c>
    </x:row>
    <x:row r="251">
      <x:c r="A251" s="6" t="inlineStr">
        <x:is>
          <x:t xml:space="preserve">ct_jardim_miriam_blocos_05_a_09</x:t>
        </x:is>
      </x:c>
      <x:c r="B251" s="6" t="inlineStr">
        <x:is>
          <x:t xml:space="preserve">CT_M-003</x:t>
        </x:is>
      </x:c>
      <x:c r="C251" s="6" t="inlineStr">
        <x:is>
          <x:t xml:space="preserve">PI-62 - PI-61</x:t>
        </x:is>
      </x:c>
      <x:c r="D251" s="6" t="inlineStr">
        <x:is>
          <x:t xml:space="preserve">PI-62</x:t>
        </x:is>
      </x:c>
      <x:c r="E251" s="6" t="inlineStr">
        <x:is>
          <x:t xml:space="preserve">PI-61</x:t>
        </x:is>
      </x:c>
      <x:c r="F251" s="6" t="inlineStr">
        <x:is>
          <x:t xml:space="preserve">PVC</x:t>
        </x:is>
      </x:c>
      <x:c r="G251" s="6" t="n">
        <x:v>200</x:v>
      </x:c>
      <x:c r="H251" s="6" t="inlineStr">
        <x:is>
          <x:t xml:space="preserve">Vala a Céu Aberto - VCA</x:t>
        </x:is>
      </x:c>
      <x:c r="I251" s="7" t="n">
        <x:v>66.52</x:v>
      </x:c>
      <x:c r="J251" s="7" t="n">
        <x:v>1.36</x:v>
      </x:c>
      <x:c r="K251" s="7" t="n">
        <x:v>1.45</x:v>
      </x:c>
      <x:c r="L251" s="7" t="n">
        <x:v>1.45</x:v>
      </x:c>
      <x:c r="M251" s="6" t="inlineStr">
        <x:is>
          <x:t xml:space="preserve">não iniciada</x:t>
        </x:is>
      </x:c>
      <x:c r="N251" s="6" t="n"/>
      <x:c r="O251" s="7" t="n">
        <x:v>-23.5179878</x:v>
      </x:c>
      <x:c r="P251" s="7" t="n">
        <x:v>-46.3905258</x:v>
      </x:c>
      <x:c r="Q251" s="7" t="n">
        <x:v>-23.5180623</x:v>
      </x:c>
      <x:c r="R251" s="7" t="n">
        <x:v>-46.3911693</x:v>
      </x:c>
    </x:row>
    <x:row r="252">
      <x:c r="A252" s="6" t="inlineStr">
        <x:is>
          <x:t xml:space="preserve">ct_jardim_miriam_blocos_05_a_09</x:t>
        </x:is>
      </x:c>
      <x:c r="B252" s="6" t="inlineStr">
        <x:is>
          <x:t xml:space="preserve">CT_M-004</x:t>
        </x:is>
      </x:c>
      <x:c r="C252" s="6" t="inlineStr">
        <x:is>
          <x:t xml:space="preserve">PV-54 - PV-52</x:t>
        </x:is>
      </x:c>
      <x:c r="D252" s="6" t="inlineStr">
        <x:is>
          <x:t xml:space="preserve">PV-54</x:t>
        </x:is>
      </x:c>
      <x:c r="E252" s="6" t="inlineStr">
        <x:is>
          <x:t xml:space="preserve">PV-52</x:t>
        </x:is>
      </x:c>
      <x:c r="F252" s="6" t="inlineStr">
        <x:is>
          <x:t xml:space="preserve">PEAD</x:t>
        </x:is>
      </x:c>
      <x:c r="G252" s="6" t="n">
        <x:v>355</x:v>
      </x:c>
      <x:c r="H252" s="6" t="inlineStr">
        <x:is>
          <x:t xml:space="preserve">Método Não Destrutivo - MND</x:t>
        </x:is>
      </x:c>
      <x:c r="I252" s="7" t="n">
        <x:v>49.77</x:v>
      </x:c>
      <x:c r="J252" s="7" t="n">
        <x:v>3.3</x:v>
      </x:c>
      <x:c r="K252" s="7" t="n">
        <x:v>4.46</x:v>
      </x:c>
      <x:c r="L252" s="7" t="n">
        <x:v>4.46</x:v>
      </x:c>
      <x:c r="M252" s="6" t="inlineStr">
        <x:is>
          <x:t xml:space="preserve">não iniciada</x:t>
        </x:is>
      </x:c>
      <x:c r="N252" s="6" t="n"/>
      <x:c r="O252" s="7" t="n">
        <x:v>-23.5176313</x:v>
      </x:c>
      <x:c r="P252" s="7" t="n">
        <x:v>-46.3913801</x:v>
      </x:c>
      <x:c r="Q252" s="7" t="n">
        <x:v>-23.5180719</x:v>
      </x:c>
      <x:c r="R252" s="7" t="n">
        <x:v>-46.3914543</x:v>
      </x:c>
    </x:row>
    <x:row r="253">
      <x:c r="A253" s="6" t="inlineStr">
        <x:is>
          <x:t xml:space="preserve">ct_jardim_miriam_blocos_05_a_09</x:t>
        </x:is>
      </x:c>
      <x:c r="B253" s="6" t="inlineStr">
        <x:is>
          <x:t xml:space="preserve">CT_M-005</x:t>
        </x:is>
      </x:c>
      <x:c r="C253" s="6" t="inlineStr">
        <x:is>
          <x:t xml:space="preserve">PV-64 - PV-54</x:t>
        </x:is>
      </x:c>
      <x:c r="D253" s="6" t="inlineStr">
        <x:is>
          <x:t xml:space="preserve">PV-64</x:t>
        </x:is>
      </x:c>
      <x:c r="E253" s="6" t="inlineStr">
        <x:is>
          <x:t xml:space="preserve">PV-54</x:t>
        </x:is>
      </x:c>
      <x:c r="F253" s="6" t="inlineStr">
        <x:is>
          <x:t xml:space="preserve">PVC</x:t>
        </x:is>
      </x:c>
      <x:c r="G253" s="6" t="n">
        <x:v>200</x:v>
      </x:c>
      <x:c r="H253" s="6" t="inlineStr">
        <x:is>
          <x:t xml:space="preserve">Vala a Céu Aberto - VCA</x:t>
        </x:is>
      </x:c>
      <x:c r="I253" s="7" t="n">
        <x:v>5.52</x:v>
      </x:c>
      <x:c r="J253" s="7" t="n">
        <x:v>2.66</x:v>
      </x:c>
      <x:c r="K253" s="7" t="n">
        <x:v>2.74</x:v>
      </x:c>
      <x:c r="L253" s="7" t="n">
        <x:v>2.74</x:v>
      </x:c>
      <x:c r="M253" s="6" t="inlineStr">
        <x:is>
          <x:t xml:space="preserve">não iniciada</x:t>
        </x:is>
      </x:c>
      <x:c r="N253" s="6" t="n"/>
      <x:c r="O253" s="7" t="n">
        <x:v>-23.5175815</x:v>
      </x:c>
      <x:c r="P253" s="7" t="n">
        <x:v>-46.3913845</x:v>
      </x:c>
      <x:c r="Q253" s="7" t="n">
        <x:v>-23.5176313</x:v>
      </x:c>
      <x:c r="R253" s="7" t="n">
        <x:v>-46.3913801</x:v>
      </x:c>
    </x:row>
    <x:row r="254">
      <x:c r="A254" s="6" t="inlineStr">
        <x:is>
          <x:t xml:space="preserve">ct_jardim_miriam_blocos_05_a_09</x:t>
        </x:is>
      </x:c>
      <x:c r="B254" s="6" t="inlineStr">
        <x:is>
          <x:t xml:space="preserve">CT_M-006</x:t>
        </x:is>
      </x:c>
      <x:c r="C254" s="6" t="inlineStr">
        <x:is>
          <x:t xml:space="preserve">PV-51 - PV-50</x:t>
        </x:is>
      </x:c>
      <x:c r="D254" s="6" t="inlineStr">
        <x:is>
          <x:t xml:space="preserve">PV-51</x:t>
        </x:is>
      </x:c>
      <x:c r="E254" s="6" t="inlineStr">
        <x:is>
          <x:t xml:space="preserve">PV-50</x:t>
        </x:is>
      </x:c>
      <x:c r="F254" s="6" t="inlineStr">
        <x:is>
          <x:t xml:space="preserve">PEAD</x:t>
        </x:is>
      </x:c>
      <x:c r="G254" s="6" t="n">
        <x:v>355</x:v>
      </x:c>
      <x:c r="H254" s="6" t="inlineStr">
        <x:is>
          <x:t xml:space="preserve">Método Não Destrutivo - MND</x:t>
        </x:is>
      </x:c>
      <x:c r="I254" s="7" t="n">
        <x:v>68.23</x:v>
      </x:c>
      <x:c r="J254" s="7" t="n">
        <x:v>3.93</x:v>
      </x:c>
      <x:c r="K254" s="7" t="n">
        <x:v>4.42</x:v>
      </x:c>
      <x:c r="L254" s="7" t="n">
        <x:v>4.42</x:v>
      </x:c>
      <x:c r="M254" s="6" t="inlineStr">
        <x:is>
          <x:t xml:space="preserve">não iniciada</x:t>
        </x:is>
      </x:c>
      <x:c r="N254" s="6" t="n"/>
      <x:c r="O254" s="7" t="n">
        <x:v>-23.5182619</x:v>
      </x:c>
      <x:c r="P254" s="7" t="n">
        <x:v>-46.3914575</x:v>
      </x:c>
      <x:c r="Q254" s="7" t="n">
        <x:v>-23.518323</x:v>
      </x:c>
      <x:c r="R254" s="7" t="n">
        <x:v>-46.3921239</x:v>
      </x:c>
    </x:row>
    <x:row r="255">
      <x:c r="A255" s="6" t="inlineStr">
        <x:is>
          <x:t xml:space="preserve">ct_jardim_miriam_blocos_05_a_09</x:t>
        </x:is>
      </x:c>
      <x:c r="B255" s="6" t="inlineStr">
        <x:is>
          <x:t xml:space="preserve">CT_M-007</x:t>
        </x:is>
      </x:c>
      <x:c r="C255" s="6" t="inlineStr">
        <x:is>
          <x:t xml:space="preserve">PI-61 - PV-52</x:t>
        </x:is>
      </x:c>
      <x:c r="D255" s="6" t="inlineStr">
        <x:is>
          <x:t xml:space="preserve">PI-61</x:t>
        </x:is>
      </x:c>
      <x:c r="E255" s="6" t="inlineStr">
        <x:is>
          <x:t xml:space="preserve">PV-52</x:t>
        </x:is>
      </x:c>
      <x:c r="F255" s="6" t="inlineStr">
        <x:is>
          <x:t xml:space="preserve">PVC</x:t>
        </x:is>
      </x:c>
      <x:c r="G255" s="6" t="n">
        <x:v>200</x:v>
      </x:c>
      <x:c r="H255" s="6" t="inlineStr">
        <x:is>
          <x:t xml:space="preserve">Vala a Céu Aberto - VCA</x:t>
        </x:is>
      </x:c>
      <x:c r="I255" s="7" t="n">
        <x:v>29.16</x:v>
      </x:c>
      <x:c r="J255" s="7" t="n">
        <x:v>1.45</x:v>
      </x:c>
      <x:c r="K255" s="7" t="n">
        <x:v>1.25</x:v>
      </x:c>
      <x:c r="L255" s="7" t="n">
        <x:v>1.45</x:v>
      </x:c>
      <x:c r="M255" s="6" t="inlineStr">
        <x:is>
          <x:t xml:space="preserve">não iniciada</x:t>
        </x:is>
      </x:c>
      <x:c r="N255" s="6" t="n"/>
      <x:c r="O255" s="7" t="n">
        <x:v>-23.5180623</x:v>
      </x:c>
      <x:c r="P255" s="7" t="n">
        <x:v>-46.3911693</x:v>
      </x:c>
      <x:c r="Q255" s="7" t="n">
        <x:v>-23.5180721</x:v>
      </x:c>
      <x:c r="R255" s="7" t="n">
        <x:v>-46.3914544</x:v>
      </x:c>
    </x:row>
    <x:row r="256">
      <x:c r="A256" s="6" t="inlineStr">
        <x:is>
          <x:t xml:space="preserve">ct_jardim_miriam_blocos_05_a_09</x:t>
        </x:is>
      </x:c>
      <x:c r="B256" s="6" t="inlineStr">
        <x:is>
          <x:t xml:space="preserve">CT_M-008</x:t>
        </x:is>
      </x:c>
      <x:c r="C256" s="6" t="inlineStr">
        <x:is>
          <x:t xml:space="preserve">PV-52 - PV-51</x:t>
        </x:is>
      </x:c>
      <x:c r="D256" s="6" t="inlineStr">
        <x:is>
          <x:t xml:space="preserve">PV-52</x:t>
        </x:is>
      </x:c>
      <x:c r="E256" s="6" t="inlineStr">
        <x:is>
          <x:t xml:space="preserve">PV-51</x:t>
        </x:is>
      </x:c>
      <x:c r="F256" s="6" t="inlineStr">
        <x:is>
          <x:t xml:space="preserve">PEAD</x:t>
        </x:is>
      </x:c>
      <x:c r="G256" s="6" t="n">
        <x:v>355</x:v>
      </x:c>
      <x:c r="H256" s="6" t="inlineStr">
        <x:is>
          <x:t xml:space="preserve">Método Não Destrutivo - MND</x:t>
        </x:is>
      </x:c>
      <x:c r="I256" s="7" t="n">
        <x:v>20.98</x:v>
      </x:c>
      <x:c r="J256" s="7" t="n">
        <x:v>4.46</x:v>
      </x:c>
      <x:c r="K256" s="7" t="n">
        <x:v>3.75</x:v>
      </x:c>
      <x:c r="L256" s="7" t="n">
        <x:v>4.46</x:v>
      </x:c>
      <x:c r="M256" s="6" t="inlineStr">
        <x:is>
          <x:t xml:space="preserve">não iniciada</x:t>
        </x:is>
      </x:c>
      <x:c r="N256" s="6" t="n"/>
      <x:c r="O256" s="7" t="n">
        <x:v>-23.5180721</x:v>
      </x:c>
      <x:c r="P256" s="7" t="n">
        <x:v>-46.3914544</x:v>
      </x:c>
      <x:c r="Q256" s="7" t="n">
        <x:v>-23.5182619</x:v>
      </x:c>
      <x:c r="R256" s="7" t="n">
        <x:v>-46.3914575</x:v>
      </x:c>
    </x:row>
    <x:row r="257">
      <x:c r="A257" s="6" t="inlineStr">
        <x:is>
          <x:t xml:space="preserve">ct_jardim_miriam_blocos_05_a_09</x:t>
        </x:is>
      </x:c>
      <x:c r="B257" s="6" t="inlineStr">
        <x:is>
          <x:t xml:space="preserve">CT_M-009</x:t>
        </x:is>
      </x:c>
      <x:c r="C257" s="6" t="inlineStr">
        <x:is>
          <x:t xml:space="preserve">PV-59 - PV-57</x:t>
        </x:is>
      </x:c>
      <x:c r="D257" s="6" t="inlineStr">
        <x:is>
          <x:t xml:space="preserve">PV-59</x:t>
        </x:is>
      </x:c>
      <x:c r="E257" s="6" t="inlineStr">
        <x:is>
          <x:t xml:space="preserve">PV-57</x:t>
        </x:is>
      </x:c>
      <x:c r="F257" s="6" t="inlineStr">
        <x:is>
          <x:t xml:space="preserve">PEAD</x:t>
        </x:is>
      </x:c>
      <x:c r="G257" s="6" t="n">
        <x:v>355</x:v>
      </x:c>
      <x:c r="H257" s="6" t="inlineStr">
        <x:is>
          <x:t xml:space="preserve">Método Não Destrutivo - MND</x:t>
        </x:is>
      </x:c>
      <x:c r="I257" s="7" t="n">
        <x:v>41.48</x:v>
      </x:c>
      <x:c r="J257" s="7" t="n">
        <x:v>1.8</x:v>
      </x:c>
      <x:c r="K257" s="7" t="n">
        <x:v>1.29</x:v>
      </x:c>
      <x:c r="L257" s="7" t="n">
        <x:v>1.8</x:v>
      </x:c>
      <x:c r="M257" s="6" t="inlineStr">
        <x:is>
          <x:t xml:space="preserve">não iniciada</x:t>
        </x:is>
      </x:c>
      <x:c r="N257" s="6" t="n"/>
      <x:c r="O257" s="7" t="n">
        <x:v>-23.5170596</x:v>
      </x:c>
      <x:c r="P257" s="7" t="n">
        <x:v>-46.3905098</x:v>
      </x:c>
      <x:c r="Q257" s="7" t="n">
        <x:v>-23.5174364</x:v>
      </x:c>
      <x:c r="R257" s="7" t="n">
        <x:v>-46.3905008</x:v>
      </x:c>
    </x:row>
    <x:row r="258">
      <x:c r="A258" s="6" t="inlineStr">
        <x:is>
          <x:t xml:space="preserve">ct_jardim_miriam_blocos_05_a_09</x:t>
        </x:is>
      </x:c>
      <x:c r="B258" s="6" t="inlineStr">
        <x:is>
          <x:t xml:space="preserve">CT_M-010</x:t>
        </x:is>
      </x:c>
      <x:c r="C258" s="6" t="inlineStr">
        <x:is>
          <x:t xml:space="preserve">PV-59 - PV-59</x:t>
        </x:is>
      </x:c>
      <x:c r="D258" s="6" t="inlineStr">
        <x:is>
          <x:t xml:space="preserve">PV-59</x:t>
        </x:is>
      </x:c>
      <x:c r="E258" s="6" t="inlineStr">
        <x:is>
          <x:t xml:space="preserve">PV-59</x:t>
        </x:is>
      </x:c>
      <x:c r="F258" s="6" t="inlineStr">
        <x:is>
          <x:t xml:space="preserve">PEAD</x:t>
        </x:is>
      </x:c>
      <x:c r="G258" s="6" t="n">
        <x:v>355</x:v>
      </x:c>
      <x:c r="H258" s="6" t="inlineStr">
        <x:is>
          <x:t xml:space="preserve">Método Não Destrutivo - MND</x:t>
        </x:is>
      </x:c>
      <x:c r="I258" s="7" t="n">
        <x:v>9.51</x:v>
      </x:c>
      <x:c r="J258" s="7" t="n">
        <x:v>1.63</x:v>
      </x:c>
      <x:c r="K258" s="7" t="n">
        <x:v>1.64</x:v>
      </x:c>
      <x:c r="L258" s="7" t="n">
        <x:v>1.64</x:v>
      </x:c>
      <x:c r="M258" s="6" t="inlineStr">
        <x:is>
          <x:t xml:space="preserve">não iniciada</x:t>
        </x:is>
      </x:c>
      <x:c r="N258" s="6" t="n"/>
      <x:c r="O258" s="7" t="n">
        <x:v>-23.516989</x:v>
      </x:c>
      <x:c r="P258" s="7" t="n">
        <x:v>-46.3904567</x:v>
      </x:c>
      <x:c r="Q258" s="7" t="n">
        <x:v>-23.5170596</x:v>
      </x:c>
      <x:c r="R258" s="7" t="n">
        <x:v>-46.3905098</x:v>
      </x:c>
    </x:row>
    <x:row r="259">
      <x:c r="A259" s="6" t="inlineStr">
        <x:is>
          <x:t xml:space="preserve">ct_jardim_miriam_blocos_05_a_09</x:t>
        </x:is>
      </x:c>
      <x:c r="B259" s="6" t="inlineStr">
        <x:is>
          <x:t xml:space="preserve">CT_M-011</x:t>
        </x:is>
      </x:c>
      <x:c r="C259" s="6" t="inlineStr">
        <x:is>
          <x:t xml:space="preserve">PV-55 - PV-54</x:t>
        </x:is>
      </x:c>
      <x:c r="D259" s="6" t="inlineStr">
        <x:is>
          <x:t xml:space="preserve">PV-55</x:t>
        </x:is>
      </x:c>
      <x:c r="E259" s="6" t="inlineStr">
        <x:is>
          <x:t xml:space="preserve">PV-54</x:t>
        </x:is>
      </x:c>
      <x:c r="F259" s="6" t="inlineStr">
        <x:is>
          <x:t xml:space="preserve">PEAD</x:t>
        </x:is>
      </x:c>
      <x:c r="G259" s="6" t="n">
        <x:v>355</x:v>
      </x:c>
      <x:c r="H259" s="6" t="inlineStr">
        <x:is>
          <x:t xml:space="preserve">Método Não Destrutivo - MND</x:t>
        </x:is>
      </x:c>
      <x:c r="I259" s="7" t="n">
        <x:v>57.06</x:v>
      </x:c>
      <x:c r="J259" s="7" t="n">
        <x:v>2.73</x:v>
      </x:c>
      <x:c r="K259" s="7" t="n">
        <x:v>2.75</x:v>
      </x:c>
      <x:c r="L259" s="7" t="n">
        <x:v>2.75</x:v>
      </x:c>
      <x:c r="M259" s="6" t="inlineStr">
        <x:is>
          <x:t xml:space="preserve">não iniciada</x:t>
        </x:is>
      </x:c>
      <x:c r="N259" s="6" t="n"/>
      <x:c r="O259" s="7" t="n">
        <x:v>-23.5174979</x:v>
      </x:c>
      <x:c r="P259" s="7" t="n">
        <x:v>-46.3908667</x:v>
      </x:c>
      <x:c r="Q259" s="7" t="n">
        <x:v>-23.5176313</x:v>
      </x:c>
      <x:c r="R259" s="7" t="n">
        <x:v>-46.3913801</x:v>
      </x:c>
    </x:row>
    <x:row r="260">
      <x:c r="A260" s="6" t="inlineStr">
        <x:is>
          <x:t xml:space="preserve">ct_jardim_miriam_blocos_05_a_09</x:t>
        </x:is>
      </x:c>
      <x:c r="B260" s="6" t="inlineStr">
        <x:is>
          <x:t xml:space="preserve">CT_M-012</x:t>
        </x:is>
      </x:c>
      <x:c r="C260" s="6" t="inlineStr">
        <x:is>
          <x:t xml:space="preserve">PV-56 - PV-55</x:t>
        </x:is>
      </x:c>
      <x:c r="D260" s="6" t="inlineStr">
        <x:is>
          <x:t xml:space="preserve">PV-56</x:t>
        </x:is>
      </x:c>
      <x:c r="E260" s="6" t="inlineStr">
        <x:is>
          <x:t xml:space="preserve">PV-55</x:t>
        </x:is>
      </x:c>
      <x:c r="F260" s="6" t="inlineStr">
        <x:is>
          <x:t xml:space="preserve">PEAD</x:t>
        </x:is>
      </x:c>
      <x:c r="G260" s="6" t="n">
        <x:v>355</x:v>
      </x:c>
      <x:c r="H260" s="6" t="inlineStr">
        <x:is>
          <x:t xml:space="preserve">Método Não Destrutivo - MND</x:t>
        </x:is>
      </x:c>
      <x:c r="I260" s="7" t="n">
        <x:v>31.63</x:v>
      </x:c>
      <x:c r="J260" s="7" t="n">
        <x:v>1.34</x:v>
      </x:c>
      <x:c r="K260" s="7" t="n">
        <x:v>2.73</x:v>
      </x:c>
      <x:c r="L260" s="7" t="n">
        <x:v>2.73</x:v>
      </x:c>
      <x:c r="M260" s="6" t="inlineStr">
        <x:is>
          <x:t xml:space="preserve">não iniciada</x:t>
        </x:is>
      </x:c>
      <x:c r="N260" s="6" t="n"/>
      <x:c r="O260" s="7" t="n">
        <x:v>-23.5174607</x:v>
      </x:c>
      <x:c r="P260" s="7" t="n">
        <x:v>-46.3905595</x:v>
      </x:c>
      <x:c r="Q260" s="7" t="n">
        <x:v>-23.5174979</x:v>
      </x:c>
      <x:c r="R260" s="7" t="n">
        <x:v>-46.3908667</x:v>
      </x:c>
    </x:row>
    <x:row r="261">
      <x:c r="A261" s="6" t="inlineStr">
        <x:is>
          <x:t xml:space="preserve">ct_jardim_miriam_blocos_05_a_09</x:t>
        </x:is>
      </x:c>
      <x:c r="B261" s="6" t="inlineStr">
        <x:is>
          <x:t xml:space="preserve">CT_M-013</x:t>
        </x:is>
      </x:c>
      <x:c r="C261" s="6" t="inlineStr">
        <x:is>
          <x:t xml:space="preserve">PI-64 - PI-641</x:t>
        </x:is>
      </x:c>
      <x:c r="D261" s="6" t="inlineStr">
        <x:is>
          <x:t xml:space="preserve">PI-64</x:t>
        </x:is>
      </x:c>
      <x:c r="E261" s="6" t="inlineStr">
        <x:is>
          <x:t xml:space="preserve">PI-641</x:t>
        </x:is>
      </x:c>
      <x:c r="F261" s="6" t="inlineStr">
        <x:is>
          <x:t xml:space="preserve">PVC</x:t>
        </x:is>
      </x:c>
      <x:c r="G261" s="6" t="n">
        <x:v>200</x:v>
      </x:c>
      <x:c r="H261" s="6" t="inlineStr">
        <x:is>
          <x:t xml:space="preserve">Vala a Céu Aberto - VCA</x:t>
        </x:is>
      </x:c>
      <x:c r="I261" s="7" t="n">
        <x:v>39.74</x:v>
      </x:c>
      <x:c r="J261" s="7" t="n">
        <x:v>1</x:v>
      </x:c>
      <x:c r="K261" s="7" t="n">
        <x:v>0.92</x:v>
      </x:c>
      <x:c r="L261" s="7" t="n">
        <x:v>1</x:v>
      </x:c>
      <x:c r="M261" s="6" t="inlineStr">
        <x:is>
          <x:t xml:space="preserve">não iniciada</x:t>
        </x:is>
      </x:c>
      <x:c r="N261" s="6" t="n"/>
      <x:c r="O261" s="7" t="n">
        <x:v>-23.5175201</x:v>
      </x:c>
      <x:c r="P261" s="7" t="n">
        <x:v>-46.3909204</x:v>
      </x:c>
      <x:c r="Q261" s="7" t="n">
        <x:v>-23.5174734</x:v>
      </x:c>
      <x:c r="R261" s="7" t="n">
        <x:v>-46.3905345</x:v>
      </x:c>
    </x:row>
    <x:row r="262">
      <x:c r="A262" s="6" t="inlineStr">
        <x:is>
          <x:t xml:space="preserve">ct_jardim_miriam_blocos_05_a_09</x:t>
        </x:is>
      </x:c>
      <x:c r="B262" s="6" t="inlineStr">
        <x:is>
          <x:t xml:space="preserve">CT_M-014</x:t>
        </x:is>
      </x:c>
      <x:c r="C262" s="6" t="inlineStr">
        <x:is>
          <x:t xml:space="preserve">PI-64 - PV-64</x:t>
        </x:is>
      </x:c>
      <x:c r="D262" s="6" t="inlineStr">
        <x:is>
          <x:t xml:space="preserve">PI-64</x:t>
        </x:is>
      </x:c>
      <x:c r="E262" s="6" t="inlineStr">
        <x:is>
          <x:t xml:space="preserve">PV-64</x:t>
        </x:is>
      </x:c>
      <x:c r="F262" s="6" t="inlineStr">
        <x:is>
          <x:t xml:space="preserve">PVC</x:t>
        </x:is>
      </x:c>
      <x:c r="G262" s="6" t="n">
        <x:v>200</x:v>
      </x:c>
      <x:c r="H262" s="6" t="inlineStr">
        <x:is>
          <x:t xml:space="preserve">Vala a Céu Aberto - VCA</x:t>
        </x:is>
      </x:c>
      <x:c r="I262" s="7" t="n">
        <x:v>47.87</x:v>
      </x:c>
      <x:c r="J262" s="7" t="n">
        <x:v>0.92</x:v>
      </x:c>
      <x:c r="K262" s="7" t="n">
        <x:v>2.15</x:v>
      </x:c>
      <x:c r="L262" s="7" t="n">
        <x:v>2.15</x:v>
      </x:c>
      <x:c r="M262" s="6" t="inlineStr">
        <x:is>
          <x:t xml:space="preserve">não iniciada</x:t>
        </x:is>
      </x:c>
      <x:c r="N262" s="6" t="n"/>
      <x:c r="O262" s="7" t="n">
        <x:v>-23.5175201</x:v>
      </x:c>
      <x:c r="P262" s="7" t="n">
        <x:v>-46.3909205</x:v>
      </x:c>
      <x:c r="Q262" s="7" t="n">
        <x:v>-23.5175815</x:v>
      </x:c>
      <x:c r="R262" s="7" t="n">
        <x:v>-46.3913845</x:v>
      </x:c>
    </x:row>
    <x:row r="263">
      <x:c r="A263" s="6" t="inlineStr">
        <x:is>
          <x:t xml:space="preserve">cts_doroteia</x:t>
        </x:is>
      </x:c>
      <x:c r="B263" s="6" t="inlineStr">
        <x:is>
          <x:t xml:space="preserve">CTS_-001</x:t>
        </x:is>
      </x:c>
      <x:c r="C263" s="6" t="inlineStr">
        <x:is>
          <x:t xml:space="preserve">PV-4 - PV-3</x:t>
        </x:is>
      </x:c>
      <x:c r="D263" s="6" t="inlineStr">
        <x:is>
          <x:t xml:space="preserve">PV-4</x:t>
        </x:is>
      </x:c>
      <x:c r="E263" s="6" t="inlineStr">
        <x:is>
          <x:t xml:space="preserve">PV-3</x:t>
        </x:is>
      </x:c>
      <x:c r="F263" s="6" t="inlineStr">
        <x:is>
          <x:t xml:space="preserve">PEAD</x:t>
        </x:is>
      </x:c>
      <x:c r="G263" s="6" t="n">
        <x:v>355</x:v>
      </x:c>
      <x:c r="H263" s="6" t="inlineStr">
        <x:is>
          <x:t xml:space="preserve">Método Não Destrutivo - MND</x:t>
        </x:is>
      </x:c>
      <x:c r="I263" s="7" t="n">
        <x:v>78.36</x:v>
      </x:c>
      <x:c r="J263" s="7" t="n">
        <x:v>5.28</x:v>
      </x:c>
      <x:c r="K263" s="7" t="n">
        <x:v>1.85</x:v>
      </x:c>
      <x:c r="L263" s="7" t="n">
        <x:v>5.28</x:v>
      </x:c>
      <x:c r="M263" s="6" t="inlineStr">
        <x:is>
          <x:t xml:space="preserve">não iniciada</x:t>
        </x:is>
      </x:c>
      <x:c r="N263" s="6" t="n"/>
      <x:c r="O263" s="7" t="n">
        <x:v>-23.5175152</x:v>
      </x:c>
      <x:c r="P263" s="7" t="n">
        <x:v>-46.3919533</x:v>
      </x:c>
      <x:c r="Q263" s="7" t="n">
        <x:v>-23.5182105</x:v>
      </x:c>
      <x:c r="R263" s="7" t="n">
        <x:v>-46.3920974</x:v>
      </x:c>
    </x:row>
    <x:row r="264">
      <x:c r="A264" s="6" t="inlineStr">
        <x:is>
          <x:t xml:space="preserve">cts_doroteia</x:t>
        </x:is>
      </x:c>
      <x:c r="B264" s="6" t="inlineStr">
        <x:is>
          <x:t xml:space="preserve">CTS_-002</x:t>
        </x:is>
      </x:c>
      <x:c r="C264" s="6" t="inlineStr">
        <x:is>
          <x:t xml:space="preserve">PV-6 - PV-4</x:t>
        </x:is>
      </x:c>
      <x:c r="D264" s="6" t="inlineStr">
        <x:is>
          <x:t xml:space="preserve">PV-6</x:t>
        </x:is>
      </x:c>
      <x:c r="E264" s="6" t="inlineStr">
        <x:is>
          <x:t xml:space="preserve">PV-4</x:t>
        </x:is>
      </x:c>
      <x:c r="F264" s="6" t="inlineStr">
        <x:is>
          <x:t xml:space="preserve">PEAD</x:t>
        </x:is>
      </x:c>
      <x:c r="G264" s="6" t="n">
        <x:v>355</x:v>
      </x:c>
      <x:c r="H264" s="6" t="inlineStr">
        <x:is>
          <x:t xml:space="preserve">Método Não Destrutivo - MND</x:t>
        </x:is>
      </x:c>
      <x:c r="I264" s="7" t="n">
        <x:v>100.16</x:v>
      </x:c>
      <x:c r="J264" s="7" t="n">
        <x:v>4.18</x:v>
      </x:c>
      <x:c r="K264" s="7" t="n">
        <x:v>5.23</x:v>
      </x:c>
      <x:c r="L264" s="7" t="n">
        <x:v>5.23</x:v>
      </x:c>
      <x:c r="M264" s="6" t="inlineStr">
        <x:is>
          <x:t xml:space="preserve">não iniciada</x:t>
        </x:is>
      </x:c>
      <x:c r="N264" s="6" t="n"/>
      <x:c r="O264" s="7" t="n">
        <x:v>-23.5166257</x:v>
      </x:c>
      <x:c r="P264" s="7" t="n">
        <x:v>-46.3917805</x:v>
      </x:c>
      <x:c r="Q264" s="7" t="n">
        <x:v>-23.5175152</x:v>
      </x:c>
      <x:c r="R264" s="7" t="n">
        <x:v>-46.3919533</x:v>
      </x:c>
    </x:row>
    <x:row r="265">
      <x:c r="A265" s="6" t="inlineStr">
        <x:is>
          <x:t xml:space="preserve">cts_doroteia</x:t>
        </x:is>
      </x:c>
      <x:c r="B265" s="6" t="inlineStr">
        <x:is>
          <x:t xml:space="preserve">CTS_-003</x:t>
        </x:is>
      </x:c>
      <x:c r="C265" s="6" t="inlineStr">
        <x:is>
          <x:t xml:space="preserve">PV-8 - PV-6</x:t>
        </x:is>
      </x:c>
      <x:c r="D265" s="6" t="inlineStr">
        <x:is>
          <x:t xml:space="preserve">PV-8</x:t>
        </x:is>
      </x:c>
      <x:c r="E265" s="6" t="inlineStr">
        <x:is>
          <x:t xml:space="preserve">PV-6</x:t>
        </x:is>
      </x:c>
      <x:c r="F265" s="6" t="inlineStr">
        <x:is>
          <x:t xml:space="preserve">PEAD</x:t>
        </x:is>
      </x:c>
      <x:c r="G265" s="6" t="n">
        <x:v>355</x:v>
      </x:c>
      <x:c r="H265" s="6" t="inlineStr">
        <x:is>
          <x:t xml:space="preserve">Método Não Destrutivo - MND</x:t>
        </x:is>
      </x:c>
      <x:c r="I265" s="7" t="n">
        <x:v>41.01</x:v>
      </x:c>
      <x:c r="J265" s="7" t="n">
        <x:v>1.97</x:v>
      </x:c>
      <x:c r="K265" s="7" t="n">
        <x:v>4.18</x:v>
      </x:c>
      <x:c r="L265" s="7" t="n">
        <x:v>4.18</x:v>
      </x:c>
      <x:c r="M265" s="6" t="inlineStr">
        <x:is>
          <x:t xml:space="preserve">não iniciada</x:t>
        </x:is>
      </x:c>
      <x:c r="N265" s="6" t="n"/>
      <x:c r="O265" s="7" t="n">
        <x:v>-23.5165283</x:v>
      </x:c>
      <x:c r="P265" s="7" t="n">
        <x:v>-46.3921709</x:v>
      </x:c>
      <x:c r="Q265" s="7" t="n">
        <x:v>-23.5166257</x:v>
      </x:c>
      <x:c r="R265" s="7" t="n">
        <x:v>-46.3917805</x:v>
      </x:c>
    </x:row>
    <x:row r="266">
      <x:c r="A266" s="6" t="inlineStr">
        <x:is>
          <x:t xml:space="preserve">cts_doroteia</x:t>
        </x:is>
      </x:c>
      <x:c r="B266" s="6" t="inlineStr">
        <x:is>
          <x:t xml:space="preserve">CTS_-004</x:t>
        </x:is>
      </x:c>
      <x:c r="C266" s="6" t="inlineStr">
        <x:is>
          <x:t xml:space="preserve">PV-9 - PV-8</x:t>
        </x:is>
      </x:c>
      <x:c r="D266" s="6" t="inlineStr">
        <x:is>
          <x:t xml:space="preserve">PV-9</x:t>
        </x:is>
      </x:c>
      <x:c r="E266" s="6" t="inlineStr">
        <x:is>
          <x:t xml:space="preserve">PV-8</x:t>
        </x:is>
      </x:c>
      <x:c r="F266" s="6" t="inlineStr">
        <x:is>
          <x:t xml:space="preserve">PEAD</x:t>
        </x:is>
      </x:c>
      <x:c r="G266" s="6" t="n">
        <x:v>355</x:v>
      </x:c>
      <x:c r="H266" s="6" t="inlineStr">
        <x:is>
          <x:t xml:space="preserve">Método Não Destrutivo - MND</x:t>
        </x:is>
      </x:c>
      <x:c r="I266" s="7" t="n">
        <x:v>48.08</x:v>
      </x:c>
      <x:c r="J266" s="7" t="n">
        <x:v>4.71</x:v>
      </x:c>
      <x:c r="K266" s="7" t="n">
        <x:v>1.97</x:v>
      </x:c>
      <x:c r="L266" s="7" t="n">
        <x:v>4.71</x:v>
      </x:c>
      <x:c r="M266" s="6" t="inlineStr">
        <x:is>
          <x:t xml:space="preserve">não iniciada</x:t>
        </x:is>
      </x:c>
      <x:c r="N266" s="6" t="n"/>
      <x:c r="O266" s="7" t="n">
        <x:v>-23.5161009</x:v>
      </x:c>
      <x:c r="P266" s="7" t="n">
        <x:v>-46.3920869</x:v>
      </x:c>
      <x:c r="Q266" s="7" t="n">
        <x:v>-23.5165283</x:v>
      </x:c>
      <x:c r="R266" s="7" t="n">
        <x:v>-46.3921709</x:v>
      </x:c>
    </x:row>
    <x:row r="267">
      <x:c r="A267" s="6" t="inlineStr">
        <x:is>
          <x:t xml:space="preserve">cts_doroteia</x:t>
        </x:is>
      </x:c>
      <x:c r="B267" s="6" t="inlineStr">
        <x:is>
          <x:t xml:space="preserve">CTS_-005</x:t>
        </x:is>
      </x:c>
      <x:c r="C267" s="6" t="inlineStr">
        <x:is>
          <x:t xml:space="preserve">PV-10 - PV-9</x:t>
        </x:is>
      </x:c>
      <x:c r="D267" s="6" t="inlineStr">
        <x:is>
          <x:t xml:space="preserve">PV-10</x:t>
        </x:is>
      </x:c>
      <x:c r="E267" s="6" t="inlineStr">
        <x:is>
          <x:t xml:space="preserve">PV-9</x:t>
        </x:is>
      </x:c>
      <x:c r="F267" s="6" t="inlineStr">
        <x:is>
          <x:t xml:space="preserve">PEAD</x:t>
        </x:is>
      </x:c>
      <x:c r="G267" s="6" t="n">
        <x:v>355</x:v>
      </x:c>
      <x:c r="H267" s="6" t="inlineStr">
        <x:is>
          <x:t xml:space="preserve">Método Não Destrutivo - MND</x:t>
        </x:is>
      </x:c>
      <x:c r="I267" s="7" t="n">
        <x:v>58.82</x:v>
      </x:c>
      <x:c r="J267" s="7" t="n">
        <x:v>4.75</x:v>
      </x:c>
      <x:c r="K267" s="7" t="n">
        <x:v>4.71</x:v>
      </x:c>
      <x:c r="L267" s="7" t="n">
        <x:v>4.75</x:v>
      </x:c>
      <x:c r="M267" s="6" t="inlineStr">
        <x:is>
          <x:t xml:space="preserve">não iniciada</x:t>
        </x:is>
      </x:c>
      <x:c r="N267" s="6" t="n"/>
      <x:c r="O267" s="7" t="n">
        <x:v>-23.5155773</x:v>
      </x:c>
      <x:c r="P267" s="7" t="n">
        <x:v>-46.3921777</x:v>
      </x:c>
      <x:c r="Q267" s="7" t="n">
        <x:v>-23.5161009</x:v>
      </x:c>
      <x:c r="R267" s="7" t="n">
        <x:v>-46.3920869</x:v>
      </x:c>
    </x:row>
    <x:row r="268">
      <x:c r="A268" s="6" t="inlineStr">
        <x:is>
          <x:t xml:space="preserve">cts_doroteia</x:t>
        </x:is>
      </x:c>
      <x:c r="B268" s="6" t="inlineStr">
        <x:is>
          <x:t xml:space="preserve">CTS_-006</x:t>
        </x:is>
      </x:c>
      <x:c r="C268" s="6" t="inlineStr">
        <x:is>
          <x:t xml:space="preserve">PV-12 - PV-10</x:t>
        </x:is>
      </x:c>
      <x:c r="D268" s="6" t="inlineStr">
        <x:is>
          <x:t xml:space="preserve">PV-12</x:t>
        </x:is>
      </x:c>
      <x:c r="E268" s="6" t="inlineStr">
        <x:is>
          <x:t xml:space="preserve">PV-10</x:t>
        </x:is>
      </x:c>
      <x:c r="F268" s="6" t="inlineStr">
        <x:is>
          <x:t xml:space="preserve">PEAD</x:t>
        </x:is>
      </x:c>
      <x:c r="G268" s="6" t="n">
        <x:v>355</x:v>
      </x:c>
      <x:c r="H268" s="6" t="inlineStr">
        <x:is>
          <x:t xml:space="preserve">Método Não Destrutivo - MND</x:t>
        </x:is>
      </x:c>
      <x:c r="I268" s="7" t="n">
        <x:v>65.20999999999999</x:v>
      </x:c>
      <x:c r="J268" s="7" t="n">
        <x:v>2.6</x:v>
      </x:c>
      <x:c r="K268" s="7" t="n">
        <x:v>4.59</x:v>
      </x:c>
      <x:c r="L268" s="7" t="n">
        <x:v>4.59</x:v>
      </x:c>
      <x:c r="M268" s="6" t="inlineStr">
        <x:is>
          <x:t xml:space="preserve">não iniciada</x:t>
        </x:is>
      </x:c>
      <x:c r="N268" s="6" t="n"/>
      <x:c r="O268" s="7" t="n">
        <x:v>-23.5150367</x:v>
      </x:c>
      <x:c r="P268" s="7" t="n">
        <x:v>-46.3924348</x:v>
      </x:c>
      <x:c r="Q268" s="7" t="n">
        <x:v>-23.5155773</x:v>
      </x:c>
      <x:c r="R268" s="7" t="n">
        <x:v>-46.3921777</x:v>
      </x:c>
    </x:row>
    <x:row r="269">
      <x:c r="A269" s="6" t="inlineStr">
        <x:is>
          <x:t xml:space="preserve">cts_doroteia</x:t>
        </x:is>
      </x:c>
      <x:c r="B269" s="6" t="inlineStr">
        <x:is>
          <x:t xml:space="preserve">CTS_-007</x:t>
        </x:is>
      </x:c>
      <x:c r="C269" s="6" t="inlineStr">
        <x:is>
          <x:t xml:space="preserve">PV-19 - PV-12</x:t>
        </x:is>
      </x:c>
      <x:c r="D269" s="6" t="inlineStr">
        <x:is>
          <x:t xml:space="preserve">PV-19</x:t>
        </x:is>
      </x:c>
      <x:c r="E269" s="6" t="inlineStr">
        <x:is>
          <x:t xml:space="preserve">PV-12</x:t>
        </x:is>
      </x:c>
      <x:c r="F269" s="6" t="inlineStr">
        <x:is>
          <x:t xml:space="preserve">PEAD</x:t>
        </x:is>
      </x:c>
      <x:c r="G269" s="6" t="n">
        <x:v>355</x:v>
      </x:c>
      <x:c r="H269" s="6" t="inlineStr">
        <x:is>
          <x:t xml:space="preserve">Método Não Destrutivo - MND</x:t>
        </x:is>
      </x:c>
      <x:c r="I269" s="7" t="n">
        <x:v>25.9</x:v>
      </x:c>
      <x:c r="J269" s="7" t="n">
        <x:v>1.6</x:v>
      </x:c>
      <x:c r="K269" s="7" t="n">
        <x:v>2.6</x:v>
      </x:c>
      <x:c r="L269" s="7" t="n">
        <x:v>2.6</x:v>
      </x:c>
      <x:c r="M269" s="6" t="inlineStr">
        <x:is>
          <x:t xml:space="preserve">não iniciada</x:t>
        </x:is>
      </x:c>
      <x:c r="N269" s="6" t="n"/>
      <x:c r="O269" s="7" t="n">
        <x:v>-23.5149736</x:v>
      </x:c>
      <x:c r="P269" s="7" t="n">
        <x:v>-46.3926789</x:v>
      </x:c>
      <x:c r="Q269" s="7" t="n">
        <x:v>-23.5150367</x:v>
      </x:c>
      <x:c r="R269" s="7" t="n">
        <x:v>-46.3924348</x:v>
      </x:c>
    </x:row>
    <x:row r="270">
      <x:c r="A270" s="6" t="inlineStr">
        <x:is>
          <x:t xml:space="preserve">cts_doroteia</x:t>
        </x:is>
      </x:c>
      <x:c r="B270" s="6" t="inlineStr">
        <x:is>
          <x:t xml:space="preserve">CTS_-008</x:t>
        </x:is>
      </x:c>
      <x:c r="C270" s="6" t="inlineStr">
        <x:is>
          <x:t xml:space="preserve">PV-19 - PV-19</x:t>
        </x:is>
      </x:c>
      <x:c r="D270" s="6" t="inlineStr">
        <x:is>
          <x:t xml:space="preserve">PV-19</x:t>
        </x:is>
      </x:c>
      <x:c r="E270" s="6" t="inlineStr">
        <x:is>
          <x:t xml:space="preserve">PV-19</x:t>
        </x:is>
      </x:c>
      <x:c r="F270" s="6" t="inlineStr">
        <x:is>
          <x:t xml:space="preserve">PVC</x:t>
        </x:is>
      </x:c>
      <x:c r="G270" s="6" t="n">
        <x:v>200</x:v>
      </x:c>
      <x:c r="H270" s="6" t="inlineStr">
        <x:is>
          <x:t xml:space="preserve">Vala a Céu Aberto - VCA</x:t>
        </x:is>
      </x:c>
      <x:c r="I270" s="7" t="n">
        <x:v>13.84</x:v>
      </x:c>
      <x:c r="J270" s="7" t="n">
        <x:v>1.95</x:v>
      </x:c>
      <x:c r="K270" s="7" t="n">
        <x:v>1.6</x:v>
      </x:c>
      <x:c r="L270" s="7" t="n">
        <x:v>1.95</x:v>
      </x:c>
      <x:c r="M270" s="6" t="inlineStr">
        <x:is>
          <x:t xml:space="preserve">não iniciada</x:t>
        </x:is>
      </x:c>
      <x:c r="N270" s="6" t="n"/>
      <x:c r="O270" s="7" t="n">
        <x:v>-23.5148568</x:v>
      </x:c>
      <x:c r="P270" s="7" t="n">
        <x:v>-46.3926553</x:v>
      </x:c>
      <x:c r="Q270" s="7" t="n">
        <x:v>-23.5149736</x:v>
      </x:c>
      <x:c r="R270" s="7" t="n">
        <x:v>-46.3926789</x:v>
      </x:c>
    </x:row>
    <x:row r="271">
      <x:c r="A271" s="6" t="inlineStr">
        <x:is>
          <x:t xml:space="preserve">cts_doroteia</x:t>
        </x:is>
      </x:c>
      <x:c r="B271" s="6" t="inlineStr">
        <x:is>
          <x:t xml:space="preserve">CTS_-009</x:t>
        </x:is>
      </x:c>
      <x:c r="C271" s="6" t="inlineStr">
        <x:is>
          <x:t xml:space="preserve">PV-12 - PV-12</x:t>
        </x:is>
      </x:c>
      <x:c r="D271" s="6" t="inlineStr">
        <x:is>
          <x:t xml:space="preserve">PV-12</x:t>
        </x:is>
      </x:c>
      <x:c r="E271" s="6" t="inlineStr">
        <x:is>
          <x:t xml:space="preserve">PV-12</x:t>
        </x:is>
      </x:c>
      <x:c r="F271" s="6" t="inlineStr">
        <x:is>
          <x:t xml:space="preserve">PVC</x:t>
        </x:is>
      </x:c>
      <x:c r="G271" s="6" t="n">
        <x:v>200</x:v>
      </x:c>
      <x:c r="H271" s="6" t="inlineStr">
        <x:is>
          <x:t xml:space="preserve">Método Não Destrutivo - MND</x:t>
        </x:is>
      </x:c>
      <x:c r="I271" s="7" t="n">
        <x:v>20.28</x:v>
      </x:c>
      <x:c r="J271" s="7" t="n">
        <x:v>1.38</x:v>
      </x:c>
      <x:c r="K271" s="7" t="n">
        <x:v>1.15</x:v>
      </x:c>
      <x:c r="L271" s="7" t="n">
        <x:v>1.38</x:v>
      </x:c>
      <x:c r="M271" s="6" t="inlineStr">
        <x:is>
          <x:t xml:space="preserve">não iniciada</x:t>
        </x:is>
      </x:c>
      <x:c r="N271" s="6" t="n"/>
      <x:c r="O271" s="7" t="n">
        <x:v>-23.5149597</x:v>
      </x:c>
      <x:c r="P271" s="7" t="n">
        <x:v>-46.3922543</x:v>
      </x:c>
      <x:c r="Q271" s="7" t="n">
        <x:v>-23.5150367</x:v>
      </x:c>
      <x:c r="R271" s="7" t="n">
        <x:v>-46.3924348</x:v>
      </x:c>
    </x:row>
    <x:row r="272">
      <x:c r="A272" s="6" t="inlineStr">
        <x:is>
          <x:t xml:space="preserve">cts_doroteia</x:t>
        </x:is>
      </x:c>
      <x:c r="B272" s="6" t="inlineStr">
        <x:is>
          <x:t xml:space="preserve">CTS_-010</x:t>
        </x:is>
      </x:c>
      <x:c r="C272" s="6" t="inlineStr">
        <x:is>
          <x:t xml:space="preserve">PI-81 - PV-8</x:t>
        </x:is>
      </x:c>
      <x:c r="D272" s="6" t="inlineStr">
        <x:is>
          <x:t xml:space="preserve">PI-81</x:t>
        </x:is>
      </x:c>
      <x:c r="E272" s="6" t="inlineStr">
        <x:is>
          <x:t xml:space="preserve">PV-8</x:t>
        </x:is>
      </x:c>
      <x:c r="F272" s="6" t="inlineStr">
        <x:is>
          <x:t xml:space="preserve">PVC</x:t>
        </x:is>
      </x:c>
      <x:c r="G272" s="6" t="n">
        <x:v>200</x:v>
      </x:c>
      <x:c r="H272" s="6" t="inlineStr">
        <x:is>
          <x:t xml:space="preserve">Vala a Céu Aberto - VCA</x:t>
        </x:is>
      </x:c>
      <x:c r="I272" s="7" t="n">
        <x:v>2.87</x:v>
      </x:c>
      <x:c r="J272" s="7" t="n">
        <x:v>1.76</x:v>
      </x:c>
      <x:c r="K272" s="7" t="n">
        <x:v>1.78</x:v>
      </x:c>
      <x:c r="L272" s="7" t="n">
        <x:v>1.78</x:v>
      </x:c>
      <x:c r="M272" s="6" t="inlineStr">
        <x:is>
          <x:t xml:space="preserve">não iniciada</x:t>
        </x:is>
      </x:c>
      <x:c r="N272" s="6" t="n"/>
      <x:c r="O272" s="7" t="n">
        <x:v>-23.516506</x:v>
      </x:c>
      <x:c r="P272" s="7" t="n">
        <x:v>-46.3921712</x:v>
      </x:c>
      <x:c r="Q272" s="7" t="n">
        <x:v>-23.5165283</x:v>
      </x:c>
      <x:c r="R272" s="7" t="n">
        <x:v>-46.3921709</x:v>
      </x:c>
    </x:row>
    <x:row r="273">
      <x:c r="A273" s="6" t="inlineStr">
        <x:is>
          <x:t xml:space="preserve">cts_doroteia</x:t>
        </x:is>
      </x:c>
      <x:c r="B273" s="6" t="inlineStr">
        <x:is>
          <x:t xml:space="preserve">CTS_-011</x:t>
        </x:is>
      </x:c>
      <x:c r="C273" s="6" t="inlineStr">
        <x:is>
          <x:t xml:space="preserve">PV-6 - PV-6</x:t>
        </x:is>
      </x:c>
      <x:c r="D273" s="6" t="inlineStr">
        <x:is>
          <x:t xml:space="preserve">PV-6</x:t>
        </x:is>
      </x:c>
      <x:c r="E273" s="6" t="inlineStr">
        <x:is>
          <x:t xml:space="preserve">PV-6</x:t>
        </x:is>
      </x:c>
      <x:c r="F273" s="6" t="inlineStr">
        <x:is>
          <x:t xml:space="preserve">PVC</x:t>
        </x:is>
      </x:c>
      <x:c r="G273" s="6" t="n">
        <x:v>200</x:v>
      </x:c>
      <x:c r="H273" s="6" t="inlineStr">
        <x:is>
          <x:t xml:space="preserve">Vala a Céu Aberto - VCA</x:t>
        </x:is>
      </x:c>
      <x:c r="I273" s="7" t="n">
        <x:v>3.61</x:v>
      </x:c>
      <x:c r="J273" s="7" t="n">
        <x:v>2.01</x:v>
      </x:c>
      <x:c r="K273" s="7" t="n">
        <x:v>1.59</x:v>
      </x:c>
      <x:c r="L273" s="7" t="n">
        <x:v>2.01</x:v>
      </x:c>
      <x:c r="M273" s="6" t="inlineStr">
        <x:is>
          <x:t xml:space="preserve">não iniciada</x:t>
        </x:is>
      </x:c>
      <x:c r="N273" s="6" t="n"/>
      <x:c r="O273" s="7" t="n">
        <x:v>-23.5166186</x:v>
      </x:c>
      <x:c r="P273" s="7" t="n">
        <x:v>-46.3917477</x:v>
      </x:c>
      <x:c r="Q273" s="7" t="n">
        <x:v>-23.5166257</x:v>
      </x:c>
      <x:c r="R273" s="7" t="n">
        <x:v>-46.3917805</x:v>
      </x:c>
    </x:row>
    <x:row r="274">
      <x:c r="A274" s="6" t="inlineStr">
        <x:is>
          <x:t xml:space="preserve">cts_doroteia</x:t>
        </x:is>
      </x:c>
      <x:c r="B274" s="6" t="inlineStr">
        <x:is>
          <x:t xml:space="preserve">CTS_-012</x:t>
        </x:is>
      </x:c>
      <x:c r="C274" s="6" t="inlineStr">
        <x:is>
          <x:t xml:space="preserve">PV-3 - PV-3</x:t>
        </x:is>
      </x:c>
      <x:c r="D274" s="6" t="inlineStr">
        <x:is>
          <x:t xml:space="preserve">PV-3</x:t>
        </x:is>
      </x:c>
      <x:c r="E274" s="6" t="inlineStr">
        <x:is>
          <x:t xml:space="preserve">PV-3</x:t>
        </x:is>
      </x:c>
      <x:c r="F274" s="6" t="inlineStr">
        <x:is>
          <x:t xml:space="preserve">PEAD</x:t>
        </x:is>
      </x:c>
      <x:c r="G274" s="6" t="n">
        <x:v>355</x:v>
      </x:c>
      <x:c r="H274" s="6" t="inlineStr">
        <x:is>
          <x:t xml:space="preserve">Método Não Destrutivo - MND</x:t>
        </x:is>
      </x:c>
      <x:c r="I274" s="7" t="n">
        <x:v>13.52</x:v>
      </x:c>
      <x:c r="J274" s="7" t="n">
        <x:v>1.87</x:v>
      </x:c>
      <x:c r="K274" s="7" t="n">
        <x:v>4.58</x:v>
      </x:c>
      <x:c r="L274" s="7" t="n">
        <x:v>4.58</x:v>
      </x:c>
      <x:c r="M274" s="6" t="inlineStr">
        <x:is>
          <x:t xml:space="preserve">não iniciada</x:t>
        </x:is>
      </x:c>
      <x:c r="N274" s="6" t="n"/>
      <x:c r="O274" s="7" t="n">
        <x:v>-23.5182105</x:v>
      </x:c>
      <x:c r="P274" s="7" t="n">
        <x:v>-46.3920974</x:v>
      </x:c>
      <x:c r="Q274" s="7" t="n">
        <x:v>-23.518323</x:v>
      </x:c>
      <x:c r="R274" s="7" t="n">
        <x:v>-46.3921239</x:v>
      </x:c>
    </x:row>
    <x:row r="275">
      <x:c r="A275" s="6" t="inlineStr">
        <x:is>
          <x:t xml:space="preserve">cts_doroteia</x:t>
        </x:is>
      </x:c>
      <x:c r="B275" s="6" t="inlineStr">
        <x:is>
          <x:t xml:space="preserve">CTS_-013</x:t>
        </x:is>
      </x:c>
      <x:c r="C275" s="6" t="inlineStr">
        <x:is>
          <x:t xml:space="preserve">PV-3 - PV-3</x:t>
        </x:is>
      </x:c>
      <x:c r="D275" s="6" t="inlineStr">
        <x:is>
          <x:t xml:space="preserve">PV-3</x:t>
        </x:is>
      </x:c>
      <x:c r="E275" s="6" t="inlineStr">
        <x:is>
          <x:t xml:space="preserve">PV-3</x:t>
        </x:is>
      </x:c>
      <x:c r="F275" s="6" t="inlineStr">
        <x:is>
          <x:t xml:space="preserve">PVC</x:t>
        </x:is>
      </x:c>
      <x:c r="G275" s="6" t="n">
        <x:v>200</x:v>
      </x:c>
      <x:c r="H275" s="6" t="inlineStr">
        <x:is>
          <x:t xml:space="preserve">Vala a Céu Aberto - VCA</x:t>
        </x:is>
      </x:c>
      <x:c r="I275" s="7" t="n">
        <x:v>13.43</x:v>
      </x:c>
      <x:c r="J275" s="7" t="n">
        <x:v>1</x:v>
      </x:c>
      <x:c r="K275" s="7" t="n">
        <x:v>1.22</x:v>
      </x:c>
      <x:c r="L275" s="7" t="n">
        <x:v>1.22</x:v>
      </x:c>
      <x:c r="M275" s="6" t="inlineStr">
        <x:is>
          <x:t xml:space="preserve">não iniciada</x:t>
        </x:is>
      </x:c>
      <x:c r="N275" s="6" t="n"/>
      <x:c r="O275" s="7" t="n">
        <x:v>-23.5181006</x:v>
      </x:c>
      <x:c r="P275" s="7" t="n">
        <x:v>-46.3920402</x:v>
      </x:c>
      <x:c r="Q275" s="7" t="n">
        <x:v>-23.5182105</x:v>
      </x:c>
      <x:c r="R275" s="7" t="n">
        <x:v>-46.3920974</x:v>
      </x:c>
    </x:row>
    <x:row r="276">
      <x:c r="A276" s="6" t="inlineStr">
        <x:is>
          <x:t xml:space="preserve">cts_doroteia</x:t>
        </x:is>
      </x:c>
      <x:c r="B276" s="6" t="inlineStr">
        <x:is>
          <x:t xml:space="preserve">CTS_-014</x:t>
        </x:is>
      </x:c>
      <x:c r="C276" s="6" t="inlineStr">
        <x:is>
          <x:t xml:space="preserve">PV-8 - PV-6</x:t>
        </x:is>
      </x:c>
      <x:c r="D276" s="6" t="inlineStr">
        <x:is>
          <x:t xml:space="preserve">PV-8</x:t>
        </x:is>
      </x:c>
      <x:c r="E276" s="6" t="inlineStr">
        <x:is>
          <x:t xml:space="preserve">PV-6</x:t>
        </x:is>
      </x:c>
      <x:c r="F276" s="6" t="inlineStr">
        <x:is>
          <x:t xml:space="preserve">PVC</x:t>
        </x:is>
      </x:c>
      <x:c r="G276" s="6" t="n">
        <x:v>200</x:v>
      </x:c>
      <x:c r="H276" s="6" t="inlineStr">
        <x:is>
          <x:t xml:space="preserve">Vala a Céu Aberto - VCA</x:t>
        </x:is>
      </x:c>
      <x:c r="I276" s="7" t="n">
        <x:v>25.91</x:v>
      </x:c>
      <x:c r="J276" s="7" t="n">
        <x:v>0.58</x:v>
      </x:c>
      <x:c r="K276" s="7" t="n">
        <x:v>2.62</x:v>
      </x:c>
      <x:c r="L276" s="7" t="n">
        <x:v>2.62</x:v>
      </x:c>
      <x:c r="M276" s="6" t="inlineStr">
        <x:is>
          <x:t xml:space="preserve">não iniciada</x:t>
        </x:is>
      </x:c>
      <x:c r="N276" s="6" t="n"/>
      <x:c r="O276" s="7" t="n">
        <x:v>-23.5165607</x:v>
      </x:c>
      <x:c r="P276" s="7" t="n">
        <x:v>-46.3920242</x:v>
      </x:c>
      <x:c r="Q276" s="7" t="n">
        <x:v>-23.5166258</x:v>
      </x:c>
      <x:c r="R276" s="7" t="n">
        <x:v>-46.3917807</x:v>
      </x:c>
    </x:row>
    <x:row r="277">
      <x:c r="A277" s="6" t="inlineStr">
        <x:is>
          <x:t xml:space="preserve">cts_jardim_lourdes</x:t>
        </x:is>
      </x:c>
      <x:c r="B277" s="6" t="inlineStr">
        <x:is>
          <x:t xml:space="preserve">CTS_-001</x:t>
        </x:is>
      </x:c>
      <x:c r="C277" s="6" t="inlineStr">
        <x:is>
          <x:t xml:space="preserve">PV-3 - PV-2</x:t>
        </x:is>
      </x:c>
      <x:c r="D277" s="6" t="inlineStr">
        <x:is>
          <x:t xml:space="preserve">PV-3</x:t>
        </x:is>
      </x:c>
      <x:c r="E277" s="6" t="inlineStr">
        <x:is>
          <x:t xml:space="preserve">PV-2</x:t>
        </x:is>
      </x:c>
      <x:c r="F277" s="6" t="inlineStr">
        <x:is>
          <x:t xml:space="preserve">PEAD</x:t>
        </x:is>
      </x:c>
      <x:c r="G277" s="6" t="n">
        <x:v>355</x:v>
      </x:c>
      <x:c r="H277" s="6" t="inlineStr">
        <x:is>
          <x:t xml:space="preserve">Método Não Destrutivo - MND</x:t>
        </x:is>
      </x:c>
      <x:c r="I277" s="7" t="n">
        <x:v>45.42</x:v>
      </x:c>
      <x:c r="J277" s="7" t="n">
        <x:v>4.43</x:v>
      </x:c>
      <x:c r="K277" s="7" t="n">
        <x:v>4.43</x:v>
      </x:c>
      <x:c r="L277" s="7" t="n">
        <x:v>4.43</x:v>
      </x:c>
      <x:c r="M277" s="6" t="inlineStr">
        <x:is>
          <x:t xml:space="preserve">não iniciada</x:t>
        </x:is>
      </x:c>
      <x:c r="N277" s="6" t="n"/>
      <x:c r="O277" s="7" t="n">
        <x:v>-23.5298254</x:v>
      </x:c>
      <x:c r="P277" s="7" t="n">
        <x:v>-46.3913999</x:v>
      </x:c>
      <x:c r="Q277" s="7" t="n">
        <x:v>-23.5300953</x:v>
      </x:c>
      <x:c r="R277" s="7" t="n">
        <x:v>-46.3917347</x:v>
      </x:c>
    </x:row>
    <x:row r="278">
      <x:c r="A278" s="6" t="inlineStr">
        <x:is>
          <x:t xml:space="preserve">cts_jardim_lourdes</x:t>
        </x:is>
      </x:c>
      <x:c r="B278" s="6" t="inlineStr">
        <x:is>
          <x:t xml:space="preserve">CTS_-002</x:t>
        </x:is>
      </x:c>
      <x:c r="C278" s="6" t="inlineStr">
        <x:is>
          <x:t xml:space="preserve">PV-4 - PV-3</x:t>
        </x:is>
      </x:c>
      <x:c r="D278" s="6" t="inlineStr">
        <x:is>
          <x:t xml:space="preserve">PV-4</x:t>
        </x:is>
      </x:c>
      <x:c r="E278" s="6" t="inlineStr">
        <x:is>
          <x:t xml:space="preserve">PV-3</x:t>
        </x:is>
      </x:c>
      <x:c r="F278" s="6" t="inlineStr">
        <x:is>
          <x:t xml:space="preserve">PEAD</x:t>
        </x:is>
      </x:c>
      <x:c r="G278" s="6" t="n">
        <x:v>355</x:v>
      </x:c>
      <x:c r="H278" s="6" t="inlineStr">
        <x:is>
          <x:t xml:space="preserve">Método Não Destrutivo - MND</x:t>
        </x:is>
      </x:c>
      <x:c r="I278" s="7" t="n">
        <x:v>69.2</x:v>
      </x:c>
      <x:c r="J278" s="7" t="n">
        <x:v>4.82</x:v>
      </x:c>
      <x:c r="K278" s="7" t="n">
        <x:v>4.43</x:v>
      </x:c>
      <x:c r="L278" s="7" t="n">
        <x:v>4.82</x:v>
      </x:c>
      <x:c r="M278" s="6" t="inlineStr">
        <x:is>
          <x:t xml:space="preserve">não iniciada</x:t>
        </x:is>
      </x:c>
      <x:c r="N278" s="6" t="n"/>
      <x:c r="O278" s="7" t="n">
        <x:v>-23.5294842</x:v>
      </x:c>
      <x:c r="P278" s="7" t="n">
        <x:v>-46.390832</x:v>
      </x:c>
      <x:c r="Q278" s="7" t="n">
        <x:v>-23.5298254</x:v>
      </x:c>
      <x:c r="R278" s="7" t="n">
        <x:v>-46.3913999</x:v>
      </x:c>
    </x:row>
    <x:row r="279">
      <x:c r="A279" s="6" t="inlineStr">
        <x:is>
          <x:t xml:space="preserve">cts_jardim_lourdes</x:t>
        </x:is>
      </x:c>
      <x:c r="B279" s="6" t="inlineStr">
        <x:is>
          <x:t xml:space="preserve">CTS_-003</x:t>
        </x:is>
      </x:c>
      <x:c r="C279" s="6" t="inlineStr">
        <x:is>
          <x:t xml:space="preserve">PV-41 - PV-4</x:t>
        </x:is>
      </x:c>
      <x:c r="D279" s="6" t="inlineStr">
        <x:is>
          <x:t xml:space="preserve">PV-41</x:t>
        </x:is>
      </x:c>
      <x:c r="E279" s="6" t="inlineStr">
        <x:is>
          <x:t xml:space="preserve">PV-4</x:t>
        </x:is>
      </x:c>
      <x:c r="F279" s="6" t="inlineStr">
        <x:is>
          <x:t xml:space="preserve">PEAD</x:t>
        </x:is>
      </x:c>
      <x:c r="G279" s="6" t="n">
        <x:v>355</x:v>
      </x:c>
      <x:c r="H279" s="6" t="inlineStr">
        <x:is>
          <x:t xml:space="preserve">Método Não Destrutivo - MND</x:t>
        </x:is>
      </x:c>
      <x:c r="I279" s="7" t="n">
        <x:v>13.53</x:v>
      </x:c>
      <x:c r="J279" s="7" t="n">
        <x:v>2.39</x:v>
      </x:c>
      <x:c r="K279" s="7" t="n">
        <x:v>4.82</x:v>
      </x:c>
      <x:c r="L279" s="7" t="n">
        <x:v>4.82</x:v>
      </x:c>
      <x:c r="M279" s="6" t="inlineStr">
        <x:is>
          <x:t xml:space="preserve">não iniciada</x:t>
        </x:is>
      </x:c>
      <x:c r="N279" s="6" t="n"/>
      <x:c r="O279" s="7" t="n">
        <x:v>-23.529378</x:v>
      </x:c>
      <x:c r="P279" s="7" t="n">
        <x:v>-46.3907665</x:v>
      </x:c>
      <x:c r="Q279" s="7" t="n">
        <x:v>-23.5294842</x:v>
      </x:c>
      <x:c r="R279" s="7" t="n">
        <x:v>-46.390832</x:v>
      </x:c>
    </x:row>
    <x:row r="280">
      <x:c r="A280" s="6" t="inlineStr">
        <x:is>
          <x:t xml:space="preserve">cts_jardim_lourdes</x:t>
        </x:is>
      </x:c>
      <x:c r="B280" s="6" t="inlineStr">
        <x:is>
          <x:t xml:space="preserve">CTS_-004</x:t>
        </x:is>
      </x:c>
      <x:c r="C280" s="6" t="inlineStr">
        <x:is>
          <x:t xml:space="preserve">PV-41 - PV-41</x:t>
        </x:is>
      </x:c>
      <x:c r="D280" s="6" t="inlineStr">
        <x:is>
          <x:t xml:space="preserve">PV-41</x:t>
        </x:is>
      </x:c>
      <x:c r="E280" s="6" t="inlineStr">
        <x:is>
          <x:t xml:space="preserve">PV-41</x:t>
        </x:is>
      </x:c>
      <x:c r="F280" s="6" t="inlineStr">
        <x:is>
          <x:t xml:space="preserve">PVC</x:t>
        </x:is>
      </x:c>
      <x:c r="G280" s="6" t="n">
        <x:v>300</x:v>
      </x:c>
      <x:c r="H280" s="6" t="inlineStr">
        <x:is>
          <x:t xml:space="preserve">Vala a Céu Aberto - VCA</x:t>
        </x:is>
      </x:c>
      <x:c r="I280" s="7" t="n">
        <x:v>3.58</x:v>
      </x:c>
      <x:c r="J280" s="7" t="n">
        <x:v>1.4</x:v>
      </x:c>
      <x:c r="K280" s="7" t="n">
        <x:v>2.02</x:v>
      </x:c>
      <x:c r="L280" s="7" t="n">
        <x:v>2.02</x:v>
      </x:c>
      <x:c r="M280" s="6" t="inlineStr">
        <x:is>
          <x:t xml:space="preserve">não iniciada</x:t>
        </x:is>
      </x:c>
      <x:c r="N280" s="6" t="n"/>
      <x:c r="O280" s="7" t="n">
        <x:v>-23.5293548</x:v>
      </x:c>
      <x:c r="P280" s="7" t="n">
        <x:v>-46.3907913</x:v>
      </x:c>
      <x:c r="Q280" s="7" t="n">
        <x:v>-23.529378</x:v>
      </x:c>
      <x:c r="R280" s="7" t="n">
        <x:v>-46.3907665</x:v>
      </x:c>
    </x:row>
    <x:row r="281">
      <x:c r="A281" s="6" t="inlineStr">
        <x:is>
          <x:t xml:space="preserve">cts_jardim_lourdes</x:t>
        </x:is>
      </x:c>
      <x:c r="B281" s="6" t="inlineStr">
        <x:is>
          <x:t xml:space="preserve">CTS_-005</x:t>
        </x:is>
      </x:c>
      <x:c r="C281" s="6" t="inlineStr">
        <x:is>
          <x:t xml:space="preserve">PV-5 - PV-4</x:t>
        </x:is>
      </x:c>
      <x:c r="D281" s="6" t="inlineStr">
        <x:is>
          <x:t xml:space="preserve">PV-5</x:t>
        </x:is>
      </x:c>
      <x:c r="E281" s="6" t="inlineStr">
        <x:is>
          <x:t xml:space="preserve">PV-4</x:t>
        </x:is>
      </x:c>
      <x:c r="F281" s="6" t="inlineStr">
        <x:is>
          <x:t xml:space="preserve">PEAD</x:t>
        </x:is>
      </x:c>
      <x:c r="G281" s="6" t="n">
        <x:v>355</x:v>
      </x:c>
      <x:c r="H281" s="6" t="inlineStr">
        <x:is>
          <x:t xml:space="preserve">Método Não Destrutivo - MND</x:t>
        </x:is>
      </x:c>
      <x:c r="I281" s="7" t="n">
        <x:v>24.28</x:v>
      </x:c>
      <x:c r="J281" s="7" t="n">
        <x:v>4.66</x:v>
      </x:c>
      <x:c r="K281" s="7" t="n">
        <x:v>4.59</x:v>
      </x:c>
      <x:c r="L281" s="7" t="n">
        <x:v>4.66</x:v>
      </x:c>
      <x:c r="M281" s="6" t="inlineStr">
        <x:is>
          <x:t xml:space="preserve">não iniciada</x:t>
        </x:is>
      </x:c>
      <x:c r="N281" s="6" t="n"/>
      <x:c r="O281" s="7" t="n">
        <x:v>-23.5295695</x:v>
      </x:c>
      <x:c r="P281" s="7" t="n">
        <x:v>-46.390613</x:v>
      </x:c>
      <x:c r="Q281" s="7" t="n">
        <x:v>-23.5294842</x:v>
      </x:c>
      <x:c r="R281" s="7" t="n">
        <x:v>-46.390832</x:v>
      </x:c>
    </x:row>
    <x:row r="282">
      <x:c r="A282" s="6" t="inlineStr">
        <x:is>
          <x:t xml:space="preserve">cts_jardim_lourdes</x:t>
        </x:is>
      </x:c>
      <x:c r="B282" s="6" t="inlineStr">
        <x:is>
          <x:t xml:space="preserve">CTS_-006</x:t>
        </x:is>
      </x:c>
      <x:c r="C282" s="6" t="inlineStr">
        <x:is>
          <x:t xml:space="preserve">PV-6 - PV-5</x:t>
        </x:is>
      </x:c>
      <x:c r="D282" s="6" t="inlineStr">
        <x:is>
          <x:t xml:space="preserve">PV-6</x:t>
        </x:is>
      </x:c>
      <x:c r="E282" s="6" t="inlineStr">
        <x:is>
          <x:t xml:space="preserve">PV-5</x:t>
        </x:is>
      </x:c>
      <x:c r="F282" s="6" t="inlineStr">
        <x:is>
          <x:t xml:space="preserve">PEAD</x:t>
        </x:is>
      </x:c>
      <x:c r="G282" s="6" t="n">
        <x:v>355</x:v>
      </x:c>
      <x:c r="H282" s="6" t="inlineStr">
        <x:is>
          <x:t xml:space="preserve">Método Não Destrutivo - MND</x:t>
        </x:is>
      </x:c>
      <x:c r="I282" s="7" t="n">
        <x:v>73.77</x:v>
      </x:c>
      <x:c r="J282" s="7" t="n">
        <x:v>4.78</x:v>
      </x:c>
      <x:c r="K282" s="7" t="n">
        <x:v>4.66</x:v>
      </x:c>
      <x:c r="L282" s="7" t="n">
        <x:v>4.78</x:v>
      </x:c>
      <x:c r="M282" s="6" t="inlineStr">
        <x:is>
          <x:t xml:space="preserve">não iniciada</x:t>
        </x:is>
      </x:c>
      <x:c r="N282" s="6" t="n"/>
      <x:c r="O282" s="7" t="n">
        <x:v>-23.5290011</x:v>
      </x:c>
      <x:c r="P282" s="7" t="n">
        <x:v>-46.3902343</x:v>
      </x:c>
      <x:c r="Q282" s="7" t="n">
        <x:v>-23.5295695</x:v>
      </x:c>
      <x:c r="R282" s="7" t="n">
        <x:v>-46.390613</x:v>
      </x:c>
    </x:row>
    <x:row r="283">
      <x:c r="A283" s="6" t="inlineStr">
        <x:is>
          <x:t xml:space="preserve">cts_jardim_lourdes</x:t>
        </x:is>
      </x:c>
      <x:c r="B283" s="6" t="inlineStr">
        <x:is>
          <x:t xml:space="preserve">CTS_-007</x:t>
        </x:is>
      </x:c>
      <x:c r="C283" s="6" t="inlineStr">
        <x:is>
          <x:t xml:space="preserve">PV-7 - PV-6</x:t>
        </x:is>
      </x:c>
      <x:c r="D283" s="6" t="inlineStr">
        <x:is>
          <x:t xml:space="preserve">PV-7</x:t>
        </x:is>
      </x:c>
      <x:c r="E283" s="6" t="inlineStr">
        <x:is>
          <x:t xml:space="preserve">PV-6</x:t>
        </x:is>
      </x:c>
      <x:c r="F283" s="6" t="inlineStr">
        <x:is>
          <x:t xml:space="preserve">PEAD</x:t>
        </x:is>
      </x:c>
      <x:c r="G283" s="6" t="n">
        <x:v>355</x:v>
      </x:c>
      <x:c r="H283" s="6" t="inlineStr">
        <x:is>
          <x:t xml:space="preserve">Método Não Destrutivo - MND</x:t>
        </x:is>
      </x:c>
      <x:c r="I283" s="7" t="n">
        <x:v>77.12</x:v>
      </x:c>
      <x:c r="J283" s="7" t="n">
        <x:v>4.63</x:v>
      </x:c>
      <x:c r="K283" s="7" t="n">
        <x:v>4.78</x:v>
      </x:c>
      <x:c r="L283" s="7" t="n">
        <x:v>4.78</x:v>
      </x:c>
      <x:c r="M283" s="6" t="inlineStr">
        <x:is>
          <x:t xml:space="preserve">não iniciada</x:t>
        </x:is>
      </x:c>
      <x:c r="N283" s="6" t="n"/>
      <x:c r="O283" s="7" t="n">
        <x:v>-23.5284043</x:v>
      </x:c>
      <x:c r="P283" s="7" t="n">
        <x:v>-46.3898469</x:v>
      </x:c>
      <x:c r="Q283" s="7" t="n">
        <x:v>-23.5290011</x:v>
      </x:c>
      <x:c r="R283" s="7" t="n">
        <x:v>-46.3902343</x:v>
      </x:c>
    </x:row>
    <x:row r="284">
      <x:c r="A284" s="6" t="inlineStr">
        <x:is>
          <x:t xml:space="preserve">cts_jardim_lourdes</x:t>
        </x:is>
      </x:c>
      <x:c r="B284" s="6" t="inlineStr">
        <x:is>
          <x:t xml:space="preserve">CTS_-008</x:t>
        </x:is>
      </x:c>
      <x:c r="C284" s="6" t="inlineStr">
        <x:is>
          <x:t xml:space="preserve">PV-8 - PV-7</x:t>
        </x:is>
      </x:c>
      <x:c r="D284" s="6" t="inlineStr">
        <x:is>
          <x:t xml:space="preserve">PV-8</x:t>
        </x:is>
      </x:c>
      <x:c r="E284" s="6" t="inlineStr">
        <x:is>
          <x:t xml:space="preserve">PV-7</x:t>
        </x:is>
      </x:c>
      <x:c r="F284" s="6" t="inlineStr">
        <x:is>
          <x:t xml:space="preserve">PEAD</x:t>
        </x:is>
      </x:c>
      <x:c r="G284" s="6" t="n">
        <x:v>355</x:v>
      </x:c>
      <x:c r="H284" s="6" t="inlineStr">
        <x:is>
          <x:t xml:space="preserve">Método Não Destrutivo - MND</x:t>
        </x:is>
      </x:c>
      <x:c r="I284" s="7" t="n">
        <x:v>65.92</x:v>
      </x:c>
      <x:c r="J284" s="7" t="n">
        <x:v>4.58</x:v>
      </x:c>
      <x:c r="K284" s="7" t="n">
        <x:v>4.63</x:v>
      </x:c>
      <x:c r="L284" s="7" t="n">
        <x:v>4.63</x:v>
      </x:c>
      <x:c r="M284" s="6" t="inlineStr">
        <x:is>
          <x:t xml:space="preserve">não iniciada</x:t>
        </x:is>
      </x:c>
      <x:c r="N284" s="6" t="n"/>
      <x:c r="O284" s="7" t="n">
        <x:v>-23.5279144</x:v>
      </x:c>
      <x:c r="P284" s="7" t="n">
        <x:v>-46.3894801</x:v>
      </x:c>
      <x:c r="Q284" s="7" t="n">
        <x:v>-23.5284043</x:v>
      </x:c>
      <x:c r="R284" s="7" t="n">
        <x:v>-46.3898469</x:v>
      </x:c>
    </x:row>
    <x:row r="285">
      <x:c r="A285" s="6" t="inlineStr">
        <x:is>
          <x:t xml:space="preserve">cts_jardim_lourdes</x:t>
        </x:is>
      </x:c>
      <x:c r="B285" s="6" t="inlineStr">
        <x:is>
          <x:t xml:space="preserve">CTS_-009</x:t>
        </x:is>
      </x:c>
      <x:c r="C285" s="6" t="inlineStr">
        <x:is>
          <x:t xml:space="preserve">PV-10 - PV-8</x:t>
        </x:is>
      </x:c>
      <x:c r="D285" s="6" t="inlineStr">
        <x:is>
          <x:t xml:space="preserve">PV-10</x:t>
        </x:is>
      </x:c>
      <x:c r="E285" s="6" t="inlineStr">
        <x:is>
          <x:t xml:space="preserve">PV-8</x:t>
        </x:is>
      </x:c>
      <x:c r="F285" s="6" t="inlineStr">
        <x:is>
          <x:t xml:space="preserve">PEAD</x:t>
        </x:is>
      </x:c>
      <x:c r="G285" s="6" t="n">
        <x:v>355</x:v>
      </x:c>
      <x:c r="H285" s="6" t="inlineStr">
        <x:is>
          <x:t xml:space="preserve">Método Não Destrutivo - MND</x:t>
        </x:is>
      </x:c>
      <x:c r="I285" s="7" t="n">
        <x:v>70.79000000000001</x:v>
      </x:c>
      <x:c r="J285" s="7" t="n">
        <x:v>3.13</x:v>
      </x:c>
      <x:c r="K285" s="7" t="n">
        <x:v>4.58</x:v>
      </x:c>
      <x:c r="L285" s="7" t="n">
        <x:v>4.58</x:v>
      </x:c>
      <x:c r="M285" s="6" t="inlineStr">
        <x:is>
          <x:t xml:space="preserve">não iniciada</x:t>
        </x:is>
      </x:c>
      <x:c r="N285" s="6" t="n"/>
      <x:c r="O285" s="7" t="n">
        <x:v>-23.5273844</x:v>
      </x:c>
      <x:c r="P285" s="7" t="n">
        <x:v>-46.3890924</x:v>
      </x:c>
      <x:c r="Q285" s="7" t="n">
        <x:v>-23.5279144</x:v>
      </x:c>
      <x:c r="R285" s="7" t="n">
        <x:v>-46.3894801</x:v>
      </x:c>
    </x:row>
    <x:row r="286">
      <x:c r="A286" s="6" t="inlineStr">
        <x:is>
          <x:t xml:space="preserve">cts_jardim_lourdes</x:t>
        </x:is>
      </x:c>
      <x:c r="B286" s="6" t="inlineStr">
        <x:is>
          <x:t xml:space="preserve">CTS_-010</x:t>
        </x:is>
      </x:c>
      <x:c r="C286" s="6" t="inlineStr">
        <x:is>
          <x:t xml:space="preserve">PV-12 - PV-10</x:t>
        </x:is>
      </x:c>
      <x:c r="D286" s="6" t="inlineStr">
        <x:is>
          <x:t xml:space="preserve">PV-12</x:t>
        </x:is>
      </x:c>
      <x:c r="E286" s="6" t="inlineStr">
        <x:is>
          <x:t xml:space="preserve">PV-10</x:t>
        </x:is>
      </x:c>
      <x:c r="F286" s="6" t="inlineStr">
        <x:is>
          <x:t xml:space="preserve">PEAD</x:t>
        </x:is>
      </x:c>
      <x:c r="G286" s="6" t="n">
        <x:v>355</x:v>
      </x:c>
      <x:c r="H286" s="6" t="inlineStr">
        <x:is>
          <x:t xml:space="preserve">Método Não Destrutivo - MND</x:t>
        </x:is>
      </x:c>
      <x:c r="I286" s="7" t="n">
        <x:v>55.26</x:v>
      </x:c>
      <x:c r="J286" s="7" t="n">
        <x:v>3.21</x:v>
      </x:c>
      <x:c r="K286" s="7" t="n">
        <x:v>3.13</x:v>
      </x:c>
      <x:c r="L286" s="7" t="n">
        <x:v>3.21</x:v>
      </x:c>
      <x:c r="M286" s="6" t="inlineStr">
        <x:is>
          <x:t xml:space="preserve">não iniciada</x:t>
        </x:is>
      </x:c>
      <x:c r="N286" s="6" t="n"/>
      <x:c r="O286" s="7" t="n">
        <x:v>-23.5270608</x:v>
      </x:c>
      <x:c r="P286" s="7" t="n">
        <x:v>-46.3886768</x:v>
      </x:c>
      <x:c r="Q286" s="7" t="n">
        <x:v>-23.5273844</x:v>
      </x:c>
      <x:c r="R286" s="7" t="n">
        <x:v>-46.3890924</x:v>
      </x:c>
    </x:row>
    <x:row r="287">
      <x:c r="A287" s="6" t="inlineStr">
        <x:is>
          <x:t xml:space="preserve">cts_jardim_lourdes</x:t>
        </x:is>
      </x:c>
      <x:c r="B287" s="6" t="inlineStr">
        <x:is>
          <x:t xml:space="preserve">CTS_-011</x:t>
        </x:is>
      </x:c>
      <x:c r="C287" s="6" t="inlineStr">
        <x:is>
          <x:t xml:space="preserve">PV-13 - PV-12</x:t>
        </x:is>
      </x:c>
      <x:c r="D287" s="6" t="inlineStr">
        <x:is>
          <x:t xml:space="preserve">PV-13</x:t>
        </x:is>
      </x:c>
      <x:c r="E287" s="6" t="inlineStr">
        <x:is>
          <x:t xml:space="preserve">PV-12</x:t>
        </x:is>
      </x:c>
      <x:c r="F287" s="6" t="inlineStr">
        <x:is>
          <x:t xml:space="preserve">PEAD</x:t>
        </x:is>
      </x:c>
      <x:c r="G287" s="6" t="n">
        <x:v>355</x:v>
      </x:c>
      <x:c r="H287" s="6" t="inlineStr">
        <x:is>
          <x:t xml:space="preserve">Método Não Destrutivo - MND</x:t>
        </x:is>
      </x:c>
      <x:c r="I287" s="7" t="n">
        <x:v>33.48</x:v>
      </x:c>
      <x:c r="J287" s="7" t="n">
        <x:v>3.4</x:v>
      </x:c>
      <x:c r="K287" s="7" t="n">
        <x:v>3.21</x:v>
      </x:c>
      <x:c r="L287" s="7" t="n">
        <x:v>3.4</x:v>
      </x:c>
      <x:c r="M287" s="6" t="inlineStr">
        <x:is>
          <x:t xml:space="preserve">não iniciada</x:t>
        </x:is>
      </x:c>
      <x:c r="N287" s="6" t="n"/>
      <x:c r="O287" s="7" t="n">
        <x:v>-23.5268627</x:v>
      </x:c>
      <x:c r="P287" s="7" t="n">
        <x:v>-46.3884329</x:v>
      </x:c>
      <x:c r="Q287" s="7" t="n">
        <x:v>-23.5270608</x:v>
      </x:c>
      <x:c r="R287" s="7" t="n">
        <x:v>-46.3886768</x:v>
      </x:c>
    </x:row>
    <x:row r="288">
      <x:c r="A288" s="6" t="inlineStr">
        <x:is>
          <x:t xml:space="preserve">cts_jardim_lourdes</x:t>
        </x:is>
      </x:c>
      <x:c r="B288" s="6" t="inlineStr">
        <x:is>
          <x:t xml:space="preserve">CTS_-012</x:t>
        </x:is>
      </x:c>
      <x:c r="C288" s="6" t="inlineStr">
        <x:is>
          <x:t xml:space="preserve">PV-21 - PV-20</x:t>
        </x:is>
      </x:c>
      <x:c r="D288" s="6" t="inlineStr">
        <x:is>
          <x:t xml:space="preserve">PV-21</x:t>
        </x:is>
      </x:c>
      <x:c r="E288" s="6" t="inlineStr">
        <x:is>
          <x:t xml:space="preserve">PV-20</x:t>
        </x:is>
      </x:c>
      <x:c r="F288" s="6" t="inlineStr">
        <x:is>
          <x:t xml:space="preserve">PEAD</x:t>
        </x:is>
      </x:c>
      <x:c r="G288" s="6" t="n">
        <x:v>355</x:v>
      </x:c>
      <x:c r="H288" s="6" t="inlineStr">
        <x:is>
          <x:t xml:space="preserve">Método Não Destrutivo - MND</x:t>
        </x:is>
      </x:c>
      <x:c r="I288" s="7" t="n">
        <x:v>76.55</x:v>
      </x:c>
      <x:c r="J288" s="7" t="n">
        <x:v>5.58</x:v>
      </x:c>
      <x:c r="K288" s="7" t="n">
        <x:v>6.08</x:v>
      </x:c>
      <x:c r="L288" s="7" t="n">
        <x:v>6.08</x:v>
      </x:c>
      <x:c r="M288" s="6" t="inlineStr">
        <x:is>
          <x:t xml:space="preserve">não iniciada</x:t>
        </x:is>
      </x:c>
      <x:c r="N288" s="6" t="n"/>
      <x:c r="O288" s="7" t="n">
        <x:v>-23.5254224</x:v>
      </x:c>
      <x:c r="P288" s="7" t="n">
        <x:v>-46.3859675</x:v>
      </x:c>
      <x:c r="Q288" s="7" t="n">
        <x:v>-23.5259888</x:v>
      </x:c>
      <x:c r="R288" s="7" t="n">
        <x:v>-46.3863973</x:v>
      </x:c>
    </x:row>
    <x:row r="289">
      <x:c r="A289" s="6" t="inlineStr">
        <x:is>
          <x:t xml:space="preserve">cts_jardim_lourdes</x:t>
        </x:is>
      </x:c>
      <x:c r="B289" s="6" t="inlineStr">
        <x:is>
          <x:t xml:space="preserve">CTS_-013</x:t>
        </x:is>
      </x:c>
      <x:c r="C289" s="6" t="inlineStr">
        <x:is>
          <x:t xml:space="preserve">PV-20 - PV-17</x:t>
        </x:is>
      </x:c>
      <x:c r="D289" s="6" t="inlineStr">
        <x:is>
          <x:t xml:space="preserve">PV-20</x:t>
        </x:is>
      </x:c>
      <x:c r="E289" s="6" t="inlineStr">
        <x:is>
          <x:t xml:space="preserve">PV-17</x:t>
        </x:is>
      </x:c>
      <x:c r="F289" s="6" t="inlineStr">
        <x:is>
          <x:t xml:space="preserve">PEAD</x:t>
        </x:is>
      </x:c>
      <x:c r="G289" s="6" t="n">
        <x:v>355</x:v>
      </x:c>
      <x:c r="H289" s="6" t="inlineStr">
        <x:is>
          <x:t xml:space="preserve">Método Não Destrutivo - MND</x:t>
        </x:is>
      </x:c>
      <x:c r="I289" s="7" t="n">
        <x:v>99.27</x:v>
      </x:c>
      <x:c r="J289" s="7" t="n">
        <x:v>6.08</x:v>
      </x:c>
      <x:c r="K289" s="7" t="n">
        <x:v>6.44</x:v>
      </x:c>
      <x:c r="L289" s="7" t="n">
        <x:v>6.44</x:v>
      </x:c>
      <x:c r="M289" s="6" t="inlineStr">
        <x:is>
          <x:t xml:space="preserve">não iniciada</x:t>
        </x:is>
      </x:c>
      <x:c r="N289" s="6" t="n"/>
      <x:c r="O289" s="7" t="n">
        <x:v>-23.5259888</x:v>
      </x:c>
      <x:c r="P289" s="7" t="n">
        <x:v>-46.3863973</x:v>
      </x:c>
      <x:c r="Q289" s="7" t="n">
        <x:v>-23.5265509</x:v>
      </x:c>
      <x:c r="R289" s="7" t="n">
        <x:v>-46.3871546</x:v>
      </x:c>
    </x:row>
    <x:row r="290">
      <x:c r="A290" s="6" t="inlineStr">
        <x:is>
          <x:t xml:space="preserve">cts_jardim_lourdes</x:t>
        </x:is>
      </x:c>
      <x:c r="B290" s="6" t="inlineStr">
        <x:is>
          <x:t xml:space="preserve">CTS_-014</x:t>
        </x:is>
      </x:c>
      <x:c r="C290" s="6" t="inlineStr">
        <x:is>
          <x:t xml:space="preserve">PV-17 - PV-14</x:t>
        </x:is>
      </x:c>
      <x:c r="D290" s="6" t="inlineStr">
        <x:is>
          <x:t xml:space="preserve">PV-17</x:t>
        </x:is>
      </x:c>
      <x:c r="E290" s="6" t="inlineStr">
        <x:is>
          <x:t xml:space="preserve">PV-14</x:t>
        </x:is>
      </x:c>
      <x:c r="F290" s="6" t="inlineStr">
        <x:is>
          <x:t xml:space="preserve">PEAD</x:t>
        </x:is>
      </x:c>
      <x:c r="G290" s="6" t="n">
        <x:v>355</x:v>
      </x:c>
      <x:c r="H290" s="6" t="inlineStr">
        <x:is>
          <x:t xml:space="preserve">Método Não Destrutivo - MND</x:t>
        </x:is>
      </x:c>
      <x:c r="I290" s="7" t="n">
        <x:v>80.09999999999999</x:v>
      </x:c>
      <x:c r="J290" s="7" t="n">
        <x:v>6.53</x:v>
      </x:c>
      <x:c r="K290" s="7" t="n">
        <x:v>3.97</x:v>
      </x:c>
      <x:c r="L290" s="7" t="n">
        <x:v>6.53</x:v>
      </x:c>
      <x:c r="M290" s="6" t="inlineStr">
        <x:is>
          <x:t xml:space="preserve">não iniciada</x:t>
        </x:is>
      </x:c>
      <x:c r="N290" s="6" t="n"/>
      <x:c r="O290" s="7" t="n">
        <x:v>-23.5265509</x:v>
      </x:c>
      <x:c r="P290" s="7" t="n">
        <x:v>-46.3871546</x:v>
      </x:c>
      <x:c r="Q290" s="7" t="n">
        <x:v>-23.5264823</x:v>
      </x:c>
      <x:c r="R290" s="7" t="n">
        <x:v>-46.3879375</x:v>
      </x:c>
    </x:row>
    <x:row r="291">
      <x:c r="A291" s="6" t="inlineStr">
        <x:is>
          <x:t xml:space="preserve">cts_jardim_lourdes</x:t>
        </x:is>
      </x:c>
      <x:c r="B291" s="6" t="inlineStr">
        <x:is>
          <x:t xml:space="preserve">CTS_-015</x:t>
        </x:is>
      </x:c>
      <x:c r="C291" s="6" t="inlineStr">
        <x:is>
          <x:t xml:space="preserve">PV-23 - PV-21</x:t>
        </x:is>
      </x:c>
      <x:c r="D291" s="6" t="inlineStr">
        <x:is>
          <x:t xml:space="preserve">PV-23</x:t>
        </x:is>
      </x:c>
      <x:c r="E291" s="6" t="inlineStr">
        <x:is>
          <x:t xml:space="preserve">PV-21</x:t>
        </x:is>
      </x:c>
      <x:c r="F291" s="6" t="inlineStr">
        <x:is>
          <x:t xml:space="preserve">PEAD</x:t>
        </x:is>
      </x:c>
      <x:c r="G291" s="6" t="n">
        <x:v>355</x:v>
      </x:c>
      <x:c r="H291" s="6" t="inlineStr">
        <x:is>
          <x:t xml:space="preserve">Método Não Destrutivo - MND</x:t>
        </x:is>
      </x:c>
      <x:c r="I291" s="7" t="n">
        <x:v>32.6</x:v>
      </x:c>
      <x:c r="J291" s="7" t="n">
        <x:v>2.15</x:v>
      </x:c>
      <x:c r="K291" s="7" t="n">
        <x:v>5.58</x:v>
      </x:c>
      <x:c r="L291" s="7" t="n">
        <x:v>5.58</x:v>
      </x:c>
      <x:c r="M291" s="6" t="inlineStr">
        <x:is>
          <x:t xml:space="preserve">não iniciada</x:t>
        </x:is>
      </x:c>
      <x:c r="N291" s="6" t="n"/>
      <x:c r="O291" s="7" t="n">
        <x:v>-23.5252343</x:v>
      </x:c>
      <x:c r="P291" s="7" t="n">
        <x:v>-46.3862132</x:v>
      </x:c>
      <x:c r="Q291" s="7" t="n">
        <x:v>-23.5254224</x:v>
      </x:c>
      <x:c r="R291" s="7" t="n">
        <x:v>-46.3859675</x:v>
      </x:c>
    </x:row>
    <x:row r="292">
      <x:c r="A292" s="6" t="inlineStr">
        <x:is>
          <x:t xml:space="preserve">cts_jardim_lourdes</x:t>
        </x:is>
      </x:c>
      <x:c r="B292" s="6" t="inlineStr">
        <x:is>
          <x:t xml:space="preserve">CTS_-016</x:t>
        </x:is>
      </x:c>
      <x:c r="C292" s="6" t="inlineStr">
        <x:is>
          <x:t xml:space="preserve">PV-24 - PV-23</x:t>
        </x:is>
      </x:c>
      <x:c r="D292" s="6" t="inlineStr">
        <x:is>
          <x:t xml:space="preserve">PV-24</x:t>
        </x:is>
      </x:c>
      <x:c r="E292" s="6" t="inlineStr">
        <x:is>
          <x:t xml:space="preserve">PV-23</x:t>
        </x:is>
      </x:c>
      <x:c r="F292" s="6" t="inlineStr">
        <x:is>
          <x:t xml:space="preserve">PVC</x:t>
        </x:is>
      </x:c>
      <x:c r="G292" s="6" t="n">
        <x:v>300</x:v>
      </x:c>
      <x:c r="H292" s="6" t="inlineStr">
        <x:is>
          <x:t xml:space="preserve">Vala a Céu Aberto - VCA</x:t>
        </x:is>
      </x:c>
      <x:c r="I292" s="7" t="n">
        <x:v>12.66</x:v>
      </x:c>
      <x:c r="J292" s="7" t="n">
        <x:v>0.86</x:v>
      </x:c>
      <x:c r="K292" s="7" t="n">
        <x:v>1.98</x:v>
      </x:c>
      <x:c r="L292" s="7" t="n">
        <x:v>1.98</x:v>
      </x:c>
      <x:c r="M292" s="6" t="inlineStr">
        <x:is>
          <x:t xml:space="preserve">não iniciada</x:t>
        </x:is>
      </x:c>
      <x:c r="N292" s="6" t="n"/>
      <x:c r="O292" s="7" t="n">
        <x:v>-23.5253024</x:v>
      </x:c>
      <x:c r="P292" s="7" t="n">
        <x:v>-46.3863128</x:v>
      </x:c>
      <x:c r="Q292" s="7" t="n">
        <x:v>-23.5252343</x:v>
      </x:c>
      <x:c r="R292" s="7" t="n">
        <x:v>-46.3862132</x:v>
      </x:c>
    </x:row>
    <x:row r="293">
      <x:c r="A293" s="6" t="inlineStr">
        <x:is>
          <x:t xml:space="preserve">cts_jardim_lourdes</x:t>
        </x:is>
      </x:c>
      <x:c r="B293" s="6" t="inlineStr">
        <x:is>
          <x:t xml:space="preserve">CTS_-017</x:t>
        </x:is>
      </x:c>
      <x:c r="C293" s="6" t="inlineStr">
        <x:is>
          <x:t xml:space="preserve">PV-25 - PV-24</x:t>
        </x:is>
      </x:c>
      <x:c r="D293" s="6" t="inlineStr">
        <x:is>
          <x:t xml:space="preserve">PV-25</x:t>
        </x:is>
      </x:c>
      <x:c r="E293" s="6" t="inlineStr">
        <x:is>
          <x:t xml:space="preserve">PV-24</x:t>
        </x:is>
      </x:c>
      <x:c r="F293" s="6" t="inlineStr">
        <x:is>
          <x:t xml:space="preserve">PVC</x:t>
        </x:is>
      </x:c>
      <x:c r="G293" s="6" t="n">
        <x:v>300</x:v>
      </x:c>
      <x:c r="H293" s="6" t="inlineStr">
        <x:is>
          <x:t xml:space="preserve">Vala a Céu Aberto - VCA</x:t>
        </x:is>
      </x:c>
      <x:c r="I293" s="7" t="n">
        <x:v>33.39</x:v>
      </x:c>
      <x:c r="J293" s="7" t="n">
        <x:v>2.15</x:v>
      </x:c>
      <x:c r="K293" s="7" t="n">
        <x:v>0.86</x:v>
      </x:c>
      <x:c r="L293" s="7" t="n">
        <x:v>2.15</x:v>
      </x:c>
      <x:c r="M293" s="6" t="inlineStr">
        <x:is>
          <x:t xml:space="preserve">não iniciada</x:t>
        </x:is>
      </x:c>
      <x:c r="N293" s="6" t="n"/>
      <x:c r="O293" s="7" t="n">
        <x:v>-23.5254719</x:v>
      </x:c>
      <x:c r="P293" s="7" t="n">
        <x:v>-46.3865833</x:v>
      </x:c>
      <x:c r="Q293" s="7" t="n">
        <x:v>-23.5253024</x:v>
      </x:c>
      <x:c r="R293" s="7" t="n">
        <x:v>-46.3863129</x:v>
      </x:c>
    </x:row>
    <x:row r="294">
      <x:c r="A294" s="6" t="inlineStr">
        <x:is>
          <x:t xml:space="preserve">cts_jardim_lourdes</x:t>
        </x:is>
      </x:c>
      <x:c r="B294" s="6" t="inlineStr">
        <x:is>
          <x:t xml:space="preserve">CTS_-018</x:t>
        </x:is>
      </x:c>
      <x:c r="C294" s="6" t="inlineStr">
        <x:is>
          <x:t xml:space="preserve">PV-251 - PV-25</x:t>
        </x:is>
      </x:c>
      <x:c r="D294" s="6" t="inlineStr">
        <x:is>
          <x:t xml:space="preserve">PV-251</x:t>
        </x:is>
      </x:c>
      <x:c r="E294" s="6" t="inlineStr">
        <x:is>
          <x:t xml:space="preserve">PV-25</x:t>
        </x:is>
      </x:c>
      <x:c r="F294" s="6" t="inlineStr">
        <x:is>
          <x:t xml:space="preserve">PVC</x:t>
        </x:is>
      </x:c>
      <x:c r="G294" s="6" t="n">
        <x:v>300</x:v>
      </x:c>
      <x:c r="H294" s="6" t="inlineStr">
        <x:is>
          <x:t xml:space="preserve">Vala a Céu Aberto - VCA</x:t>
        </x:is>
      </x:c>
      <x:c r="I294" s="7" t="n">
        <x:v>5</x:v>
      </x:c>
      <x:c r="J294" s="7" t="n">
        <x:v>1.6</x:v>
      </x:c>
      <x:c r="K294" s="7" t="n">
        <x:v>2.15</x:v>
      </x:c>
      <x:c r="L294" s="7" t="n">
        <x:v>2.15</x:v>
      </x:c>
      <x:c r="M294" s="6" t="inlineStr">
        <x:is>
          <x:t xml:space="preserve">não iniciada</x:t>
        </x:is>
      </x:c>
      <x:c r="N294" s="6" t="n"/>
      <x:c r="O294" s="7" t="n">
        <x:v>-23.5255137</x:v>
      </x:c>
      <x:c r="P294" s="7" t="n">
        <x:v>-46.3866017</x:v>
      </x:c>
      <x:c r="Q294" s="7" t="n">
        <x:v>-23.5254719</x:v>
      </x:c>
      <x:c r="R294" s="7" t="n">
        <x:v>-46.3865833</x:v>
      </x:c>
    </x:row>
    <x:row r="295">
      <x:c r="A295" s="6" t="inlineStr">
        <x:is>
          <x:t xml:space="preserve">cts_jardim_lourdes</x:t>
        </x:is>
      </x:c>
      <x:c r="B295" s="6" t="inlineStr">
        <x:is>
          <x:t xml:space="preserve">CTS_-019</x:t>
        </x:is>
      </x:c>
      <x:c r="C295" s="6" t="inlineStr">
        <x:is>
          <x:t xml:space="preserve">PV-2 - PT-001</x:t>
        </x:is>
      </x:c>
      <x:c r="D295" s="6" t="inlineStr">
        <x:is>
          <x:t xml:space="preserve">PV-2</x:t>
        </x:is>
      </x:c>
      <x:c r="E295" s="6" t="inlineStr">
        <x:is>
          <x:t xml:space="preserve">PT-001</x:t>
        </x:is>
      </x:c>
      <x:c r="F295" s="6" t="inlineStr">
        <x:is>
          <x:t xml:space="preserve">PEAD</x:t>
        </x:is>
      </x:c>
      <x:c r="G295" s="6" t="n">
        <x:v>355</x:v>
      </x:c>
      <x:c r="H295" s="6" t="inlineStr">
        <x:is>
          <x:t xml:space="preserve">Método Não Destrutivo - MND</x:t>
        </x:is>
      </x:c>
      <x:c r="I295" s="7" t="n">
        <x:v>55.7</x:v>
      </x:c>
      <x:c r="J295" s="7" t="n">
        <x:v>4.43</x:v>
      </x:c>
      <x:c r="K295" s="7" t="n">
        <x:v>2.44</x:v>
      </x:c>
      <x:c r="L295" s="7" t="n">
        <x:v>4.43</x:v>
      </x:c>
      <x:c r="M295" s="6" t="inlineStr">
        <x:is>
          <x:t xml:space="preserve">não iniciada</x:t>
        </x:is>
      </x:c>
      <x:c r="N295" s="6" t="n"/>
      <x:c r="O295" s="7" t="n">
        <x:v>-23.5300953</x:v>
      </x:c>
      <x:c r="P295" s="7" t="n">
        <x:v>-46.3917347</x:v>
      </x:c>
      <x:c r="Q295" s="7" t="n">
        <x:v>-23.5303862</x:v>
      </x:c>
      <x:c r="R295" s="7" t="n">
        <x:v>-46.3921796</x:v>
      </x:c>
    </x:row>
    <x:row r="296">
      <x:c r="A296" s="6" t="inlineStr">
        <x:is>
          <x:t xml:space="preserve">cts_jardim_lourdes</x:t>
        </x:is>
      </x:c>
      <x:c r="B296" s="6" t="inlineStr">
        <x:is>
          <x:t xml:space="preserve">CTS_-020</x:t>
        </x:is>
      </x:c>
      <x:c r="C296" s="6" t="inlineStr">
        <x:is>
          <x:t xml:space="preserve">PV-14 - PV-13</x:t>
        </x:is>
      </x:c>
      <x:c r="D296" s="6" t="inlineStr">
        <x:is>
          <x:t xml:space="preserve">PV-14</x:t>
        </x:is>
      </x:c>
      <x:c r="E296" s="6" t="inlineStr">
        <x:is>
          <x:t xml:space="preserve">PV-13</x:t>
        </x:is>
      </x:c>
      <x:c r="F296" s="6" t="inlineStr">
        <x:is>
          <x:t xml:space="preserve">PEAD</x:t>
        </x:is>
      </x:c>
      <x:c r="G296" s="6" t="n">
        <x:v>355</x:v>
      </x:c>
      <x:c r="H296" s="6" t="inlineStr">
        <x:is>
          <x:t xml:space="preserve">Método Não Destrutivo - MND</x:t>
        </x:is>
      </x:c>
      <x:c r="I296" s="7" t="n">
        <x:v>65.86</x:v>
      </x:c>
      <x:c r="J296" s="7" t="n">
        <x:v>3.97</x:v>
      </x:c>
      <x:c r="K296" s="7" t="n">
        <x:v>3.27</x:v>
      </x:c>
      <x:c r="L296" s="7" t="n">
        <x:v>3.97</x:v>
      </x:c>
      <x:c r="M296" s="6" t="inlineStr">
        <x:is>
          <x:t xml:space="preserve">não iniciada</x:t>
        </x:is>
      </x:c>
      <x:c r="N296" s="6" t="n"/>
      <x:c r="O296" s="7" t="n">
        <x:v>-23.5264823</x:v>
      </x:c>
      <x:c r="P296" s="7" t="n">
        <x:v>-46.3879375</x:v>
      </x:c>
      <x:c r="Q296" s="7" t="n">
        <x:v>-23.5268627</x:v>
      </x:c>
      <x:c r="R296" s="7" t="n">
        <x:v>-46.3884329</x:v>
      </x:c>
    </x:row>
    <x:row r="297">
      <x:c r="A297" s="6" t="inlineStr">
        <x:is>
          <x:t xml:space="preserve">cts_jardim_lourdes</x:t>
        </x:is>
      </x:c>
      <x:c r="B297" s="6" t="inlineStr">
        <x:is>
          <x:t xml:space="preserve">CTS_-021</x:t>
        </x:is>
      </x:c>
      <x:c r="C297" s="6" t="inlineStr">
        <x:is>
          <x:t xml:space="preserve">PV-121 - PV-12</x:t>
        </x:is>
      </x:c>
      <x:c r="D297" s="6" t="inlineStr">
        <x:is>
          <x:t xml:space="preserve">PV-121</x:t>
        </x:is>
      </x:c>
      <x:c r="E297" s="6" t="inlineStr">
        <x:is>
          <x:t xml:space="preserve">PV-12</x:t>
        </x:is>
      </x:c>
      <x:c r="F297" s="6" t="inlineStr">
        <x:is>
          <x:t xml:space="preserve">PVC</x:t>
        </x:is>
      </x:c>
      <x:c r="G297" s="6" t="n">
        <x:v>300</x:v>
      </x:c>
      <x:c r="H297" s="6" t="inlineStr">
        <x:is>
          <x:t xml:space="preserve">Vala a Céu Aberto - VCA</x:t>
        </x:is>
      </x:c>
      <x:c r="I297" s="7" t="n">
        <x:v>13.17</x:v>
      </x:c>
      <x:c r="J297" s="7" t="n">
        <x:v>1.85</x:v>
      </x:c>
      <x:c r="K297" s="7" t="n">
        <x:v>2.69</x:v>
      </x:c>
      <x:c r="L297" s="7" t="n">
        <x:v>2.69</x:v>
      </x:c>
      <x:c r="M297" s="6" t="inlineStr">
        <x:is>
          <x:t xml:space="preserve">não iniciada</x:t>
        </x:is>
      </x:c>
      <x:c r="N297" s="6" t="n"/>
      <x:c r="O297" s="7" t="n">
        <x:v>-23.5269923</x:v>
      </x:c>
      <x:c r="P297" s="7" t="n">
        <x:v>-46.3885745</x:v>
      </x:c>
      <x:c r="Q297" s="7" t="n">
        <x:v>-23.5270608</x:v>
      </x:c>
      <x:c r="R297" s="7" t="n">
        <x:v>-46.3886768</x:v>
      </x:c>
    </x:row>
    <x:row r="298">
      <x:c r="A298" s="6" t="inlineStr">
        <x:is>
          <x:t xml:space="preserve">cts_mar_de_coral</x:t>
        </x:is>
      </x:c>
      <x:c r="B298" s="6" t="inlineStr">
        <x:is>
          <x:t xml:space="preserve">CTS_-001</x:t>
        </x:is>
      </x:c>
      <x:c r="C298" s="6" t="inlineStr">
        <x:is>
          <x:t xml:space="preserve">PV-2 - PV-1</x:t>
        </x:is>
      </x:c>
      <x:c r="D298" s="6" t="inlineStr">
        <x:is>
          <x:t xml:space="preserve">PV-2</x:t>
        </x:is>
      </x:c>
      <x:c r="E298" s="6" t="inlineStr">
        <x:is>
          <x:t xml:space="preserve">PV-1</x:t>
        </x:is>
      </x:c>
      <x:c r="F298" s="6" t="inlineStr">
        <x:is>
          <x:t xml:space="preserve">PEAD</x:t>
        </x:is>
      </x:c>
      <x:c r="G298" s="6" t="n">
        <x:v>355</x:v>
      </x:c>
      <x:c r="H298" s="6" t="inlineStr">
        <x:is>
          <x:t xml:space="preserve">Método Não Destrutivo - MND</x:t>
        </x:is>
      </x:c>
      <x:c r="I298" s="7" t="n">
        <x:v>26.6</x:v>
      </x:c>
      <x:c r="J298" s="7" t="n">
        <x:v>3.66</x:v>
      </x:c>
      <x:c r="K298" s="7" t="n">
        <x:v>2.91</x:v>
      </x:c>
      <x:c r="L298" s="7" t="n">
        <x:v>3.66</x:v>
      </x:c>
      <x:c r="M298" s="6" t="inlineStr">
        <x:is>
          <x:t xml:space="preserve">não iniciada</x:t>
        </x:is>
      </x:c>
      <x:c r="N298" s="6" t="n"/>
      <x:c r="O298" s="7" t="n">
        <x:v>-23.5246163</x:v>
      </x:c>
      <x:c r="P298" s="7" t="n">
        <x:v>-46.3974324</x:v>
      </x:c>
      <x:c r="Q298" s="7" t="n">
        <x:v>-23.5246863</x:v>
      </x:c>
      <x:c r="R298" s="7" t="n">
        <x:v>-46.3976816</x:v>
      </x:c>
    </x:row>
    <x:row r="299">
      <x:c r="A299" s="6" t="inlineStr">
        <x:is>
          <x:t xml:space="preserve">cts_mar_de_coral</x:t>
        </x:is>
      </x:c>
      <x:c r="B299" s="6" t="inlineStr">
        <x:is>
          <x:t xml:space="preserve">CTS_-002</x:t>
        </x:is>
      </x:c>
      <x:c r="C299" s="6" t="inlineStr">
        <x:is>
          <x:t xml:space="preserve">PV-3 - PV-2</x:t>
        </x:is>
      </x:c>
      <x:c r="D299" s="6" t="inlineStr">
        <x:is>
          <x:t xml:space="preserve">PV-3</x:t>
        </x:is>
      </x:c>
      <x:c r="E299" s="6" t="inlineStr">
        <x:is>
          <x:t xml:space="preserve">PV-2</x:t>
        </x:is>
      </x:c>
      <x:c r="F299" s="6" t="inlineStr">
        <x:is>
          <x:t xml:space="preserve">PEAD</x:t>
        </x:is>
      </x:c>
      <x:c r="G299" s="6" t="n">
        <x:v>355</x:v>
      </x:c>
      <x:c r="H299" s="6" t="inlineStr">
        <x:is>
          <x:t xml:space="preserve">Método Não Destrutivo - MND</x:t>
        </x:is>
      </x:c>
      <x:c r="I299" s="7" t="n">
        <x:v>55.31</x:v>
      </x:c>
      <x:c r="J299" s="7" t="n">
        <x:v>4.01</x:v>
      </x:c>
      <x:c r="K299" s="7" t="n">
        <x:v>3.66</x:v>
      </x:c>
      <x:c r="L299" s="7" t="n">
        <x:v>4.01</x:v>
      </x:c>
      <x:c r="M299" s="6" t="inlineStr">
        <x:is>
          <x:t xml:space="preserve">não iniciada</x:t>
        </x:is>
      </x:c>
      <x:c r="N299" s="6" t="n"/>
      <x:c r="O299" s="7" t="n">
        <x:v>-23.5244939</x:v>
      </x:c>
      <x:c r="P299" s="7" t="n">
        <x:v>-46.3969072</x:v>
      </x:c>
      <x:c r="Q299" s="7" t="n">
        <x:v>-23.5246163</x:v>
      </x:c>
      <x:c r="R299" s="7" t="n">
        <x:v>-46.3974324</x:v>
      </x:c>
    </x:row>
    <x:row r="300">
      <x:c r="A300" s="6" t="inlineStr">
        <x:is>
          <x:t xml:space="preserve">cts_mar_de_coral</x:t>
        </x:is>
      </x:c>
      <x:c r="B300" s="6" t="inlineStr">
        <x:is>
          <x:t xml:space="preserve">CTS_-003</x:t>
        </x:is>
      </x:c>
      <x:c r="C300" s="6" t="inlineStr">
        <x:is>
          <x:t xml:space="preserve">PV-4 - PV-3</x:t>
        </x:is>
      </x:c>
      <x:c r="D300" s="6" t="inlineStr">
        <x:is>
          <x:t xml:space="preserve">PV-4</x:t>
        </x:is>
      </x:c>
      <x:c r="E300" s="6" t="inlineStr">
        <x:is>
          <x:t xml:space="preserve">PV-3</x:t>
        </x:is>
      </x:c>
      <x:c r="F300" s="6" t="inlineStr">
        <x:is>
          <x:t xml:space="preserve">PEAD</x:t>
        </x:is>
      </x:c>
      <x:c r="G300" s="6" t="n">
        <x:v>355</x:v>
      </x:c>
      <x:c r="H300" s="6" t="inlineStr">
        <x:is>
          <x:t xml:space="preserve">Método Não Destrutivo - MND</x:t>
        </x:is>
      </x:c>
      <x:c r="I300" s="7" t="n">
        <x:v>65.64</x:v>
      </x:c>
      <x:c r="J300" s="7" t="n">
        <x:v>6.93</x:v>
      </x:c>
      <x:c r="K300" s="7" t="n">
        <x:v>4.01</x:v>
      </x:c>
      <x:c r="L300" s="7" t="n">
        <x:v>6.93</x:v>
      </x:c>
      <x:c r="M300" s="6" t="inlineStr">
        <x:is>
          <x:t xml:space="preserve">não iniciada</x:t>
        </x:is>
      </x:c>
      <x:c r="N300" s="6" t="n"/>
      <x:c r="O300" s="7" t="n">
        <x:v>-23.5243518</x:v>
      </x:c>
      <x:c r="P300" s="7" t="n">
        <x:v>-46.3962832</x:v>
      </x:c>
      <x:c r="Q300" s="7" t="n">
        <x:v>-23.5244939</x:v>
      </x:c>
      <x:c r="R300" s="7" t="n">
        <x:v>-46.3969072</x:v>
      </x:c>
    </x:row>
    <x:row r="301">
      <x:c r="A301" s="6" t="inlineStr">
        <x:is>
          <x:t xml:space="preserve">cts_mar_de_coral</x:t>
        </x:is>
      </x:c>
      <x:c r="B301" s="6" t="inlineStr">
        <x:is>
          <x:t xml:space="preserve">CTS_-004</x:t>
        </x:is>
      </x:c>
      <x:c r="C301" s="6" t="inlineStr">
        <x:is>
          <x:t xml:space="preserve">PV-5 - PV-4</x:t>
        </x:is>
      </x:c>
      <x:c r="D301" s="6" t="inlineStr">
        <x:is>
          <x:t xml:space="preserve">PV-5</x:t>
        </x:is>
      </x:c>
      <x:c r="E301" s="6" t="inlineStr">
        <x:is>
          <x:t xml:space="preserve">PV-4</x:t>
        </x:is>
      </x:c>
      <x:c r="F301" s="6" t="inlineStr">
        <x:is>
          <x:t xml:space="preserve">PEAD</x:t>
        </x:is>
      </x:c>
      <x:c r="G301" s="6" t="n">
        <x:v>355</x:v>
      </x:c>
      <x:c r="H301" s="6" t="inlineStr">
        <x:is>
          <x:t xml:space="preserve">Método Não Destrutivo - MND</x:t>
        </x:is>
      </x:c>
      <x:c r="I301" s="7" t="n">
        <x:v>21.46</x:v>
      </x:c>
      <x:c r="J301" s="7" t="n">
        <x:v>5.16</x:v>
      </x:c>
      <x:c r="K301" s="7" t="n">
        <x:v>6.93</x:v>
      </x:c>
      <x:c r="L301" s="7" t="n">
        <x:v>6.93</x:v>
      </x:c>
      <x:c r="M301" s="6" t="inlineStr">
        <x:is>
          <x:t xml:space="preserve">não iniciada</x:t>
        </x:is>
      </x:c>
      <x:c r="N301" s="6" t="n"/>
      <x:c r="O301" s="7" t="n">
        <x:v>-23.5245404</x:v>
      </x:c>
      <x:c r="P301" s="7" t="n">
        <x:v>-46.3962347</x:v>
      </x:c>
      <x:c r="Q301" s="7" t="n">
        <x:v>-23.5243518</x:v>
      </x:c>
      <x:c r="R301" s="7" t="n">
        <x:v>-46.3962832</x:v>
      </x:c>
    </x:row>
    <x:row r="302">
      <x:c r="A302" s="6" t="inlineStr">
        <x:is>
          <x:t xml:space="preserve">cts_mar_de_coral</x:t>
        </x:is>
      </x:c>
      <x:c r="B302" s="6" t="inlineStr">
        <x:is>
          <x:t xml:space="preserve">CTS_-005</x:t>
        </x:is>
      </x:c>
      <x:c r="C302" s="6" t="inlineStr">
        <x:is>
          <x:t xml:space="preserve">PV-51 - PV-5</x:t>
        </x:is>
      </x:c>
      <x:c r="D302" s="6" t="inlineStr">
        <x:is>
          <x:t xml:space="preserve">PV-51</x:t>
        </x:is>
      </x:c>
      <x:c r="E302" s="6" t="inlineStr">
        <x:is>
          <x:t xml:space="preserve">PV-5</x:t>
        </x:is>
      </x:c>
      <x:c r="F302" s="6" t="inlineStr">
        <x:is>
          <x:t xml:space="preserve">PEAD</x:t>
        </x:is>
      </x:c>
      <x:c r="G302" s="6" t="n">
        <x:v>355</x:v>
      </x:c>
      <x:c r="H302" s="6" t="inlineStr">
        <x:is>
          <x:t xml:space="preserve">Método Não Destrutivo - MND</x:t>
        </x:is>
      </x:c>
      <x:c r="I302" s="7" t="n">
        <x:v>30.51</x:v>
      </x:c>
      <x:c r="J302" s="7" t="n">
        <x:v>2.65</x:v>
      </x:c>
      <x:c r="K302" s="7" t="n">
        <x:v>5.15</x:v>
      </x:c>
      <x:c r="L302" s="7" t="n">
        <x:v>5.15</x:v>
      </x:c>
      <x:c r="M302" s="6" t="inlineStr">
        <x:is>
          <x:t xml:space="preserve">não iniciada</x:t>
        </x:is>
      </x:c>
      <x:c r="N302" s="6" t="n"/>
      <x:c r="O302" s="7" t="n">
        <x:v>-23.5247914</x:v>
      </x:c>
      <x:c r="P302" s="7" t="n">
        <x:v>-46.3961113</x:v>
      </x:c>
      <x:c r="Q302" s="7" t="n">
        <x:v>-23.5245404</x:v>
      </x:c>
      <x:c r="R302" s="7" t="n">
        <x:v>-46.3962347</x:v>
      </x:c>
    </x:row>
    <x:row r="303">
      <x:c r="A303" s="6" t="inlineStr">
        <x:is>
          <x:t xml:space="preserve">cts_mar_de_coral</x:t>
        </x:is>
      </x:c>
      <x:c r="B303" s="6" t="inlineStr">
        <x:is>
          <x:t xml:space="preserve">CTS_-006</x:t>
        </x:is>
      </x:c>
      <x:c r="C303" s="6" t="inlineStr">
        <x:is>
          <x:t xml:space="preserve">PV-8 - PV-5</x:t>
        </x:is>
      </x:c>
      <x:c r="D303" s="6" t="inlineStr">
        <x:is>
          <x:t xml:space="preserve">PV-8</x:t>
        </x:is>
      </x:c>
      <x:c r="E303" s="6" t="inlineStr">
        <x:is>
          <x:t xml:space="preserve">PV-5</x:t>
        </x:is>
      </x:c>
      <x:c r="F303" s="6" t="inlineStr">
        <x:is>
          <x:t xml:space="preserve">PEAD</x:t>
        </x:is>
      </x:c>
      <x:c r="G303" s="6" t="n">
        <x:v>355</x:v>
      </x:c>
      <x:c r="H303" s="6" t="inlineStr">
        <x:is>
          <x:t xml:space="preserve">Método Não Destrutivo - MND</x:t>
        </x:is>
      </x:c>
      <x:c r="I303" s="7" t="n">
        <x:v>59.64</x:v>
      </x:c>
      <x:c r="J303" s="7" t="n">
        <x:v>4.15</x:v>
      </x:c>
      <x:c r="K303" s="7" t="n">
        <x:v>2.91</x:v>
      </x:c>
      <x:c r="L303" s="7" t="n">
        <x:v>4.15</x:v>
      </x:c>
      <x:c r="M303" s="6" t="inlineStr">
        <x:is>
          <x:t xml:space="preserve">não iniciada</x:t>
        </x:is>
      </x:c>
      <x:c r="N303" s="6" t="n"/>
      <x:c r="O303" s="7" t="n">
        <x:v>-23.5243952</x:v>
      </x:c>
      <x:c r="P303" s="7" t="n">
        <x:v>-46.3956723</x:v>
      </x:c>
      <x:c r="Q303" s="7" t="n">
        <x:v>-23.5245404</x:v>
      </x:c>
      <x:c r="R303" s="7" t="n">
        <x:v>-46.3962347</x:v>
      </x:c>
    </x:row>
    <x:row r="304">
      <x:c r="A304" s="6" t="inlineStr">
        <x:is>
          <x:t xml:space="preserve">cts_mar_de_coral</x:t>
        </x:is>
      </x:c>
      <x:c r="B304" s="6" t="inlineStr">
        <x:is>
          <x:t xml:space="preserve">CTS_-007</x:t>
        </x:is>
      </x:c>
      <x:c r="C304" s="6" t="inlineStr">
        <x:is>
          <x:t xml:space="preserve">PV-9 - PV-8</x:t>
        </x:is>
      </x:c>
      <x:c r="D304" s="6" t="inlineStr">
        <x:is>
          <x:t xml:space="preserve">PV-9</x:t>
        </x:is>
      </x:c>
      <x:c r="E304" s="6" t="inlineStr">
        <x:is>
          <x:t xml:space="preserve">PV-8</x:t>
        </x:is>
      </x:c>
      <x:c r="F304" s="6" t="inlineStr">
        <x:is>
          <x:t xml:space="preserve">PEAD</x:t>
        </x:is>
      </x:c>
      <x:c r="G304" s="6" t="n">
        <x:v>355</x:v>
      </x:c>
      <x:c r="H304" s="6" t="inlineStr">
        <x:is>
          <x:t xml:space="preserve">Método Não Destrutivo - MND</x:t>
        </x:is>
      </x:c>
      <x:c r="I304" s="7" t="n">
        <x:v>62.49</x:v>
      </x:c>
      <x:c r="J304" s="7" t="n">
        <x:v>5.52</x:v>
      </x:c>
      <x:c r="K304" s="7" t="n">
        <x:v>4.15</x:v>
      </x:c>
      <x:c r="L304" s="7" t="n">
        <x:v>5.52</x:v>
      </x:c>
      <x:c r="M304" s="6" t="inlineStr">
        <x:is>
          <x:t xml:space="preserve">não iniciada</x:t>
        </x:is>
      </x:c>
      <x:c r="N304" s="6" t="n"/>
      <x:c r="O304" s="7" t="n">
        <x:v>-23.5241618</x:v>
      </x:c>
      <x:c r="P304" s="7" t="n">
        <x:v>-46.3951255</x:v>
      </x:c>
      <x:c r="Q304" s="7" t="n">
        <x:v>-23.5243952</x:v>
      </x:c>
      <x:c r="R304" s="7" t="n">
        <x:v>-46.3956723</x:v>
      </x:c>
    </x:row>
    <x:row r="305">
      <x:c r="A305" s="6" t="inlineStr">
        <x:is>
          <x:t xml:space="preserve">cts_mar_de_coral</x:t>
        </x:is>
      </x:c>
      <x:c r="B305" s="6" t="inlineStr">
        <x:is>
          <x:t xml:space="preserve">CTS_-008</x:t>
        </x:is>
      </x:c>
      <x:c r="C305" s="6" t="inlineStr">
        <x:is>
          <x:t xml:space="preserve">PV-15 - PV-13</x:t>
        </x:is>
      </x:c>
      <x:c r="D305" s="6" t="inlineStr">
        <x:is>
          <x:t xml:space="preserve">PV-15</x:t>
        </x:is>
      </x:c>
      <x:c r="E305" s="6" t="inlineStr">
        <x:is>
          <x:t xml:space="preserve">PV-13</x:t>
        </x:is>
      </x:c>
      <x:c r="F305" s="6" t="inlineStr">
        <x:is>
          <x:t xml:space="preserve">PEAD</x:t>
        </x:is>
      </x:c>
      <x:c r="G305" s="6" t="n">
        <x:v>355</x:v>
      </x:c>
      <x:c r="H305" s="6" t="inlineStr">
        <x:is>
          <x:t xml:space="preserve">Método Não Destrutivo - MND</x:t>
        </x:is>
      </x:c>
      <x:c r="I305" s="7" t="n">
        <x:v>49.32</x:v>
      </x:c>
      <x:c r="J305" s="7" t="n">
        <x:v>2.07</x:v>
      </x:c>
      <x:c r="K305" s="7" t="n">
        <x:v>1.88</x:v>
      </x:c>
      <x:c r="L305" s="7" t="n">
        <x:v>2.07</x:v>
      </x:c>
      <x:c r="M305" s="6" t="inlineStr">
        <x:is>
          <x:t xml:space="preserve">não iniciada</x:t>
        </x:is>
      </x:c>
      <x:c r="N305" s="6" t="n"/>
      <x:c r="O305" s="7" t="n">
        <x:v>-23.524227</x:v>
      </x:c>
      <x:c r="P305" s="7" t="n">
        <x:v>-46.3939598</x:v>
      </x:c>
      <x:c r="Q305" s="7" t="n">
        <x:v>-23.5243852</x:v>
      </x:c>
      <x:c r="R305" s="7" t="n">
        <x:v>-46.3944113</x:v>
      </x:c>
    </x:row>
    <x:row r="306">
      <x:c r="A306" s="6" t="inlineStr">
        <x:is>
          <x:t xml:space="preserve">cts_mar_de_coral</x:t>
        </x:is>
      </x:c>
      <x:c r="B306" s="6" t="inlineStr">
        <x:is>
          <x:t xml:space="preserve">CTS_-009</x:t>
        </x:is>
      </x:c>
      <x:c r="C306" s="6" t="inlineStr">
        <x:is>
          <x:t xml:space="preserve">PV-16 - PV-15</x:t>
        </x:is>
      </x:c>
      <x:c r="D306" s="6" t="inlineStr">
        <x:is>
          <x:t xml:space="preserve">PV-16</x:t>
        </x:is>
      </x:c>
      <x:c r="E306" s="6" t="inlineStr">
        <x:is>
          <x:t xml:space="preserve">PV-15</x:t>
        </x:is>
      </x:c>
      <x:c r="F306" s="6" t="inlineStr">
        <x:is>
          <x:t xml:space="preserve">PEAD</x:t>
        </x:is>
      </x:c>
      <x:c r="G306" s="6" t="n">
        <x:v>355</x:v>
      </x:c>
      <x:c r="H306" s="6" t="inlineStr">
        <x:is>
          <x:t xml:space="preserve">Método Não Destrutivo - MND</x:t>
        </x:is>
      </x:c>
      <x:c r="I306" s="7" t="n">
        <x:v>34.21</x:v>
      </x:c>
      <x:c r="J306" s="7" t="n">
        <x:v>2.49</x:v>
      </x:c>
      <x:c r="K306" s="7" t="n">
        <x:v>2.07</x:v>
      </x:c>
      <x:c r="L306" s="7" t="n">
        <x:v>2.49</x:v>
      </x:c>
      <x:c r="M306" s="6" t="inlineStr">
        <x:is>
          <x:t xml:space="preserve">não iniciada</x:t>
        </x:is>
      </x:c>
      <x:c r="N306" s="6" t="n"/>
      <x:c r="O306" s="7" t="n">
        <x:v>-23.5241326</x:v>
      </x:c>
      <x:c r="P306" s="7" t="n">
        <x:v>-46.3936408</x:v>
      </x:c>
      <x:c r="Q306" s="7" t="n">
        <x:v>-23.524227</x:v>
      </x:c>
      <x:c r="R306" s="7" t="n">
        <x:v>-46.3939598</x:v>
      </x:c>
    </x:row>
    <x:row r="307">
      <x:c r="A307" s="6" t="inlineStr">
        <x:is>
          <x:t xml:space="preserve">cts_mar_de_coral</x:t>
        </x:is>
      </x:c>
      <x:c r="B307" s="6" t="inlineStr">
        <x:is>
          <x:t xml:space="preserve">CTS_-010</x:t>
        </x:is>
      </x:c>
      <x:c r="C307" s="6" t="inlineStr">
        <x:is>
          <x:t xml:space="preserve">PV-19 - PV-16</x:t>
        </x:is>
      </x:c>
      <x:c r="D307" s="6" t="inlineStr">
        <x:is>
          <x:t xml:space="preserve">PV-19</x:t>
        </x:is>
      </x:c>
      <x:c r="E307" s="6" t="inlineStr">
        <x:is>
          <x:t xml:space="preserve">PV-16</x:t>
        </x:is>
      </x:c>
      <x:c r="F307" s="6" t="inlineStr">
        <x:is>
          <x:t xml:space="preserve">PEAD</x:t>
        </x:is>
      </x:c>
      <x:c r="G307" s="6" t="n">
        <x:v>355</x:v>
      </x:c>
      <x:c r="H307" s="6" t="inlineStr">
        <x:is>
          <x:t xml:space="preserve">Método Não Destrutivo - MND</x:t>
        </x:is>
      </x:c>
      <x:c r="I307" s="7" t="n">
        <x:v>45.07</x:v>
      </x:c>
      <x:c r="J307" s="7" t="n">
        <x:v>2.94</x:v>
      </x:c>
      <x:c r="K307" s="7" t="n">
        <x:v>2.49</x:v>
      </x:c>
      <x:c r="L307" s="7" t="n">
        <x:v>2.94</x:v>
      </x:c>
      <x:c r="M307" s="6" t="inlineStr">
        <x:is>
          <x:t xml:space="preserve">não iniciada</x:t>
        </x:is>
      </x:c>
      <x:c r="N307" s="6" t="n"/>
      <x:c r="O307" s="7" t="n">
        <x:v>-23.5239346</x:v>
      </x:c>
      <x:c r="P307" s="7" t="n">
        <x:v>-46.3932551</x:v>
      </x:c>
      <x:c r="Q307" s="7" t="n">
        <x:v>-23.5241326</x:v>
      </x:c>
      <x:c r="R307" s="7" t="n">
        <x:v>-46.3936408</x:v>
      </x:c>
    </x:row>
    <x:row r="308">
      <x:c r="A308" s="6" t="inlineStr">
        <x:is>
          <x:t xml:space="preserve">cts_mar_de_coral</x:t>
        </x:is>
      </x:c>
      <x:c r="B308" s="6" t="inlineStr">
        <x:is>
          <x:t xml:space="preserve">CTS_-011</x:t>
        </x:is>
      </x:c>
      <x:c r="C308" s="6" t="inlineStr">
        <x:is>
          <x:t xml:space="preserve">PV-22 - PV-19</x:t>
        </x:is>
      </x:c>
      <x:c r="D308" s="6" t="inlineStr">
        <x:is>
          <x:t xml:space="preserve">PV-22</x:t>
        </x:is>
      </x:c>
      <x:c r="E308" s="6" t="inlineStr">
        <x:is>
          <x:t xml:space="preserve">PV-19</x:t>
        </x:is>
      </x:c>
      <x:c r="F308" s="6" t="inlineStr">
        <x:is>
          <x:t xml:space="preserve">PEAD</x:t>
        </x:is>
      </x:c>
      <x:c r="G308" s="6" t="n">
        <x:v>355</x:v>
      </x:c>
      <x:c r="H308" s="6" t="inlineStr">
        <x:is>
          <x:t xml:space="preserve">Método Não Destrutivo - MND</x:t>
        </x:is>
      </x:c>
      <x:c r="I308" s="7" t="n">
        <x:v>33.64</x:v>
      </x:c>
      <x:c r="J308" s="7" t="n">
        <x:v>3.29</x:v>
      </x:c>
      <x:c r="K308" s="7" t="n">
        <x:v>2.94</x:v>
      </x:c>
      <x:c r="L308" s="7" t="n">
        <x:v>3.29</x:v>
      </x:c>
      <x:c r="M308" s="6" t="inlineStr">
        <x:is>
          <x:t xml:space="preserve">não iniciada</x:t>
        </x:is>
      </x:c>
      <x:c r="N308" s="6" t="n"/>
      <x:c r="O308" s="7" t="n">
        <x:v>-23.5238407</x:v>
      </x:c>
      <x:c r="P308" s="7" t="n">
        <x:v>-46.3929417</x:v>
      </x:c>
      <x:c r="Q308" s="7" t="n">
        <x:v>-23.5239346</x:v>
      </x:c>
      <x:c r="R308" s="7" t="n">
        <x:v>-46.3932551</x:v>
      </x:c>
    </x:row>
    <x:row r="309">
      <x:c r="A309" s="6" t="inlineStr">
        <x:is>
          <x:t xml:space="preserve">cts_mar_de_coral</x:t>
        </x:is>
      </x:c>
      <x:c r="B309" s="6" t="inlineStr">
        <x:is>
          <x:t xml:space="preserve">CTS_-012</x:t>
        </x:is>
      </x:c>
      <x:c r="C309" s="6" t="inlineStr">
        <x:is>
          <x:t xml:space="preserve">PV-51 - PV-51</x:t>
        </x:is>
      </x:c>
      <x:c r="D309" s="6" t="inlineStr">
        <x:is>
          <x:t xml:space="preserve">PV-51</x:t>
        </x:is>
      </x:c>
      <x:c r="E309" s="6" t="inlineStr">
        <x:is>
          <x:t xml:space="preserve">PV-51</x:t>
        </x:is>
      </x:c>
      <x:c r="F309" s="6" t="inlineStr">
        <x:is>
          <x:t xml:space="preserve">PVC</x:t>
        </x:is>
      </x:c>
      <x:c r="G309" s="6" t="n">
        <x:v>200</x:v>
      </x:c>
      <x:c r="H309" s="6" t="inlineStr">
        <x:is>
          <x:t xml:space="preserve">Vala a Céu Aberto - VCA</x:t>
        </x:is>
      </x:c>
      <x:c r="I309" s="7" t="n">
        <x:v>6.8</x:v>
      </x:c>
      <x:c r="J309" s="7" t="n">
        <x:v>2.01</x:v>
      </x:c>
      <x:c r="K309" s="7" t="n">
        <x:v>2.53</x:v>
      </x:c>
      <x:c r="L309" s="7" t="n">
        <x:v>2.53</x:v>
      </x:c>
      <x:c r="M309" s="6" t="inlineStr">
        <x:is>
          <x:t xml:space="preserve">não iniciada</x:t>
        </x:is>
      </x:c>
      <x:c r="N309" s="6" t="n"/>
      <x:c r="O309" s="7" t="n">
        <x:v>-23.5248489</x:v>
      </x:c>
      <x:c r="P309" s="7" t="n">
        <x:v>-46.396088</x:v>
      </x:c>
      <x:c r="Q309" s="7" t="n">
        <x:v>-23.5247914</x:v>
      </x:c>
      <x:c r="R309" s="7" t="n">
        <x:v>-46.3961113</x:v>
      </x:c>
    </x:row>
    <x:row r="310">
      <x:c r="A310" s="6" t="inlineStr">
        <x:is>
          <x:t xml:space="preserve">cts_mar_de_coral</x:t>
        </x:is>
      </x:c>
      <x:c r="B310" s="6" t="inlineStr">
        <x:is>
          <x:t xml:space="preserve">CTS_-013</x:t>
        </x:is>
      </x:c>
      <x:c r="C310" s="6" t="inlineStr">
        <x:is>
          <x:t xml:space="preserve">PV-10 - PV-9</x:t>
        </x:is>
      </x:c>
      <x:c r="D310" s="6" t="inlineStr">
        <x:is>
          <x:t xml:space="preserve">PV-10</x:t>
        </x:is>
      </x:c>
      <x:c r="E310" s="6" t="inlineStr">
        <x:is>
          <x:t xml:space="preserve">PV-9</x:t>
        </x:is>
      </x:c>
      <x:c r="F310" s="6" t="inlineStr">
        <x:is>
          <x:t xml:space="preserve">PEAD</x:t>
        </x:is>
      </x:c>
      <x:c r="G310" s="6" t="n">
        <x:v>355</x:v>
      </x:c>
      <x:c r="H310" s="6" t="inlineStr">
        <x:is>
          <x:t xml:space="preserve">Método Não Destrutivo - MND</x:t>
        </x:is>
      </x:c>
      <x:c r="I310" s="7" t="n">
        <x:v>37.76</x:v>
      </x:c>
      <x:c r="J310" s="7" t="n">
        <x:v>3.76</x:v>
      </x:c>
      <x:c r="K310" s="7" t="n">
        <x:v>5.52</x:v>
      </x:c>
      <x:c r="L310" s="7" t="n">
        <x:v>5.52</x:v>
      </x:c>
      <x:c r="M310" s="6" t="inlineStr">
        <x:is>
          <x:t xml:space="preserve">não iniciada</x:t>
        </x:is>
      </x:c>
      <x:c r="N310" s="6" t="n"/>
      <x:c r="O310" s="7" t="n">
        <x:v>-23.5244323</x:v>
      </x:c>
      <x:c r="P310" s="7" t="n">
        <x:v>-46.3949176</x:v>
      </x:c>
      <x:c r="Q310" s="7" t="n">
        <x:v>-23.5241618</x:v>
      </x:c>
      <x:c r="R310" s="7" t="n">
        <x:v>-46.3951255</x:v>
      </x:c>
    </x:row>
    <x:row r="311">
      <x:c r="A311" s="6" t="inlineStr">
        <x:is>
          <x:t xml:space="preserve">cts_mar_de_coral</x:t>
        </x:is>
      </x:c>
      <x:c r="B311" s="6" t="inlineStr">
        <x:is>
          <x:t xml:space="preserve">CTS_-014</x:t>
        </x:is>
      </x:c>
      <x:c r="C311" s="6" t="inlineStr">
        <x:is>
          <x:t xml:space="preserve">PV-1 - PT-001</x:t>
        </x:is>
      </x:c>
      <x:c r="D311" s="6" t="inlineStr">
        <x:is>
          <x:t xml:space="preserve">PV-1</x:t>
        </x:is>
      </x:c>
      <x:c r="E311" s="6" t="inlineStr">
        <x:is>
          <x:t xml:space="preserve">PT-001</x:t>
        </x:is>
      </x:c>
      <x:c r="F311" s="6" t="inlineStr">
        <x:is>
          <x:t xml:space="preserve">PVC</x:t>
        </x:is>
      </x:c>
      <x:c r="G311" s="6" t="n">
        <x:v>300</x:v>
      </x:c>
      <x:c r="H311" s="6" t="inlineStr">
        <x:is>
          <x:t xml:space="preserve">Vala a Céu Aberto - VCA</x:t>
        </x:is>
      </x:c>
      <x:c r="I311" s="7" t="n">
        <x:v>42.7</x:v>
      </x:c>
      <x:c r="J311" s="7" t="n">
        <x:v>2.91</x:v>
      </x:c>
      <x:c r="K311" s="7" t="n">
        <x:v>3.49</x:v>
      </x:c>
      <x:c r="L311" s="7" t="n">
        <x:v>3.49</x:v>
      </x:c>
      <x:c r="M311" s="6" t="inlineStr">
        <x:is>
          <x:t xml:space="preserve">não iniciada</x:t>
        </x:is>
      </x:c>
      <x:c r="N311" s="6" t="n"/>
      <x:c r="O311" s="7" t="n">
        <x:v>-23.5246863</x:v>
      </x:c>
      <x:c r="P311" s="7" t="n">
        <x:v>-46.3976816</x:v>
      </x:c>
      <x:c r="Q311" s="7" t="n">
        <x:v>-23.5243448</x:v>
      </x:c>
      <x:c r="R311" s="7" t="n">
        <x:v>-46.3978762</x:v>
      </x:c>
    </x:row>
    <x:row r="312">
      <x:c r="A312" s="6" t="inlineStr">
        <x:is>
          <x:t xml:space="preserve">cts_mar_de_coral</x:t>
        </x:is>
      </x:c>
      <x:c r="B312" s="6" t="inlineStr">
        <x:is>
          <x:t xml:space="preserve">CTS_-015</x:t>
        </x:is>
      </x:c>
      <x:c r="C312" s="6" t="inlineStr">
        <x:is>
          <x:t xml:space="preserve">PV-12 - PV-10</x:t>
        </x:is>
      </x:c>
      <x:c r="D312" s="6" t="inlineStr">
        <x:is>
          <x:t xml:space="preserve">PV-12</x:t>
        </x:is>
      </x:c>
      <x:c r="E312" s="6" t="inlineStr">
        <x:is>
          <x:t xml:space="preserve">PV-10</x:t>
        </x:is>
      </x:c>
      <x:c r="F312" s="6" t="inlineStr">
        <x:is>
          <x:t xml:space="preserve">PEAD</x:t>
        </x:is>
      </x:c>
      <x:c r="G312" s="6" t="n">
        <x:v>355</x:v>
      </x:c>
      <x:c r="H312" s="6" t="inlineStr">
        <x:is>
          <x:t xml:space="preserve">Método Não Destrutivo - MND</x:t>
        </x:is>
      </x:c>
      <x:c r="I312" s="7" t="n">
        <x:v>28.98</x:v>
      </x:c>
      <x:c r="J312" s="7" t="n">
        <x:v>1.91</x:v>
      </x:c>
      <x:c r="K312" s="7" t="n">
        <x:v>3.76</x:v>
      </x:c>
      <x:c r="L312" s="7" t="n">
        <x:v>3.76</x:v>
      </x:c>
      <x:c r="M312" s="6" t="inlineStr">
        <x:is>
          <x:t xml:space="preserve">não iniciada</x:t>
        </x:is>
      </x:c>
      <x:c r="N312" s="6" t="n"/>
      <x:c r="O312" s="7" t="n">
        <x:v>-23.5244347</x:v>
      </x:c>
      <x:c r="P312" s="7" t="n">
        <x:v>-46.3946338</x:v>
      </x:c>
      <x:c r="Q312" s="7" t="n">
        <x:v>-23.5244323</x:v>
      </x:c>
      <x:c r="R312" s="7" t="n">
        <x:v>-46.3949176</x:v>
      </x:c>
    </x:row>
    <x:row r="313">
      <x:c r="A313" s="6" t="inlineStr">
        <x:is>
          <x:t xml:space="preserve">cts_mar_de_coral</x:t>
        </x:is>
      </x:c>
      <x:c r="B313" s="6" t="inlineStr">
        <x:is>
          <x:t xml:space="preserve">CTS_-016</x:t>
        </x:is>
      </x:c>
      <x:c r="C313" s="6" t="inlineStr">
        <x:is>
          <x:t xml:space="preserve">PV-13 - PV-12</x:t>
        </x:is>
      </x:c>
      <x:c r="D313" s="6" t="inlineStr">
        <x:is>
          <x:t xml:space="preserve">PV-13</x:t>
        </x:is>
      </x:c>
      <x:c r="E313" s="6" t="inlineStr">
        <x:is>
          <x:t xml:space="preserve">PV-12</x:t>
        </x:is>
      </x:c>
      <x:c r="F313" s="6" t="inlineStr">
        <x:is>
          <x:t xml:space="preserve">PEAD</x:t>
        </x:is>
      </x:c>
      <x:c r="G313" s="6" t="n">
        <x:v>355</x:v>
      </x:c>
      <x:c r="H313" s="6" t="inlineStr">
        <x:is>
          <x:t xml:space="preserve">Método Não Destrutivo - MND</x:t>
        </x:is>
      </x:c>
      <x:c r="I313" s="7" t="n">
        <x:v>23.37</x:v>
      </x:c>
      <x:c r="J313" s="7" t="n">
        <x:v>1.88</x:v>
      </x:c>
      <x:c r="K313" s="7" t="n">
        <x:v>1.91</x:v>
      </x:c>
      <x:c r="L313" s="7" t="n">
        <x:v>1.91</x:v>
      </x:c>
      <x:c r="M313" s="6" t="inlineStr">
        <x:is>
          <x:t xml:space="preserve">não iniciada</x:t>
        </x:is>
      </x:c>
      <x:c r="N313" s="6" t="n"/>
      <x:c r="O313" s="7" t="n">
        <x:v>-23.5243852</x:v>
      </x:c>
      <x:c r="P313" s="7" t="n">
        <x:v>-46.3944113</x:v>
      </x:c>
      <x:c r="Q313" s="7" t="n">
        <x:v>-23.5244347</x:v>
      </x:c>
      <x:c r="R313" s="7" t="n">
        <x:v>-46.3946338</x:v>
      </x:c>
    </x:row>
    <x:row r="314">
      <x:c r="A314" s="6" t="inlineStr">
        <x:is>
          <x:t xml:space="preserve">cts_mar_de_coral</x:t>
        </x:is>
      </x:c>
      <x:c r="B314" s="6" t="inlineStr">
        <x:is>
          <x:t xml:space="preserve">CTS_-017</x:t>
        </x:is>
      </x:c>
      <x:c r="C314" s="6" t="inlineStr">
        <x:is>
          <x:t xml:space="preserve">PV-23 - PV-22</x:t>
        </x:is>
      </x:c>
      <x:c r="D314" s="6" t="inlineStr">
        <x:is>
          <x:t xml:space="preserve">PV-23</x:t>
        </x:is>
      </x:c>
      <x:c r="E314" s="6" t="inlineStr">
        <x:is>
          <x:t xml:space="preserve">PV-22</x:t>
        </x:is>
      </x:c>
      <x:c r="F314" s="6" t="inlineStr">
        <x:is>
          <x:t xml:space="preserve">PEAD</x:t>
        </x:is>
      </x:c>
      <x:c r="G314" s="6" t="n">
        <x:v>355</x:v>
      </x:c>
      <x:c r="H314" s="6" t="inlineStr">
        <x:is>
          <x:t xml:space="preserve">Método Não Destrutivo - MND</x:t>
        </x:is>
      </x:c>
      <x:c r="I314" s="7" t="n">
        <x:v>50.96</x:v>
      </x:c>
      <x:c r="J314" s="7" t="n">
        <x:v>2.89</x:v>
      </x:c>
      <x:c r="K314" s="7" t="n">
        <x:v>3.29</x:v>
      </x:c>
      <x:c r="L314" s="7" t="n">
        <x:v>3.29</x:v>
      </x:c>
      <x:c r="M314" s="6" t="inlineStr">
        <x:is>
          <x:t xml:space="preserve">não iniciada</x:t>
        </x:is>
      </x:c>
      <x:c r="N314" s="6" t="n"/>
      <x:c r="O314" s="7" t="n">
        <x:v>-23.5237154</x:v>
      </x:c>
      <x:c r="P314" s="7" t="n">
        <x:v>-46.3924615</x:v>
      </x:c>
      <x:c r="Q314" s="7" t="n">
        <x:v>-23.5238407</x:v>
      </x:c>
      <x:c r="R314" s="7" t="n">
        <x:v>-46.3929417</x:v>
      </x:c>
    </x:row>
    <x:row r="315">
      <x:c r="A315" s="6" t="inlineStr">
        <x:is>
          <x:t xml:space="preserve">cts_mar_de_coral</x:t>
        </x:is>
      </x:c>
      <x:c r="B315" s="6" t="inlineStr">
        <x:is>
          <x:t xml:space="preserve">CTS_-018</x:t>
        </x:is>
      </x:c>
      <x:c r="C315" s="6" t="inlineStr">
        <x:is>
          <x:t xml:space="preserve">PV-40 - PV-40</x:t>
        </x:is>
      </x:c>
      <x:c r="D315" s="6" t="inlineStr">
        <x:is>
          <x:t xml:space="preserve">PV-40</x:t>
        </x:is>
      </x:c>
      <x:c r="E315" s="6" t="inlineStr">
        <x:is>
          <x:t xml:space="preserve">PV-40</x:t>
        </x:is>
      </x:c>
      <x:c r="F315" s="6" t="inlineStr">
        <x:is>
          <x:t xml:space="preserve">PEAD</x:t>
        </x:is>
      </x:c>
      <x:c r="G315" s="6" t="n">
        <x:v>355</x:v>
      </x:c>
      <x:c r="H315" s="6" t="inlineStr">
        <x:is>
          <x:t xml:space="preserve">Método Não Destrutivo - MND</x:t>
        </x:is>
      </x:c>
      <x:c r="I315" s="7" t="n">
        <x:v>14.53</x:v>
      </x:c>
      <x:c r="J315" s="7" t="n">
        <x:v>1.7</x:v>
      </x:c>
      <x:c r="K315" s="7" t="n">
        <x:v>1.04</x:v>
      </x:c>
      <x:c r="L315" s="7" t="n">
        <x:v>1.7</x:v>
      </x:c>
      <x:c r="M315" s="6" t="inlineStr">
        <x:is>
          <x:t xml:space="preserve">não iniciada</x:t>
        </x:is>
      </x:c>
      <x:c r="N315" s="6" t="n"/>
      <x:c r="O315" s="7" t="n">
        <x:v>-23.5234879</x:v>
      </x:c>
      <x:c r="P315" s="7" t="n">
        <x:v>-46.3900884</x:v>
      </x:c>
      <x:c r="Q315" s="7" t="n">
        <x:v>-23.5233612</x:v>
      </x:c>
      <x:c r="R315" s="7" t="n">
        <x:v>-46.3901255</x:v>
      </x:c>
    </x:row>
    <x:row r="316">
      <x:c r="A316" s="6" t="inlineStr">
        <x:is>
          <x:t xml:space="preserve">cts_mar_de_coral</x:t>
        </x:is>
      </x:c>
      <x:c r="B316" s="6" t="inlineStr">
        <x:is>
          <x:t xml:space="preserve">CTS_-019</x:t>
        </x:is>
      </x:c>
      <x:c r="C316" s="6" t="inlineStr">
        <x:is>
          <x:t xml:space="preserve">PV-40 - PV-40</x:t>
        </x:is>
      </x:c>
      <x:c r="D316" s="6" t="inlineStr">
        <x:is>
          <x:t xml:space="preserve">PV-40</x:t>
        </x:is>
      </x:c>
      <x:c r="E316" s="6" t="inlineStr">
        <x:is>
          <x:t xml:space="preserve">PV-40</x:t>
        </x:is>
      </x:c>
      <x:c r="F316" s="6" t="inlineStr">
        <x:is>
          <x:t xml:space="preserve">PEAD</x:t>
        </x:is>
      </x:c>
      <x:c r="G316" s="6" t="n">
        <x:v>355</x:v>
      </x:c>
      <x:c r="H316" s="6" t="inlineStr">
        <x:is>
          <x:t xml:space="preserve">Método Não Destrutivo - MND</x:t>
        </x:is>
      </x:c>
      <x:c r="I316" s="7" t="n">
        <x:v>2.8</x:v>
      </x:c>
      <x:c r="J316" s="7" t="n">
        <x:v>2.18</x:v>
      </x:c>
      <x:c r="K316" s="7" t="n">
        <x:v>2.47</x:v>
      </x:c>
      <x:c r="L316" s="7" t="n">
        <x:v>2.47</x:v>
      </x:c>
      <x:c r="M316" s="6" t="inlineStr">
        <x:is>
          <x:t xml:space="preserve">não iniciada</x:t>
        </x:is>
      </x:c>
      <x:c r="N316" s="6" t="n"/>
      <x:c r="O316" s="7" t="n">
        <x:v>-23.5233404</x:v>
      </x:c>
      <x:c r="P316" s="7" t="n">
        <x:v>-46.3901099</x:v>
      </x:c>
      <x:c r="Q316" s="7" t="n">
        <x:v>-23.5233612</x:v>
      </x:c>
      <x:c r="R316" s="7" t="n">
        <x:v>-46.3901255</x:v>
      </x:c>
    </x:row>
    <x:row r="317">
      <x:c r="A317" s="6" t="inlineStr">
        <x:is>
          <x:t xml:space="preserve">cts_mar_de_coral</x:t>
        </x:is>
      </x:c>
      <x:c r="B317" s="6" t="inlineStr">
        <x:is>
          <x:t xml:space="preserve">CTS_-020</x:t>
        </x:is>
      </x:c>
      <x:c r="C317" s="6" t="inlineStr">
        <x:is>
          <x:t xml:space="preserve">PV-46 - PV-46</x:t>
        </x:is>
      </x:c>
      <x:c r="D317" s="6" t="inlineStr">
        <x:is>
          <x:t xml:space="preserve">PV-46</x:t>
        </x:is>
      </x:c>
      <x:c r="E317" s="6" t="inlineStr">
        <x:is>
          <x:t xml:space="preserve">PV-46</x:t>
        </x:is>
      </x:c>
      <x:c r="F317" s="6" t="inlineStr">
        <x:is>
          <x:t xml:space="preserve">PEAD</x:t>
        </x:is>
      </x:c>
      <x:c r="G317" s="6" t="n">
        <x:v>355</x:v>
      </x:c>
      <x:c r="H317" s="6" t="inlineStr">
        <x:is>
          <x:t xml:space="preserve">Método Não Destrutivo - MND</x:t>
        </x:is>
      </x:c>
      <x:c r="I317" s="7" t="n">
        <x:v>1.99</x:v>
      </x:c>
      <x:c r="J317" s="7" t="n">
        <x:v>1.75</x:v>
      </x:c>
      <x:c r="K317" s="7" t="n">
        <x:v>1.75</x:v>
      </x:c>
      <x:c r="L317" s="7" t="n">
        <x:v>1.75</x:v>
      </x:c>
      <x:c r="M317" s="6" t="inlineStr">
        <x:is>
          <x:t xml:space="preserve">não iniciada</x:t>
        </x:is>
      </x:c>
      <x:c r="N317" s="6" t="n"/>
      <x:c r="O317" s="7" t="n">
        <x:v>-23.5229803</x:v>
      </x:c>
      <x:c r="P317" s="7" t="n">
        <x:v>-46.3893288</x:v>
      </x:c>
      <x:c r="Q317" s="7" t="n">
        <x:v>-23.5229945</x:v>
      </x:c>
      <x:c r="R317" s="7" t="n">
        <x:v>-46.3893169</x:v>
      </x:c>
    </x:row>
    <x:row r="318">
      <x:c r="A318" s="6" t="inlineStr">
        <x:is>
          <x:t xml:space="preserve">cts_mar_de_coral</x:t>
        </x:is>
      </x:c>
      <x:c r="B318" s="6" t="inlineStr">
        <x:is>
          <x:t xml:space="preserve">CTS_-021</x:t>
        </x:is>
      </x:c>
      <x:c r="C318" s="6" t="inlineStr">
        <x:is>
          <x:t xml:space="preserve">PV-46 - PV-45</x:t>
        </x:is>
      </x:c>
      <x:c r="D318" s="6" t="inlineStr">
        <x:is>
          <x:t xml:space="preserve">PV-46</x:t>
        </x:is>
      </x:c>
      <x:c r="E318" s="6" t="inlineStr">
        <x:is>
          <x:t xml:space="preserve">PV-45</x:t>
        </x:is>
      </x:c>
      <x:c r="F318" s="6" t="inlineStr">
        <x:is>
          <x:t xml:space="preserve">PEAD</x:t>
        </x:is>
      </x:c>
      <x:c r="G318" s="6" t="n">
        <x:v>355</x:v>
      </x:c>
      <x:c r="H318" s="6" t="inlineStr">
        <x:is>
          <x:t xml:space="preserve">Método Não Destrutivo - MND</x:t>
        </x:is>
      </x:c>
      <x:c r="I318" s="7" t="n">
        <x:v>49.11</x:v>
      </x:c>
      <x:c r="J318" s="7" t="n">
        <x:v>1.75</x:v>
      </x:c>
      <x:c r="K318" s="7" t="n">
        <x:v>3.67</x:v>
      </x:c>
      <x:c r="L318" s="7" t="n">
        <x:v>3.67</x:v>
      </x:c>
      <x:c r="M318" s="6" t="inlineStr">
        <x:is>
          <x:t xml:space="preserve">não iniciada</x:t>
        </x:is>
      </x:c>
      <x:c r="N318" s="6" t="n"/>
      <x:c r="O318" s="7" t="n">
        <x:v>-23.5229945</x:v>
      </x:c>
      <x:c r="P318" s="7" t="n">
        <x:v>-46.3893169</x:v>
      </x:c>
      <x:c r="Q318" s="7" t="n">
        <x:v>-23.5228865</x:v>
      </x:c>
      <x:c r="R318" s="7" t="n">
        <x:v>-46.3888505</x:v>
      </x:c>
    </x:row>
    <x:row r="319">
      <x:c r="A319" s="6" t="inlineStr">
        <x:is>
          <x:t xml:space="preserve">cts_mar_de_coral</x:t>
        </x:is>
      </x:c>
      <x:c r="B319" s="6" t="inlineStr">
        <x:is>
          <x:t xml:space="preserve">CTS_-022</x:t>
        </x:is>
      </x:c>
      <x:c r="C319" s="6" t="inlineStr">
        <x:is>
          <x:t xml:space="preserve">PV-45 - PV-44</x:t>
        </x:is>
      </x:c>
      <x:c r="D319" s="6" t="inlineStr">
        <x:is>
          <x:t xml:space="preserve">PV-45</x:t>
        </x:is>
      </x:c>
      <x:c r="E319" s="6" t="inlineStr">
        <x:is>
          <x:t xml:space="preserve">PV-44</x:t>
        </x:is>
      </x:c>
      <x:c r="F319" s="6" t="inlineStr">
        <x:is>
          <x:t xml:space="preserve">PEAD</x:t>
        </x:is>
      </x:c>
      <x:c r="G319" s="6" t="n">
        <x:v>355</x:v>
      </x:c>
      <x:c r="H319" s="6" t="inlineStr">
        <x:is>
          <x:t xml:space="preserve">Método Não Destrutivo - MND</x:t>
        </x:is>
      </x:c>
      <x:c r="I319" s="7" t="n">
        <x:v>11.26</x:v>
      </x:c>
      <x:c r="J319" s="7" t="n">
        <x:v>3.67</x:v>
      </x:c>
      <x:c r="K319" s="7" t="n">
        <x:v>2.77</x:v>
      </x:c>
      <x:c r="L319" s="7" t="n">
        <x:v>3.67</x:v>
      </x:c>
      <x:c r="M319" s="6" t="inlineStr">
        <x:is>
          <x:t xml:space="preserve">não iniciada</x:t>
        </x:is>
      </x:c>
      <x:c r="N319" s="6" t="n"/>
      <x:c r="O319" s="7" t="n">
        <x:v>-23.5228865</x:v>
      </x:c>
      <x:c r="P319" s="7" t="n">
        <x:v>-46.3888505</x:v>
      </x:c>
      <x:c r="Q319" s="7" t="n">
        <x:v>-23.5229867</x:v>
      </x:c>
      <x:c r="R319" s="7" t="n">
        <x:v>-46.3888693</x:v>
      </x:c>
    </x:row>
    <x:row r="320">
      <x:c r="A320" s="6" t="inlineStr">
        <x:is>
          <x:t xml:space="preserve">cts_mar_de_coral</x:t>
        </x:is>
      </x:c>
      <x:c r="B320" s="6" t="inlineStr">
        <x:is>
          <x:t xml:space="preserve">CTS_-023</x:t>
        </x:is>
      </x:c>
      <x:c r="C320" s="6" t="inlineStr">
        <x:is>
          <x:t xml:space="preserve">PV-44 - PV-43</x:t>
        </x:is>
      </x:c>
      <x:c r="D320" s="6" t="inlineStr">
        <x:is>
          <x:t xml:space="preserve">PV-44</x:t>
        </x:is>
      </x:c>
      <x:c r="E320" s="6" t="inlineStr">
        <x:is>
          <x:t xml:space="preserve">PV-43</x:t>
        </x:is>
      </x:c>
      <x:c r="F320" s="6" t="inlineStr">
        <x:is>
          <x:t xml:space="preserve">PEAD</x:t>
        </x:is>
      </x:c>
      <x:c r="G320" s="6" t="n">
        <x:v>355</x:v>
      </x:c>
      <x:c r="H320" s="6" t="inlineStr">
        <x:is>
          <x:t xml:space="preserve">Método Não Destrutivo - MND</x:t>
        </x:is>
      </x:c>
      <x:c r="I320" s="7" t="n">
        <x:v>26.81</x:v>
      </x:c>
      <x:c r="J320" s="7" t="n">
        <x:v>4.57</x:v>
      </x:c>
      <x:c r="K320" s="7" t="n">
        <x:v>3.81</x:v>
      </x:c>
      <x:c r="L320" s="7" t="n">
        <x:v>4.57</x:v>
      </x:c>
      <x:c r="M320" s="6" t="inlineStr">
        <x:is>
          <x:t xml:space="preserve">não iniciada</x:t>
        </x:is>
      </x:c>
      <x:c r="N320" s="6" t="n"/>
      <x:c r="O320" s="7" t="n">
        <x:v>-23.5229867</x:v>
      </x:c>
      <x:c r="P320" s="7" t="n">
        <x:v>-46.3888693</x:v>
      </x:c>
      <x:c r="Q320" s="7" t="n">
        <x:v>-23.5232011</x:v>
      </x:c>
      <x:c r="R320" s="7" t="n">
        <x:v>-46.3889911</x:v>
      </x:c>
    </x:row>
    <x:row r="321">
      <x:c r="A321" s="6" t="inlineStr">
        <x:is>
          <x:t xml:space="preserve">cts_mar_de_coral</x:t>
        </x:is>
      </x:c>
      <x:c r="B321" s="6" t="inlineStr">
        <x:is>
          <x:t xml:space="preserve">CTS_-024</x:t>
        </x:is>
      </x:c>
      <x:c r="C321" s="6" t="inlineStr">
        <x:is>
          <x:t xml:space="preserve">PV-43 - PV-42</x:t>
        </x:is>
      </x:c>
      <x:c r="D321" s="6" t="inlineStr">
        <x:is>
          <x:t xml:space="preserve">PV-43</x:t>
        </x:is>
      </x:c>
      <x:c r="E321" s="6" t="inlineStr">
        <x:is>
          <x:t xml:space="preserve">PV-42</x:t>
        </x:is>
      </x:c>
      <x:c r="F321" s="6" t="inlineStr">
        <x:is>
          <x:t xml:space="preserve">PEAD</x:t>
        </x:is>
      </x:c>
      <x:c r="G321" s="6" t="n">
        <x:v>355</x:v>
      </x:c>
      <x:c r="H321" s="6" t="inlineStr">
        <x:is>
          <x:t xml:space="preserve">Método Não Destrutivo - MND</x:t>
        </x:is>
      </x:c>
      <x:c r="I321" s="7" t="n">
        <x:v>52.51</x:v>
      </x:c>
      <x:c r="J321" s="7" t="n">
        <x:v>3.81</x:v>
      </x:c>
      <x:c r="K321" s="7" t="n">
        <x:v>2.68</x:v>
      </x:c>
      <x:c r="L321" s="7" t="n">
        <x:v>3.81</x:v>
      </x:c>
      <x:c r="M321" s="6" t="inlineStr">
        <x:is>
          <x:t xml:space="preserve">não iniciada</x:t>
        </x:is>
      </x:c>
      <x:c r="N321" s="6" t="n"/>
      <x:c r="O321" s="7" t="n">
        <x:v>-23.5232011</x:v>
      </x:c>
      <x:c r="P321" s="7" t="n">
        <x:v>-46.3889911</x:v>
      </x:c>
      <x:c r="Q321" s="7" t="n">
        <x:v>-23.5233622</x:v>
      </x:c>
      <x:c r="R321" s="7" t="n">
        <x:v>-46.3894748</x:v>
      </x:c>
    </x:row>
    <x:row r="322">
      <x:c r="A322" s="6" t="inlineStr">
        <x:is>
          <x:t xml:space="preserve">cts_mar_de_coral</x:t>
        </x:is>
      </x:c>
      <x:c r="B322" s="6" t="inlineStr">
        <x:is>
          <x:t xml:space="preserve">CTS_-025</x:t>
        </x:is>
      </x:c>
      <x:c r="C322" s="6" t="inlineStr">
        <x:is>
          <x:t xml:space="preserve">PV-42 - PV-41</x:t>
        </x:is>
      </x:c>
      <x:c r="D322" s="6" t="inlineStr">
        <x:is>
          <x:t xml:space="preserve">PV-42</x:t>
        </x:is>
      </x:c>
      <x:c r="E322" s="6" t="inlineStr">
        <x:is>
          <x:t xml:space="preserve">PV-41</x:t>
        </x:is>
      </x:c>
      <x:c r="F322" s="6" t="inlineStr">
        <x:is>
          <x:t xml:space="preserve">PEAD</x:t>
        </x:is>
      </x:c>
      <x:c r="G322" s="6" t="n">
        <x:v>355</x:v>
      </x:c>
      <x:c r="H322" s="6" t="inlineStr">
        <x:is>
          <x:t xml:space="preserve">Método Não Destrutivo - MND</x:t>
        </x:is>
      </x:c>
      <x:c r="I322" s="7" t="n">
        <x:v>31.37</x:v>
      </x:c>
      <x:c r="J322" s="7" t="n">
        <x:v>2.68</x:v>
      </x:c>
      <x:c r="K322" s="7" t="n">
        <x:v>3.55</x:v>
      </x:c>
      <x:c r="L322" s="7" t="n">
        <x:v>3.55</x:v>
      </x:c>
      <x:c r="M322" s="6" t="inlineStr">
        <x:is>
          <x:t xml:space="preserve">não iniciada</x:t>
        </x:is>
      </x:c>
      <x:c r="N322" s="6" t="n"/>
      <x:c r="O322" s="7" t="n">
        <x:v>-23.5233622</x:v>
      </x:c>
      <x:c r="P322" s="7" t="n">
        <x:v>-46.3894748</x:v>
      </x:c>
      <x:c r="Q322" s="7" t="n">
        <x:v>-23.5234201</x:v>
      </x:c>
      <x:c r="R322" s="7" t="n">
        <x:v>-46.3897755</x:v>
      </x:c>
    </x:row>
    <x:row r="323">
      <x:c r="A323" s="6" t="inlineStr">
        <x:is>
          <x:t xml:space="preserve">cts_mar_de_coral</x:t>
        </x:is>
      </x:c>
      <x:c r="B323" s="6" t="inlineStr">
        <x:is>
          <x:t xml:space="preserve">CTS_-026</x:t>
        </x:is>
      </x:c>
      <x:c r="C323" s="6" t="inlineStr">
        <x:is>
          <x:t xml:space="preserve">PV-36 - PV-33</x:t>
        </x:is>
      </x:c>
      <x:c r="D323" s="6" t="inlineStr">
        <x:is>
          <x:t xml:space="preserve">PV-36</x:t>
        </x:is>
      </x:c>
      <x:c r="E323" s="6" t="inlineStr">
        <x:is>
          <x:t xml:space="preserve">PV-33</x:t>
        </x:is>
      </x:c>
      <x:c r="F323" s="6" t="inlineStr">
        <x:is>
          <x:t xml:space="preserve">PEAD</x:t>
        </x:is>
      </x:c>
      <x:c r="G323" s="6" t="n">
        <x:v>355</x:v>
      </x:c>
      <x:c r="H323" s="6" t="inlineStr">
        <x:is>
          <x:t xml:space="preserve">Método Não Destrutivo - MND</x:t>
        </x:is>
      </x:c>
      <x:c r="I323" s="7" t="n">
        <x:v>49.69</x:v>
      </x:c>
      <x:c r="J323" s="7" t="n">
        <x:v>4.25</x:v>
      </x:c>
      <x:c r="K323" s="7" t="n">
        <x:v>3.91</x:v>
      </x:c>
      <x:c r="L323" s="7" t="n">
        <x:v>4.25</x:v>
      </x:c>
      <x:c r="M323" s="6" t="inlineStr">
        <x:is>
          <x:t xml:space="preserve">não iniciada</x:t>
        </x:is>
      </x:c>
      <x:c r="N323" s="6" t="n"/>
      <x:c r="O323" s="7" t="n">
        <x:v>-23.5231399</x:v>
      </x:c>
      <x:c r="P323" s="7" t="n">
        <x:v>-46.3906743</x:v>
      </x:c>
      <x:c r="Q323" s="7" t="n">
        <x:v>-23.5232332</x:v>
      </x:c>
      <x:c r="R323" s="7" t="n">
        <x:v>-46.3911503</x:v>
      </x:c>
    </x:row>
    <x:row r="324">
      <x:c r="A324" s="6" t="inlineStr">
        <x:is>
          <x:t xml:space="preserve">cts_mar_de_coral</x:t>
        </x:is>
      </x:c>
      <x:c r="B324" s="6" t="inlineStr">
        <x:is>
          <x:t xml:space="preserve">CTS_-027</x:t>
        </x:is>
      </x:c>
      <x:c r="C324" s="6" t="inlineStr">
        <x:is>
          <x:t xml:space="preserve">PV-36 - PV-36</x:t>
        </x:is>
      </x:c>
      <x:c r="D324" s="6" t="inlineStr">
        <x:is>
          <x:t xml:space="preserve">PV-36</x:t>
        </x:is>
      </x:c>
      <x:c r="E324" s="6" t="inlineStr">
        <x:is>
          <x:t xml:space="preserve">PV-36</x:t>
        </x:is>
      </x:c>
      <x:c r="F324" s="6" t="inlineStr">
        <x:is>
          <x:t xml:space="preserve">PVC</x:t>
        </x:is>
      </x:c>
      <x:c r="G324" s="6" t="n">
        <x:v>200</x:v>
      </x:c>
      <x:c r="H324" s="6" t="inlineStr">
        <x:is>
          <x:t xml:space="preserve">Vala a Céu Aberto - VCA</x:t>
        </x:is>
      </x:c>
      <x:c r="I324" s="7" t="n">
        <x:v>5.11</x:v>
      </x:c>
      <x:c r="J324" s="7" t="n">
        <x:v>1.63</x:v>
      </x:c>
      <x:c r="K324" s="7" t="n">
        <x:v>2.11</x:v>
      </x:c>
      <x:c r="L324" s="7" t="n">
        <x:v>2.11</x:v>
      </x:c>
      <x:c r="M324" s="6" t="inlineStr">
        <x:is>
          <x:t xml:space="preserve">não iniciada</x:t>
        </x:is>
      </x:c>
      <x:c r="N324" s="6" t="n"/>
      <x:c r="O324" s="7" t="n">
        <x:v>-23.5231827</x:v>
      </x:c>
      <x:c r="P324" s="7" t="n">
        <x:v>-46.3906555</x:v>
      </x:c>
      <x:c r="Q324" s="7" t="n">
        <x:v>-23.5231399</x:v>
      </x:c>
      <x:c r="R324" s="7" t="n">
        <x:v>-46.3906743</x:v>
      </x:c>
    </x:row>
    <x:row r="325">
      <x:c r="A325" s="6" t="inlineStr">
        <x:is>
          <x:t xml:space="preserve">cts_mar_de_coral</x:t>
        </x:is>
      </x:c>
      <x:c r="B325" s="6" t="inlineStr">
        <x:is>
          <x:t xml:space="preserve">CTS_-028</x:t>
        </x:is>
      </x:c>
      <x:c r="C325" s="6" t="inlineStr">
        <x:is>
          <x:t xml:space="preserve">PV-36 - PV-36</x:t>
        </x:is>
      </x:c>
      <x:c r="D325" s="6" t="inlineStr">
        <x:is>
          <x:t xml:space="preserve">PV-36</x:t>
        </x:is>
      </x:c>
      <x:c r="E325" s="6" t="inlineStr">
        <x:is>
          <x:t xml:space="preserve">PV-36</x:t>
        </x:is>
      </x:c>
      <x:c r="F325" s="6" t="inlineStr">
        <x:is>
          <x:t xml:space="preserve">PVC</x:t>
        </x:is>
      </x:c>
      <x:c r="G325" s="6" t="n">
        <x:v>200</x:v>
      </x:c>
      <x:c r="H325" s="6" t="inlineStr">
        <x:is>
          <x:t xml:space="preserve">Vala a Céu Aberto - VCA</x:t>
        </x:is>
      </x:c>
      <x:c r="I325" s="7" t="n">
        <x:v>8.25</x:v>
      </x:c>
      <x:c r="J325" s="7" t="n">
        <x:v>1.74</x:v>
      </x:c>
      <x:c r="K325" s="7" t="n">
        <x:v>1.77</x:v>
      </x:c>
      <x:c r="L325" s="7" t="n">
        <x:v>1.77</x:v>
      </x:c>
      <x:c r="M325" s="6" t="inlineStr">
        <x:is>
          <x:t xml:space="preserve">não iniciada</x:t>
        </x:is>
      </x:c>
      <x:c r="N325" s="6" t="n"/>
      <x:c r="O325" s="7" t="n">
        <x:v>-23.5230663</x:v>
      </x:c>
      <x:c r="P325" s="7" t="n">
        <x:v>-46.3906865</x:v>
      </x:c>
      <x:c r="Q325" s="7" t="n">
        <x:v>-23.5231399</x:v>
      </x:c>
      <x:c r="R325" s="7" t="n">
        <x:v>-46.3906743</x:v>
      </x:c>
    </x:row>
    <x:row r="326">
      <x:c r="A326" s="6" t="inlineStr">
        <x:is>
          <x:t xml:space="preserve">cts_mar_de_coral</x:t>
        </x:is>
      </x:c>
      <x:c r="B326" s="6" t="inlineStr">
        <x:is>
          <x:t xml:space="preserve">CTS_-029</x:t>
        </x:is>
      </x:c>
      <x:c r="C326" s="6" t="inlineStr">
        <x:is>
          <x:t xml:space="preserve">PV-40 - PV-36</x:t>
        </x:is>
      </x:c>
      <x:c r="D326" s="6" t="inlineStr">
        <x:is>
          <x:t xml:space="preserve">PV-40</x:t>
        </x:is>
      </x:c>
      <x:c r="E326" s="6" t="inlineStr">
        <x:is>
          <x:t xml:space="preserve">PV-36</x:t>
        </x:is>
      </x:c>
      <x:c r="F326" s="6" t="inlineStr">
        <x:is>
          <x:t xml:space="preserve">PEAD</x:t>
        </x:is>
      </x:c>
      <x:c r="G326" s="6" t="n">
        <x:v>355</x:v>
      </x:c>
      <x:c r="H326" s="6" t="inlineStr">
        <x:is>
          <x:t xml:space="preserve">Método Não Destrutivo - MND</x:t>
        </x:is>
      </x:c>
      <x:c r="I326" s="7" t="n">
        <x:v>61.16</x:v>
      </x:c>
      <x:c r="J326" s="7" t="n">
        <x:v>3.5</x:v>
      </x:c>
      <x:c r="K326" s="7" t="n">
        <x:v>4.25</x:v>
      </x:c>
      <x:c r="L326" s="7" t="n">
        <x:v>4.25</x:v>
      </x:c>
      <x:c r="M326" s="6" t="inlineStr">
        <x:is>
          <x:t xml:space="preserve">não iniciada</x:t>
        </x:is>
      </x:c>
      <x:c r="N326" s="6" t="n"/>
      <x:c r="O326" s="7" t="n">
        <x:v>-23.5233612</x:v>
      </x:c>
      <x:c r="P326" s="7" t="n">
        <x:v>-46.3901255</x:v>
      </x:c>
      <x:c r="Q326" s="7" t="n">
        <x:v>-23.5231399</x:v>
      </x:c>
      <x:c r="R326" s="7" t="n">
        <x:v>-46.3906743</x:v>
      </x:c>
    </x:row>
    <x:row r="327">
      <x:c r="A327" s="6" t="inlineStr">
        <x:is>
          <x:t xml:space="preserve">cts_mar_de_coral</x:t>
        </x:is>
      </x:c>
      <x:c r="B327" s="6" t="inlineStr">
        <x:is>
          <x:t xml:space="preserve">CTS_-030</x:t>
        </x:is>
      </x:c>
      <x:c r="C327" s="6" t="inlineStr">
        <x:is>
          <x:t xml:space="preserve">PV-41 - PV-40</x:t>
        </x:is>
      </x:c>
      <x:c r="D327" s="6" t="inlineStr">
        <x:is>
          <x:t xml:space="preserve">PV-41</x:t>
        </x:is>
      </x:c>
      <x:c r="E327" s="6" t="inlineStr">
        <x:is>
          <x:t xml:space="preserve">PV-40</x:t>
        </x:is>
      </x:c>
      <x:c r="F327" s="6" t="inlineStr">
        <x:is>
          <x:t xml:space="preserve">PEAD</x:t>
        </x:is>
      </x:c>
      <x:c r="G327" s="6" t="n">
        <x:v>355</x:v>
      </x:c>
      <x:c r="H327" s="6" t="inlineStr">
        <x:is>
          <x:t xml:space="preserve">Método Não Destrutivo - MND</x:t>
        </x:is>
      </x:c>
      <x:c r="I327" s="7" t="n">
        <x:v>36.32</x:v>
      </x:c>
      <x:c r="J327" s="7" t="n">
        <x:v>4.04</x:v>
      </x:c>
      <x:c r="K327" s="7" t="n">
        <x:v>3.5</x:v>
      </x:c>
      <x:c r="L327" s="7" t="n">
        <x:v>4.04</x:v>
      </x:c>
      <x:c r="M327" s="6" t="inlineStr">
        <x:is>
          <x:t xml:space="preserve">não iniciada</x:t>
        </x:is>
      </x:c>
      <x:c r="N327" s="6" t="n"/>
      <x:c r="O327" s="7" t="n">
        <x:v>-23.5234201</x:v>
      </x:c>
      <x:c r="P327" s="7" t="n">
        <x:v>-46.3897755</x:v>
      </x:c>
      <x:c r="Q327" s="7" t="n">
        <x:v>-23.5233612</x:v>
      </x:c>
      <x:c r="R327" s="7" t="n">
        <x:v>-46.3901255</x:v>
      </x:c>
    </x:row>
    <x:row r="328">
      <x:c r="A328" s="6" t="inlineStr">
        <x:is>
          <x:t xml:space="preserve">cts_mar_de_coral</x:t>
        </x:is>
      </x:c>
      <x:c r="B328" s="6" t="inlineStr">
        <x:is>
          <x:t xml:space="preserve">CTS_-031</x:t>
        </x:is>
      </x:c>
      <x:c r="C328" s="6" t="inlineStr">
        <x:is>
          <x:t xml:space="preserve">PV-161 - PV-16</x:t>
        </x:is>
      </x:c>
      <x:c r="D328" s="6" t="inlineStr">
        <x:is>
          <x:t xml:space="preserve">PV-161</x:t>
        </x:is>
      </x:c>
      <x:c r="E328" s="6" t="inlineStr">
        <x:is>
          <x:t xml:space="preserve">PV-16</x:t>
        </x:is>
      </x:c>
      <x:c r="F328" s="6" t="inlineStr">
        <x:is>
          <x:t xml:space="preserve">PVC</x:t>
        </x:is>
      </x:c>
      <x:c r="G328" s="6" t="n">
        <x:v>200</x:v>
      </x:c>
      <x:c r="H328" s="6" t="inlineStr">
        <x:is>
          <x:t xml:space="preserve">Vala a Céu Aberto - VCA</x:t>
        </x:is>
      </x:c>
      <x:c r="I328" s="7" t="n">
        <x:v>4.24</x:v>
      </x:c>
      <x:c r="J328" s="7" t="n">
        <x:v>2.31</x:v>
      </x:c>
      <x:c r="K328" s="7" t="n">
        <x:v>1.92</x:v>
      </x:c>
      <x:c r="L328" s="7" t="n">
        <x:v>2.31</x:v>
      </x:c>
      <x:c r="M328" s="6" t="inlineStr">
        <x:is>
          <x:t xml:space="preserve">não iniciada</x:t>
        </x:is>
      </x:c>
      <x:c r="N328" s="6" t="n"/>
      <x:c r="O328" s="7" t="n">
        <x:v>-23.5240993</x:v>
      </x:c>
      <x:c r="P328" s="7" t="n">
        <x:v>-46.3936203</x:v>
      </x:c>
      <x:c r="Q328" s="7" t="n">
        <x:v>-23.5241326</x:v>
      </x:c>
      <x:c r="R328" s="7" t="n">
        <x:v>-46.3936408</x:v>
      </x:c>
    </x:row>
    <x:row r="329">
      <x:c r="A329" s="6" t="inlineStr">
        <x:is>
          <x:t xml:space="preserve">cts_mar_de_coral</x:t>
        </x:is>
      </x:c>
      <x:c r="B329" s="6" t="inlineStr">
        <x:is>
          <x:t xml:space="preserve">CTS_-032</x:t>
        </x:is>
      </x:c>
      <x:c r="C329" s="6" t="inlineStr">
        <x:is>
          <x:t xml:space="preserve">PV-25 - PV-23</x:t>
        </x:is>
      </x:c>
      <x:c r="D329" s="6" t="inlineStr">
        <x:is>
          <x:t xml:space="preserve">PV-25</x:t>
        </x:is>
      </x:c>
      <x:c r="E329" s="6" t="inlineStr">
        <x:is>
          <x:t xml:space="preserve">PV-23</x:t>
        </x:is>
      </x:c>
      <x:c r="F329" s="6" t="inlineStr">
        <x:is>
          <x:t xml:space="preserve">PEAD</x:t>
        </x:is>
      </x:c>
      <x:c r="G329" s="6" t="n">
        <x:v>355</x:v>
      </x:c>
      <x:c r="H329" s="6" t="inlineStr">
        <x:is>
          <x:t xml:space="preserve">Método Não Destrutivo - MND</x:t>
        </x:is>
      </x:c>
      <x:c r="I329" s="7" t="n">
        <x:v>30.12</x:v>
      </x:c>
      <x:c r="J329" s="7" t="n">
        <x:v>3.72</x:v>
      </x:c>
      <x:c r="K329" s="7" t="n">
        <x:v>2.89</x:v>
      </x:c>
      <x:c r="L329" s="7" t="n">
        <x:v>3.72</x:v>
      </x:c>
      <x:c r="M329" s="6" t="inlineStr">
        <x:is>
          <x:t xml:space="preserve">não iniciada</x:t>
        </x:is>
      </x:c>
      <x:c r="N329" s="6" t="n"/>
      <x:c r="O329" s="7" t="n">
        <x:v>-23.523608</x:v>
      </x:c>
      <x:c r="P329" s="7" t="n">
        <x:v>-46.3921906</x:v>
      </x:c>
      <x:c r="Q329" s="7" t="n">
        <x:v>-23.5237154</x:v>
      </x:c>
      <x:c r="R329" s="7" t="n">
        <x:v>-46.3924615</x:v>
      </x:c>
    </x:row>
    <x:row r="330">
      <x:c r="A330" s="6" t="inlineStr">
        <x:is>
          <x:t xml:space="preserve">cts_mar_de_coral</x:t>
        </x:is>
      </x:c>
      <x:c r="B330" s="6" t="inlineStr">
        <x:is>
          <x:t xml:space="preserve">CTS_-033</x:t>
        </x:is>
      </x:c>
      <x:c r="C330" s="6" t="inlineStr">
        <x:is>
          <x:t xml:space="preserve">PV-30 - PV-25</x:t>
        </x:is>
      </x:c>
      <x:c r="D330" s="6" t="inlineStr">
        <x:is>
          <x:t xml:space="preserve">PV-30</x:t>
        </x:is>
      </x:c>
      <x:c r="E330" s="6" t="inlineStr">
        <x:is>
          <x:t xml:space="preserve">PV-25</x:t>
        </x:is>
      </x:c>
      <x:c r="F330" s="6" t="inlineStr">
        <x:is>
          <x:t xml:space="preserve">PEAD</x:t>
        </x:is>
      </x:c>
      <x:c r="G330" s="6" t="n">
        <x:v>355</x:v>
      </x:c>
      <x:c r="H330" s="6" t="inlineStr">
        <x:is>
          <x:t xml:space="preserve">Método Não Destrutivo - MND</x:t>
        </x:is>
      </x:c>
      <x:c r="I330" s="7" t="n">
        <x:v>66.79000000000001</x:v>
      </x:c>
      <x:c r="J330" s="7" t="n">
        <x:v>3.94</x:v>
      </x:c>
      <x:c r="K330" s="7" t="n">
        <x:v>3.8</x:v>
      </x:c>
      <x:c r="L330" s="7" t="n">
        <x:v>3.94</x:v>
      </x:c>
      <x:c r="M330" s="6" t="inlineStr">
        <x:is>
          <x:t xml:space="preserve">não iniciada</x:t>
        </x:is>
      </x:c>
      <x:c r="N330" s="6" t="n"/>
      <x:c r="O330" s="7" t="n">
        <x:v>-23.5233137</x:v>
      </x:c>
      <x:c r="P330" s="7" t="n">
        <x:v>-46.3916196</x:v>
      </x:c>
      <x:c r="Q330" s="7" t="n">
        <x:v>-23.523608</x:v>
      </x:c>
      <x:c r="R330" s="7" t="n">
        <x:v>-46.3921906</x:v>
      </x:c>
    </x:row>
    <x:row r="331">
      <x:c r="A331" s="6" t="inlineStr">
        <x:is>
          <x:t xml:space="preserve">cts_mar_de_coral</x:t>
        </x:is>
      </x:c>
      <x:c r="B331" s="6" t="inlineStr">
        <x:is>
          <x:t xml:space="preserve">CTS_-034</x:t>
        </x:is>
      </x:c>
      <x:c r="C331" s="6" t="inlineStr">
        <x:is>
          <x:t xml:space="preserve">PV-33 - PV-30</x:t>
        </x:is>
      </x:c>
      <x:c r="D331" s="6" t="inlineStr">
        <x:is>
          <x:t xml:space="preserve">PV-33</x:t>
        </x:is>
      </x:c>
      <x:c r="E331" s="6" t="inlineStr">
        <x:is>
          <x:t xml:space="preserve">PV-30</x:t>
        </x:is>
      </x:c>
      <x:c r="F331" s="6" t="inlineStr">
        <x:is>
          <x:t xml:space="preserve">PEAD</x:t>
        </x:is>
      </x:c>
      <x:c r="G331" s="6" t="n">
        <x:v>355</x:v>
      </x:c>
      <x:c r="H331" s="6" t="inlineStr">
        <x:is>
          <x:t xml:space="preserve">Método Não Destrutivo - MND</x:t>
        </x:is>
      </x:c>
      <x:c r="I331" s="7" t="n">
        <x:v>48.73</x:v>
      </x:c>
      <x:c r="J331" s="7" t="n">
        <x:v>4.05</x:v>
      </x:c>
      <x:c r="K331" s="7" t="n">
        <x:v>3.94</x:v>
      </x:c>
      <x:c r="L331" s="7" t="n">
        <x:v>4.05</x:v>
      </x:c>
      <x:c r="M331" s="6" t="inlineStr">
        <x:is>
          <x:t xml:space="preserve">não iniciada</x:t>
        </x:is>
      </x:c>
      <x:c r="N331" s="6" t="n"/>
      <x:c r="O331" s="7" t="n">
        <x:v>-23.5232332</x:v>
      </x:c>
      <x:c r="P331" s="7" t="n">
        <x:v>-46.3911503</x:v>
      </x:c>
      <x:c r="Q331" s="7" t="n">
        <x:v>-23.5233137</x:v>
      </x:c>
      <x:c r="R331" s="7" t="n">
        <x:v>-46.3916196</x:v>
      </x:c>
    </x:row>
    <x:row r="332">
      <x:c r="A332" s="6" t="inlineStr">
        <x:is>
          <x:t xml:space="preserve">cts_mar_de_coral</x:t>
        </x:is>
      </x:c>
      <x:c r="B332" s="6" t="inlineStr">
        <x:is>
          <x:t xml:space="preserve">CTS_-035</x:t>
        </x:is>
      </x:c>
      <x:c r="C332" s="6" t="inlineStr">
        <x:is>
          <x:t xml:space="preserve">PV-22 - PV-22</x:t>
        </x:is>
      </x:c>
      <x:c r="D332" s="6" t="inlineStr">
        <x:is>
          <x:t xml:space="preserve">PV-22</x:t>
        </x:is>
      </x:c>
      <x:c r="E332" s="6" t="inlineStr">
        <x:is>
          <x:t xml:space="preserve">PV-22</x:t>
        </x:is>
      </x:c>
      <x:c r="F332" s="6" t="inlineStr">
        <x:is>
          <x:t xml:space="preserve">PEAD</x:t>
        </x:is>
      </x:c>
      <x:c r="G332" s="6" t="n">
        <x:v>225</x:v>
      </x:c>
      <x:c r="H332" s="6" t="inlineStr">
        <x:is>
          <x:t xml:space="preserve">Método Não Destrutivo - MND</x:t>
        </x:is>
      </x:c>
      <x:c r="I332" s="7" t="n">
        <x:v>9.949999999999999</x:v>
      </x:c>
      <x:c r="J332" s="7" t="n">
        <x:v>2.2</x:v>
      </x:c>
      <x:c r="K332" s="7" t="n">
        <x:v>3.27</x:v>
      </x:c>
      <x:c r="L332" s="7" t="n">
        <x:v>3.27</x:v>
      </x:c>
      <x:c r="M332" s="6" t="inlineStr">
        <x:is>
          <x:t xml:space="preserve">não iniciada</x:t>
        </x:is>
      </x:c>
      <x:c r="N332" s="6" t="n"/>
      <x:c r="O332" s="7" t="n">
        <x:v>-23.5237411</x:v>
      </x:c>
      <x:c r="P332" s="7" t="n">
        <x:v>-46.3929283</x:v>
      </x:c>
      <x:c r="Q332" s="7" t="n">
        <x:v>-23.5238407</x:v>
      </x:c>
      <x:c r="R332" s="7" t="n">
        <x:v>-46.3929417</x:v>
      </x:c>
    </x:row>
    <x:row r="333">
      <x:c r="A333" s="6" t="inlineStr">
        <x:is>
          <x:t xml:space="preserve">cts_mar_de_coral</x:t>
        </x:is>
      </x:c>
      <x:c r="B333" s="6" t="inlineStr">
        <x:is>
          <x:t xml:space="preserve">CTS_-036</x:t>
        </x:is>
      </x:c>
      <x:c r="C333" s="6" t="inlineStr">
        <x:is>
          <x:t xml:space="preserve">PV-421 - PV-42</x:t>
        </x:is>
      </x:c>
      <x:c r="D333" s="6" t="inlineStr">
        <x:is>
          <x:t xml:space="preserve">PV-421</x:t>
        </x:is>
      </x:c>
      <x:c r="E333" s="6" t="inlineStr">
        <x:is>
          <x:t xml:space="preserve">PV-42</x:t>
        </x:is>
      </x:c>
      <x:c r="F333" s="6" t="inlineStr">
        <x:is>
          <x:t xml:space="preserve">PVC</x:t>
        </x:is>
      </x:c>
      <x:c r="G333" s="6" t="n">
        <x:v>200</x:v>
      </x:c>
      <x:c r="H333" s="6" t="inlineStr">
        <x:is>
          <x:t xml:space="preserve">Método Não Destrutivo - MND</x:t>
        </x:is>
      </x:c>
      <x:c r="I333" s="7" t="n">
        <x:v>28.72</x:v>
      </x:c>
      <x:c r="J333" s="7" t="n">
        <x:v>1.73</x:v>
      </x:c>
      <x:c r="K333" s="7" t="n">
        <x:v>0.85</x:v>
      </x:c>
      <x:c r="L333" s="7" t="n">
        <x:v>1.73</x:v>
      </x:c>
      <x:c r="M333" s="6" t="inlineStr">
        <x:is>
          <x:t xml:space="preserve">não iniciada</x:t>
        </x:is>
      </x:c>
      <x:c r="N333" s="6" t="n"/>
      <x:c r="O333" s="7" t="n">
        <x:v>-23.5234922</x:v>
      </x:c>
      <x:c r="P333" s="7" t="n">
        <x:v>-46.3892315</x:v>
      </x:c>
      <x:c r="Q333" s="7" t="n">
        <x:v>-23.5233622</x:v>
      </x:c>
      <x:c r="R333" s="7" t="n">
        <x:v>-46.3894748</x:v>
      </x:c>
    </x:row>
    <x:row r="334">
      <x:c r="A334" s="6" t="inlineStr">
        <x:is>
          <x:t xml:space="preserve">cts_mar_de_coral</x:t>
        </x:is>
      </x:c>
      <x:c r="B334" s="6" t="inlineStr">
        <x:is>
          <x:t xml:space="preserve">CTS_-037</x:t>
        </x:is>
      </x:c>
      <x:c r="C334" s="6" t="inlineStr">
        <x:is>
          <x:t xml:space="preserve">PV-191 - PV-19</x:t>
        </x:is>
      </x:c>
      <x:c r="D334" s="6" t="inlineStr">
        <x:is>
          <x:t xml:space="preserve">PV-191</x:t>
        </x:is>
      </x:c>
      <x:c r="E334" s="6" t="inlineStr">
        <x:is>
          <x:t xml:space="preserve">PV-19</x:t>
        </x:is>
      </x:c>
      <x:c r="F334" s="6" t="inlineStr">
        <x:is>
          <x:t xml:space="preserve">PVC</x:t>
        </x:is>
      </x:c>
      <x:c r="G334" s="6" t="n">
        <x:v>200</x:v>
      </x:c>
      <x:c r="H334" s="6" t="inlineStr">
        <x:is>
          <x:t xml:space="preserve">Vala a Céu Aberto - VCA</x:t>
        </x:is>
      </x:c>
      <x:c r="I334" s="7" t="n">
        <x:v>7.46</x:v>
      </x:c>
      <x:c r="J334" s="7" t="n">
        <x:v>2.35</x:v>
      </x:c>
      <x:c r="K334" s="7" t="n">
        <x:v>2.92</x:v>
      </x:c>
      <x:c r="L334" s="7" t="n">
        <x:v>2.92</x:v>
      </x:c>
      <x:c r="M334" s="6" t="inlineStr">
        <x:is>
          <x:t xml:space="preserve">não iniciada</x:t>
        </x:is>
      </x:c>
      <x:c r="N334" s="6" t="n"/>
      <x:c r="O334" s="7" t="n">
        <x:v>-23.5238672</x:v>
      </x:c>
      <x:c r="P334" s="7" t="n">
        <x:v>-46.3932563</x:v>
      </x:c>
      <x:c r="Q334" s="7" t="n">
        <x:v>-23.5239346</x:v>
      </x:c>
      <x:c r="R334" s="7" t="n">
        <x:v>-46.3932551</x:v>
      </x:c>
    </x:row>
    <x:row r="335">
      <x:c r="A335" s="6" t="inlineStr">
        <x:is>
          <x:t xml:space="preserve">cts_mar_de_coral</x:t>
        </x:is>
      </x:c>
      <x:c r="B335" s="6" t="inlineStr">
        <x:is>
          <x:t xml:space="preserve">CTS_-038</x:t>
        </x:is>
      </x:c>
      <x:c r="C335" s="6" t="inlineStr">
        <x:is>
          <x:t xml:space="preserve">PV-191 - PV-191</x:t>
        </x:is>
      </x:c>
      <x:c r="D335" s="6" t="inlineStr">
        <x:is>
          <x:t xml:space="preserve">PV-191</x:t>
        </x:is>
      </x:c>
      <x:c r="E335" s="6" t="inlineStr">
        <x:is>
          <x:t xml:space="preserve">PV-191</x:t>
        </x:is>
      </x:c>
      <x:c r="F335" s="6" t="inlineStr">
        <x:is>
          <x:t xml:space="preserve">PVC</x:t>
        </x:is>
      </x:c>
      <x:c r="G335" s="6" t="n">
        <x:v>200</x:v>
      </x:c>
      <x:c r="H335" s="6" t="inlineStr">
        <x:is>
          <x:t xml:space="preserve">Vala a Céu Aberto - VCA</x:t>
        </x:is>
      </x:c>
      <x:c r="I335" s="7" t="n">
        <x:v>4.63</x:v>
      </x:c>
      <x:c r="J335" s="7" t="n">
        <x:v>1.66</x:v>
      </x:c>
      <x:c r="K335" s="7" t="n">
        <x:v>2.35</x:v>
      </x:c>
      <x:c r="L335" s="7" t="n">
        <x:v>2.35</x:v>
      </x:c>
      <x:c r="M335" s="6" t="inlineStr">
        <x:is>
          <x:t xml:space="preserve">não iniciada</x:t>
        </x:is>
      </x:c>
      <x:c r="N335" s="6" t="n"/>
      <x:c r="O335" s="7" t="n">
        <x:v>-23.5238424</x:v>
      </x:c>
      <x:c r="P335" s="7" t="n">
        <x:v>-46.3932197</x:v>
      </x:c>
      <x:c r="Q335" s="7" t="n">
        <x:v>-23.5238672</x:v>
      </x:c>
      <x:c r="R335" s="7" t="n">
        <x:v>-46.3932563</x:v>
      </x:c>
    </x:row>
    <x:row r="336">
      <x:c r="A336" s="6" t="inlineStr">
        <x:is>
          <x:t xml:space="preserve">cts_mar_de_coral</x:t>
        </x:is>
      </x:c>
      <x:c r="B336" s="6" t="inlineStr">
        <x:is>
          <x:t xml:space="preserve">CTS_-039</x:t>
        </x:is>
      </x:c>
      <x:c r="C336" s="6" t="inlineStr">
        <x:is>
          <x:t xml:space="preserve">PV-191 - PV-19</x:t>
        </x:is>
      </x:c>
      <x:c r="D336" s="6" t="inlineStr">
        <x:is>
          <x:t xml:space="preserve">PV-191</x:t>
        </x:is>
      </x:c>
      <x:c r="E336" s="6" t="inlineStr">
        <x:is>
          <x:t xml:space="preserve">PV-19</x:t>
        </x:is>
      </x:c>
      <x:c r="F336" s="6" t="inlineStr">
        <x:is>
          <x:t xml:space="preserve">PVC</x:t>
        </x:is>
      </x:c>
      <x:c r="G336" s="6" t="n">
        <x:v>200</x:v>
      </x:c>
      <x:c r="H336" s="6" t="inlineStr">
        <x:is>
          <x:t xml:space="preserve">Vala a Céu Aberto - VCA</x:t>
        </x:is>
      </x:c>
      <x:c r="I336" s="7" t="n">
        <x:v>5.96</x:v>
      </x:c>
      <x:c r="J336" s="7" t="n">
        <x:v>1.47</x:v>
      </x:c>
      <x:c r="K336" s="7" t="n">
        <x:v>2.92</x:v>
      </x:c>
      <x:c r="L336" s="7" t="n">
        <x:v>2.92</x:v>
      </x:c>
      <x:c r="M336" s="6" t="inlineStr">
        <x:is>
          <x:t xml:space="preserve">não iniciada</x:t>
        </x:is>
      </x:c>
      <x:c r="N336" s="6" t="n"/>
      <x:c r="O336" s="7" t="n">
        <x:v>-23.5238919</x:v>
      </x:c>
      <x:c r="P336" s="7" t="n">
        <x:v>-46.3932195</x:v>
      </x:c>
      <x:c r="Q336" s="7" t="n">
        <x:v>-23.5239346</x:v>
      </x:c>
      <x:c r="R336" s="7" t="n">
        <x:v>-46.3932551</x:v>
      </x:c>
    </x:row>
    <x:row r="337">
      <x:c r="A337" s="6" t="inlineStr">
        <x:is>
          <x:t xml:space="preserve">cts_mar_de_coral</x:t>
        </x:is>
      </x:c>
      <x:c r="B337" s="6" t="inlineStr">
        <x:is>
          <x:t xml:space="preserve">CTS_-040</x:t>
        </x:is>
      </x:c>
      <x:c r="C337" s="6" t="inlineStr">
        <x:is>
          <x:t xml:space="preserve">PV-221 - PV-22</x:t>
        </x:is>
      </x:c>
      <x:c r="D337" s="6" t="inlineStr">
        <x:is>
          <x:t xml:space="preserve">PV-221</x:t>
        </x:is>
      </x:c>
      <x:c r="E337" s="6" t="inlineStr">
        <x:is>
          <x:t xml:space="preserve">PV-22</x:t>
        </x:is>
      </x:c>
      <x:c r="F337" s="6" t="inlineStr">
        <x:is>
          <x:t xml:space="preserve">PVC</x:t>
        </x:is>
      </x:c>
      <x:c r="G337" s="6" t="n">
        <x:v>200</x:v>
      </x:c>
      <x:c r="H337" s="6" t="inlineStr">
        <x:is>
          <x:t xml:space="preserve">Vala a Céu Aberto - VCA</x:t>
        </x:is>
      </x:c>
      <x:c r="I337" s="7" t="n">
        <x:v>3.72</x:v>
      </x:c>
      <x:c r="J337" s="7" t="n">
        <x:v>1.66</x:v>
      </x:c>
      <x:c r="K337" s="7" t="n">
        <x:v>2.69</x:v>
      </x:c>
      <x:c r="L337" s="7" t="n">
        <x:v>2.69</x:v>
      </x:c>
      <x:c r="M337" s="6" t="inlineStr">
        <x:is>
          <x:t xml:space="preserve">não iniciada</x:t>
        </x:is>
      </x:c>
      <x:c r="N337" s="6" t="n"/>
      <x:c r="O337" s="7" t="n">
        <x:v>-23.5238691</x:v>
      </x:c>
      <x:c r="P337" s="7" t="n">
        <x:v>-46.3929211</x:v>
      </x:c>
      <x:c r="Q337" s="7" t="n">
        <x:v>-23.5238407</x:v>
      </x:c>
      <x:c r="R337" s="7" t="n">
        <x:v>-46.3929417</x:v>
      </x:c>
    </x:row>
    <x:row r="338">
      <x:c r="A338" s="6" t="inlineStr">
        <x:is>
          <x:t xml:space="preserve">cts_mar_de_coral</x:t>
        </x:is>
      </x:c>
      <x:c r="B338" s="6" t="inlineStr">
        <x:is>
          <x:t xml:space="preserve">CTS_-041</x:t>
        </x:is>
      </x:c>
      <x:c r="C338" s="6" t="inlineStr">
        <x:is>
          <x:t xml:space="preserve">PV-221 - PV-221</x:t>
        </x:is>
      </x:c>
      <x:c r="D338" s="6" t="inlineStr">
        <x:is>
          <x:t xml:space="preserve">PV-221</x:t>
        </x:is>
      </x:c>
      <x:c r="E338" s="6" t="inlineStr">
        <x:is>
          <x:t xml:space="preserve">PV-221</x:t>
        </x:is>
      </x:c>
      <x:c r="F338" s="6" t="inlineStr">
        <x:is>
          <x:t xml:space="preserve">PVC</x:t>
        </x:is>
      </x:c>
      <x:c r="G338" s="6" t="n">
        <x:v>200</x:v>
      </x:c>
      <x:c r="H338" s="6" t="inlineStr">
        <x:is>
          <x:t xml:space="preserve">Vala a Céu Aberto - VCA</x:t>
        </x:is>
      </x:c>
      <x:c r="I338" s="7" t="n">
        <x:v>2.72</x:v>
      </x:c>
      <x:c r="J338" s="7" t="n">
        <x:v>1.73</x:v>
      </x:c>
      <x:c r="K338" s="7" t="n">
        <x:v>1.63</x:v>
      </x:c>
      <x:c r="L338" s="7" t="n">
        <x:v>1.73</x:v>
      </x:c>
      <x:c r="M338" s="6" t="inlineStr">
        <x:is>
          <x:t xml:space="preserve">não iniciada</x:t>
        </x:is>
      </x:c>
      <x:c r="N338" s="6" t="n"/>
      <x:c r="O338" s="7" t="n">
        <x:v>-23.5238887</x:v>
      </x:c>
      <x:c r="P338" s="7" t="n">
        <x:v>-46.3929033</x:v>
      </x:c>
      <x:c r="Q338" s="7" t="n">
        <x:v>-23.5238691</x:v>
      </x:c>
      <x:c r="R338" s="7" t="n">
        <x:v>-46.3929211</x:v>
      </x:c>
    </x:row>
    <x:row r="339">
      <x:c r="A339" s="6" t="inlineStr">
        <x:is>
          <x:t xml:space="preserve">cts_mar_de_coral</x:t>
        </x:is>
      </x:c>
      <x:c r="B339" s="6" t="inlineStr">
        <x:is>
          <x:t xml:space="preserve">CTS_-042</x:t>
        </x:is>
      </x:c>
      <x:c r="C339" s="6" t="inlineStr">
        <x:is>
          <x:t xml:space="preserve">PV-221 - PV-221</x:t>
        </x:is>
      </x:c>
      <x:c r="D339" s="6" t="inlineStr">
        <x:is>
          <x:t xml:space="preserve">PV-221</x:t>
        </x:is>
      </x:c>
      <x:c r="E339" s="6" t="inlineStr">
        <x:is>
          <x:t xml:space="preserve">PV-221</x:t>
        </x:is>
      </x:c>
      <x:c r="F339" s="6" t="inlineStr">
        <x:is>
          <x:t xml:space="preserve">PVC</x:t>
        </x:is>
      </x:c>
      <x:c r="G339" s="6" t="n">
        <x:v>200</x:v>
      </x:c>
      <x:c r="H339" s="6" t="inlineStr">
        <x:is>
          <x:t xml:space="preserve">Vala a Céu Aberto - VCA</x:t>
        </x:is>
      </x:c>
      <x:c r="I339" s="7" t="n">
        <x:v>6.18</x:v>
      </x:c>
      <x:c r="J339" s="7" t="n">
        <x:v>1.66</x:v>
      </x:c>
      <x:c r="K339" s="7" t="n">
        <x:v>1.34</x:v>
      </x:c>
      <x:c r="L339" s="7" t="n">
        <x:v>1.66</x:v>
      </x:c>
      <x:c r="M339" s="6" t="inlineStr">
        <x:is>
          <x:t xml:space="preserve">não iniciada</x:t>
        </x:is>
      </x:c>
      <x:c r="N339" s="6" t="n"/>
      <x:c r="O339" s="7" t="n">
        <x:v>-23.523883</x:v>
      </x:c>
      <x:c r="P339" s="7" t="n">
        <x:v>-46.3928687</x:v>
      </x:c>
      <x:c r="Q339" s="7" t="n">
        <x:v>-23.5238691</x:v>
      </x:c>
      <x:c r="R339" s="7" t="n">
        <x:v>-46.3929211</x:v>
      </x:c>
    </x:row>
    <x:row r="340">
      <x:c r="A340" s="6" t="inlineStr">
        <x:is>
          <x:t xml:space="preserve">ct_benfica</x:t>
        </x:is>
      </x:c>
      <x:c r="B340" s="6" t="inlineStr">
        <x:is>
          <x:t xml:space="preserve">CT_B-001</x:t>
        </x:is>
      </x:c>
      <x:c r="C340" s="6" t="inlineStr">
        <x:is>
          <x:t xml:space="preserve">PV-11 - PV-10</x:t>
        </x:is>
      </x:c>
      <x:c r="D340" s="6" t="inlineStr">
        <x:is>
          <x:t xml:space="preserve">PV-11</x:t>
        </x:is>
      </x:c>
      <x:c r="E340" s="6" t="inlineStr">
        <x:is>
          <x:t xml:space="preserve">PV-10</x:t>
        </x:is>
      </x:c>
      <x:c r="F340" s="6" t="inlineStr">
        <x:is>
          <x:t xml:space="preserve">PEAD</x:t>
        </x:is>
      </x:c>
      <x:c r="G340" s="6" t="n">
        <x:v>355</x:v>
      </x:c>
      <x:c r="H340" s="6" t="inlineStr">
        <x:is>
          <x:t xml:space="preserve">Método Não Destrutivo - MND</x:t>
        </x:is>
      </x:c>
      <x:c r="I340" s="7" t="n">
        <x:v>69.34</x:v>
      </x:c>
      <x:c r="J340" s="7" t="n">
        <x:v>9.24</x:v>
      </x:c>
      <x:c r="K340" s="7" t="n">
        <x:v>6.93</x:v>
      </x:c>
      <x:c r="L340" s="7" t="n">
        <x:v>9.24</x:v>
      </x:c>
      <x:c r="M340" s="6" t="inlineStr">
        <x:is>
          <x:t xml:space="preserve">não iniciada</x:t>
        </x:is>
      </x:c>
      <x:c r="N340" s="6" t="n"/>
      <x:c r="O340" s="7" t="n">
        <x:v>-23.5147695</x:v>
      </x:c>
      <x:c r="P340" s="7" t="n">
        <x:v>-46.3985844</x:v>
      </x:c>
      <x:c r="Q340" s="7" t="n">
        <x:v>-23.5147505</x:v>
      </x:c>
      <x:c r="R340" s="7" t="n">
        <x:v>-46.3992631</x:v>
      </x:c>
    </x:row>
    <x:row r="341">
      <x:c r="A341" s="6" t="inlineStr">
        <x:is>
          <x:t xml:space="preserve">ct_benfica</x:t>
        </x:is>
      </x:c>
      <x:c r="B341" s="6" t="inlineStr">
        <x:is>
          <x:t xml:space="preserve">CT_B-002</x:t>
        </x:is>
      </x:c>
      <x:c r="C341" s="6" t="inlineStr">
        <x:is>
          <x:t xml:space="preserve">PV-10 - PV-9</x:t>
        </x:is>
      </x:c>
      <x:c r="D341" s="6" t="inlineStr">
        <x:is>
          <x:t xml:space="preserve">PV-10</x:t>
        </x:is>
      </x:c>
      <x:c r="E341" s="6" t="inlineStr">
        <x:is>
          <x:t xml:space="preserve">PV-9</x:t>
        </x:is>
      </x:c>
      <x:c r="F341" s="6" t="inlineStr">
        <x:is>
          <x:t xml:space="preserve">PEAD</x:t>
        </x:is>
      </x:c>
      <x:c r="G341" s="6" t="n">
        <x:v>355</x:v>
      </x:c>
      <x:c r="H341" s="6" t="inlineStr">
        <x:is>
          <x:t xml:space="preserve">Método Não Destrutivo - MND</x:t>
        </x:is>
      </x:c>
      <x:c r="I341" s="7" t="n">
        <x:v>75.68000000000001</x:v>
      </x:c>
      <x:c r="J341" s="7" t="n">
        <x:v>6.93</x:v>
      </x:c>
      <x:c r="K341" s="7" t="n">
        <x:v>3.8</x:v>
      </x:c>
      <x:c r="L341" s="7" t="n">
        <x:v>6.93</x:v>
      </x:c>
      <x:c r="M341" s="6" t="inlineStr">
        <x:is>
          <x:t xml:space="preserve">não iniciada</x:t>
        </x:is>
      </x:c>
      <x:c r="N341" s="6" t="n"/>
      <x:c r="O341" s="7" t="n">
        <x:v>-23.5147505</x:v>
      </x:c>
      <x:c r="P341" s="7" t="n">
        <x:v>-46.3992631</x:v>
      </x:c>
      <x:c r="Q341" s="7" t="n">
        <x:v>-23.514691</x:v>
      </x:c>
      <x:c r="R341" s="7" t="n">
        <x:v>-46.4000015</x:v>
      </x:c>
    </x:row>
    <x:row r="342">
      <x:c r="A342" s="6" t="inlineStr">
        <x:is>
          <x:t xml:space="preserve">ct_benfica</x:t>
        </x:is>
      </x:c>
      <x:c r="B342" s="6" t="inlineStr">
        <x:is>
          <x:t xml:space="preserve">CT_B-003</x:t>
        </x:is>
      </x:c>
      <x:c r="C342" s="6" t="inlineStr">
        <x:is>
          <x:t xml:space="preserve">PV-9 - PV-6</x:t>
        </x:is>
      </x:c>
      <x:c r="D342" s="6" t="inlineStr">
        <x:is>
          <x:t xml:space="preserve">PV-9</x:t>
        </x:is>
      </x:c>
      <x:c r="E342" s="6" t="inlineStr">
        <x:is>
          <x:t xml:space="preserve">PV-6</x:t>
        </x:is>
      </x:c>
      <x:c r="F342" s="6" t="inlineStr">
        <x:is>
          <x:t xml:space="preserve">PEAD</x:t>
        </x:is>
      </x:c>
      <x:c r="G342" s="6" t="n">
        <x:v>355</x:v>
      </x:c>
      <x:c r="H342" s="6" t="inlineStr">
        <x:is>
          <x:t xml:space="preserve">Método Não Destrutivo - MND</x:t>
        </x:is>
      </x:c>
      <x:c r="I342" s="7" t="n">
        <x:v>62.99</x:v>
      </x:c>
      <x:c r="J342" s="7" t="n">
        <x:v>3.89</x:v>
      </x:c>
      <x:c r="K342" s="7" t="n">
        <x:v>1.69</x:v>
      </x:c>
      <x:c r="L342" s="7" t="n">
        <x:v>3.89</x:v>
      </x:c>
      <x:c r="M342" s="6" t="inlineStr">
        <x:is>
          <x:t xml:space="preserve">não iniciada</x:t>
        </x:is>
      </x:c>
      <x:c r="N342" s="6" t="n"/>
      <x:c r="O342" s="7" t="n">
        <x:v>-23.514691</x:v>
      </x:c>
      <x:c r="P342" s="7" t="n">
        <x:v>-46.4000015</x:v>
      </x:c>
      <x:c r="Q342" s="7" t="n">
        <x:v>-23.5152591</x:v>
      </x:c>
      <x:c r="R342" s="7" t="n">
        <x:v>-46.4000308</x:v>
      </x:c>
    </x:row>
    <x:row r="343">
      <x:c r="A343" s="6" t="inlineStr">
        <x:is>
          <x:t xml:space="preserve">ct_benfica</x:t>
        </x:is>
      </x:c>
      <x:c r="B343" s="6" t="inlineStr">
        <x:is>
          <x:t xml:space="preserve">CT_B-004</x:t>
        </x:is>
      </x:c>
      <x:c r="C343" s="6" t="inlineStr">
        <x:is>
          <x:t xml:space="preserve">PV-11 - PV-11</x:t>
        </x:is>
      </x:c>
      <x:c r="D343" s="6" t="inlineStr">
        <x:is>
          <x:t xml:space="preserve">PV-11</x:t>
        </x:is>
      </x:c>
      <x:c r="E343" s="6" t="inlineStr">
        <x:is>
          <x:t xml:space="preserve">PV-11</x:t>
        </x:is>
      </x:c>
      <x:c r="F343" s="6" t="inlineStr">
        <x:is>
          <x:t xml:space="preserve">PEAD</x:t>
        </x:is>
      </x:c>
      <x:c r="G343" s="6" t="n">
        <x:v>355</x:v>
      </x:c>
      <x:c r="H343" s="6" t="inlineStr">
        <x:is>
          <x:t xml:space="preserve">Método Não Destrutivo - MND</x:t>
        </x:is>
      </x:c>
      <x:c r="I343" s="7" t="n">
        <x:v>90.29000000000001</x:v>
      </x:c>
      <x:c r="J343" s="7" t="n">
        <x:v>2.03</x:v>
      </x:c>
      <x:c r="K343" s="7" t="n">
        <x:v>9.24</x:v>
      </x:c>
      <x:c r="L343" s="7" t="n">
        <x:v>9.24</x:v>
      </x:c>
      <x:c r="M343" s="6" t="inlineStr">
        <x:is>
          <x:t xml:space="preserve">não iniciada</x:t>
        </x:is>
      </x:c>
      <x:c r="N343" s="6" t="n"/>
      <x:c r="O343" s="7" t="n">
        <x:v>-23.5139598</x:v>
      </x:c>
      <x:c r="P343" s="7" t="n">
        <x:v>-46.3986884</x:v>
      </x:c>
      <x:c r="Q343" s="7" t="n">
        <x:v>-23.5147695</x:v>
      </x:c>
      <x:c r="R343" s="7" t="n">
        <x:v>-46.3985844</x:v>
      </x:c>
    </x:row>
    <x:row r="344">
      <x:c r="A344" s="6" t="inlineStr">
        <x:is>
          <x:t xml:space="preserve">ct_benfica</x:t>
        </x:is>
      </x:c>
      <x:c r="B344" s="6" t="inlineStr">
        <x:is>
          <x:t xml:space="preserve">CT_B-005</x:t>
        </x:is>
      </x:c>
      <x:c r="C344" s="6" t="inlineStr">
        <x:is>
          <x:t xml:space="preserve">PV-19 - PV-10</x:t>
        </x:is>
      </x:c>
      <x:c r="D344" s="6" t="inlineStr">
        <x:is>
          <x:t xml:space="preserve">PV-19</x:t>
        </x:is>
      </x:c>
      <x:c r="E344" s="6" t="inlineStr">
        <x:is>
          <x:t xml:space="preserve">PV-10</x:t>
        </x:is>
      </x:c>
      <x:c r="F344" s="6" t="inlineStr">
        <x:is>
          <x:t xml:space="preserve">PEAD</x:t>
        </x:is>
      </x:c>
      <x:c r="G344" s="6" t="n">
        <x:v>355</x:v>
      </x:c>
      <x:c r="H344" s="6" t="inlineStr">
        <x:is>
          <x:t xml:space="preserve">Método Não Destrutivo - MND</x:t>
        </x:is>
      </x:c>
      <x:c r="I344" s="7" t="n">
        <x:v>84.62</x:v>
      </x:c>
      <x:c r="J344" s="7" t="n">
        <x:v>1.98</x:v>
      </x:c>
      <x:c r="K344" s="7" t="n">
        <x:v>6.93</x:v>
      </x:c>
      <x:c r="L344" s="7" t="n">
        <x:v>6.93</x:v>
      </x:c>
      <x:c r="M344" s="6" t="inlineStr">
        <x:is>
          <x:t xml:space="preserve">não iniciada</x:t>
        </x:is>
      </x:c>
      <x:c r="N344" s="6" t="n"/>
      <x:c r="O344" s="7" t="n">
        <x:v>-23.5139892</x:v>
      </x:c>
      <x:c r="P344" s="7" t="n">
        <x:v>-46.3993341</x:v>
      </x:c>
      <x:c r="Q344" s="7" t="n">
        <x:v>-23.5147505</x:v>
      </x:c>
      <x:c r="R344" s="7" t="n">
        <x:v>-46.3992631</x:v>
      </x:c>
    </x:row>
    <x:row r="345">
      <x:c r="A345" s="6" t="inlineStr">
        <x:is>
          <x:t xml:space="preserve">ct_benfica</x:t>
        </x:is>
      </x:c>
      <x:c r="B345" s="6" t="inlineStr">
        <x:is>
          <x:t xml:space="preserve">CT_B-006</x:t>
        </x:is>
      </x:c>
      <x:c r="C345" s="6" t="inlineStr">
        <x:is>
          <x:t xml:space="preserve">PT-001 - PV-19</x:t>
        </x:is>
      </x:c>
      <x:c r="D345" s="6" t="inlineStr">
        <x:is>
          <x:t xml:space="preserve">PT-001</x:t>
        </x:is>
      </x:c>
      <x:c r="E345" s="6" t="inlineStr">
        <x:is>
          <x:t xml:space="preserve">PV-19</x:t>
        </x:is>
      </x:c>
      <x:c r="F345" s="6" t="inlineStr">
        <x:is>
          <x:t xml:space="preserve">PVC</x:t>
        </x:is>
      </x:c>
      <x:c r="G345" s="6" t="n">
        <x:v>200</x:v>
      </x:c>
      <x:c r="H345" s="6" t="inlineStr">
        <x:is>
          <x:t xml:space="preserve">Vala a Céu Aberto - VCA</x:t>
        </x:is>
      </x:c>
      <x:c r="I345" s="7" t="n">
        <x:v>25.42</x:v>
      </x:c>
      <x:c r="J345" s="7" t="n">
        <x:v>1.8</x:v>
      </x:c>
      <x:c r="K345" s="7" t="n">
        <x:v>1.98</x:v>
      </x:c>
      <x:c r="L345" s="7" t="n">
        <x:v>1.98</x:v>
      </x:c>
      <x:c r="M345" s="6" t="inlineStr">
        <x:is>
          <x:t xml:space="preserve">não iniciada</x:t>
        </x:is>
      </x:c>
      <x:c r="N345" s="6" t="n"/>
      <x:c r="O345" s="7" t="n">
        <x:v>-23.5137606</x:v>
      </x:c>
      <x:c r="P345" s="7" t="n">
        <x:v>-46.3993567</x:v>
      </x:c>
      <x:c r="Q345" s="7" t="n">
        <x:v>-23.5139892</x:v>
      </x:c>
      <x:c r="R345" s="7" t="n">
        <x:v>-46.3993341</x:v>
      </x:c>
    </x:row>
    <x:row r="346">
      <x:c r="A346" s="6" t="inlineStr">
        <x:is>
          <x:t xml:space="preserve">ct_benfica</x:t>
        </x:is>
      </x:c>
      <x:c r="B346" s="6" t="inlineStr">
        <x:is>
          <x:t xml:space="preserve">CT_B-007</x:t>
        </x:is>
      </x:c>
      <x:c r="C346" s="6" t="inlineStr">
        <x:is>
          <x:t xml:space="preserve">PI-191 - PV-19</x:t>
        </x:is>
      </x:c>
      <x:c r="D346" s="6" t="inlineStr">
        <x:is>
          <x:t xml:space="preserve">PI-191</x:t>
        </x:is>
      </x:c>
      <x:c r="E346" s="6" t="inlineStr">
        <x:is>
          <x:t xml:space="preserve">PV-19</x:t>
        </x:is>
      </x:c>
      <x:c r="F346" s="6" t="inlineStr">
        <x:is>
          <x:t xml:space="preserve">PVC</x:t>
        </x:is>
      </x:c>
      <x:c r="G346" s="6" t="n">
        <x:v>200</x:v>
      </x:c>
      <x:c r="H346" s="6" t="inlineStr">
        <x:is>
          <x:t xml:space="preserve">Vala a Céu Aberto - VCA</x:t>
        </x:is>
      </x:c>
      <x:c r="I346" s="7" t="n">
        <x:v>1.24</x:v>
      </x:c>
      <x:c r="J346" s="7" t="n">
        <x:v>1.6</x:v>
      </x:c>
      <x:c r="K346" s="7" t="n">
        <x:v>1.78</x:v>
      </x:c>
      <x:c r="L346" s="7" t="n">
        <x:v>1.78</x:v>
      </x:c>
      <x:c r="M346" s="6" t="inlineStr">
        <x:is>
          <x:t xml:space="preserve">não iniciada</x:t>
        </x:is>
      </x:c>
      <x:c r="N346" s="6" t="n"/>
      <x:c r="O346" s="7" t="n">
        <x:v>-23.5139892</x:v>
      </x:c>
      <x:c r="P346" s="7" t="n">
        <x:v>-46.3993219</x:v>
      </x:c>
      <x:c r="Q346" s="7" t="n">
        <x:v>-23.5139892</x:v>
      </x:c>
      <x:c r="R346" s="7" t="n">
        <x:v>-46.3993341</x:v>
      </x:c>
    </x:row>
    <x:row r="347">
      <x:c r="A347" s="6" t="inlineStr">
        <x:is>
          <x:t xml:space="preserve">ct_benfica</x:t>
        </x:is>
      </x:c>
      <x:c r="B347" s="6" t="inlineStr">
        <x:is>
          <x:t xml:space="preserve">CT_B-008</x:t>
        </x:is>
      </x:c>
      <x:c r="C347" s="6" t="inlineStr">
        <x:is>
          <x:t xml:space="preserve">PI-13 - PI-12</x:t>
        </x:is>
      </x:c>
      <x:c r="D347" s="6" t="inlineStr">
        <x:is>
          <x:t xml:space="preserve">PI-13</x:t>
        </x:is>
      </x:c>
      <x:c r="E347" s="6" t="inlineStr">
        <x:is>
          <x:t xml:space="preserve">PI-12</x:t>
        </x:is>
      </x:c>
      <x:c r="F347" s="6" t="inlineStr">
        <x:is>
          <x:t xml:space="preserve">PVC</x:t>
        </x:is>
      </x:c>
      <x:c r="G347" s="6" t="n">
        <x:v>200</x:v>
      </x:c>
      <x:c r="H347" s="6" t="inlineStr">
        <x:is>
          <x:t xml:space="preserve">Vala a Céu Aberto - VCA</x:t>
        </x:is>
      </x:c>
      <x:c r="I347" s="7" t="n">
        <x:v>11.2</x:v>
      </x:c>
      <x:c r="J347" s="7" t="n">
        <x:v>1</x:v>
      </x:c>
      <x:c r="K347" s="7" t="n">
        <x:v>1.03</x:v>
      </x:c>
      <x:c r="L347" s="7" t="n">
        <x:v>1.03</x:v>
      </x:c>
      <x:c r="M347" s="6" t="inlineStr">
        <x:is>
          <x:t xml:space="preserve">não iniciada</x:t>
        </x:is>
      </x:c>
      <x:c r="N347" s="6" t="n"/>
      <x:c r="O347" s="7" t="n">
        <x:v>-23.5137248</x:v>
      </x:c>
      <x:c r="P347" s="7" t="n">
        <x:v>-46.3987068</x:v>
      </x:c>
      <x:c r="Q347" s="7" t="n">
        <x:v>-23.5138258</x:v>
      </x:c>
      <x:c r="R347" s="7" t="n">
        <x:v>-46.3987023</x:v>
      </x:c>
    </x:row>
    <x:row r="348">
      <x:c r="A348" s="6" t="inlineStr">
        <x:is>
          <x:t xml:space="preserve">ct_benfica</x:t>
        </x:is>
      </x:c>
      <x:c r="B348" s="6" t="inlineStr">
        <x:is>
          <x:t xml:space="preserve">CT_B-009</x:t>
        </x:is>
      </x:c>
      <x:c r="C348" s="6" t="inlineStr">
        <x:is>
          <x:t xml:space="preserve">PI-12 - PV-11</x:t>
        </x:is>
      </x:c>
      <x:c r="D348" s="6" t="inlineStr">
        <x:is>
          <x:t xml:space="preserve">PI-12</x:t>
        </x:is>
      </x:c>
      <x:c r="E348" s="6" t="inlineStr">
        <x:is>
          <x:t xml:space="preserve">PV-11</x:t>
        </x:is>
      </x:c>
      <x:c r="F348" s="6" t="inlineStr">
        <x:is>
          <x:t xml:space="preserve">PVC</x:t>
        </x:is>
      </x:c>
      <x:c r="G348" s="6" t="n">
        <x:v>200</x:v>
      </x:c>
      <x:c r="H348" s="6" t="inlineStr">
        <x:is>
          <x:t xml:space="preserve">Vala a Céu Aberto - VCA</x:t>
        </x:is>
      </x:c>
      <x:c r="I348" s="7" t="n">
        <x:v>14.91</x:v>
      </x:c>
      <x:c r="J348" s="7" t="n">
        <x:v>1.03</x:v>
      </x:c>
      <x:c r="K348" s="7" t="n">
        <x:v>1.98</x:v>
      </x:c>
      <x:c r="L348" s="7" t="n">
        <x:v>1.98</x:v>
      </x:c>
      <x:c r="M348" s="6" t="inlineStr">
        <x:is>
          <x:t xml:space="preserve">não iniciada</x:t>
        </x:is>
      </x:c>
      <x:c r="N348" s="6" t="n"/>
      <x:c r="O348" s="7" t="n">
        <x:v>-23.5138258</x:v>
      </x:c>
      <x:c r="P348" s="7" t="n">
        <x:v>-46.3987023</x:v>
      </x:c>
      <x:c r="Q348" s="7" t="n">
        <x:v>-23.5139598</x:v>
      </x:c>
      <x:c r="R348" s="7" t="n">
        <x:v>-46.3986884</x:v>
      </x:c>
    </x:row>
    <x:row r="349">
      <x:c r="A349" s="6" t="inlineStr">
        <x:is>
          <x:t xml:space="preserve">ct_benfica</x:t>
        </x:is>
      </x:c>
      <x:c r="B349" s="6" t="inlineStr">
        <x:is>
          <x:t xml:space="preserve">CT_B-010</x:t>
        </x:is>
      </x:c>
      <x:c r="C349" s="6" t="inlineStr">
        <x:is>
          <x:t xml:space="preserve">PI-13 - PI-13</x:t>
        </x:is>
      </x:c>
      <x:c r="D349" s="6" t="inlineStr">
        <x:is>
          <x:t xml:space="preserve">PI-13</x:t>
        </x:is>
      </x:c>
      <x:c r="E349" s="6" t="inlineStr">
        <x:is>
          <x:t xml:space="preserve">PI-13</x:t>
        </x:is>
      </x:c>
      <x:c r="F349" s="6" t="inlineStr">
        <x:is>
          <x:t xml:space="preserve">PVC</x:t>
        </x:is>
      </x:c>
      <x:c r="G349" s="6" t="n">
        <x:v>200</x:v>
      </x:c>
      <x:c r="H349" s="6" t="inlineStr">
        <x:is>
          <x:t xml:space="preserve">Vala a Céu Aberto - VCA</x:t>
        </x:is>
      </x:c>
      <x:c r="I349" s="7" t="n">
        <x:v>2.48</x:v>
      </x:c>
      <x:c r="J349" s="7" t="n">
        <x:v>0.97</x:v>
      </x:c>
      <x:c r="K349" s="7" t="n">
        <x:v>1</x:v>
      </x:c>
      <x:c r="L349" s="7" t="n">
        <x:v>1</x:v>
      </x:c>
      <x:c r="M349" s="6" t="inlineStr">
        <x:is>
          <x:t xml:space="preserve">não iniciada</x:t>
        </x:is>
      </x:c>
      <x:c r="N349" s="6" t="n"/>
      <x:c r="O349" s="7" t="n">
        <x:v>-23.5137183</x:v>
      </x:c>
      <x:c r="P349" s="7" t="n">
        <x:v>-46.3986835</x:v>
      </x:c>
      <x:c r="Q349" s="7" t="n">
        <x:v>-23.5137248</x:v>
      </x:c>
      <x:c r="R349" s="7" t="n">
        <x:v>-46.3987068</x:v>
      </x:c>
    </x:row>
    <x:row r="350">
      <x:c r="A350" s="6" t="inlineStr">
        <x:is>
          <x:t xml:space="preserve">ct_benfica</x:t>
        </x:is>
      </x:c>
      <x:c r="B350" s="6" t="inlineStr">
        <x:is>
          <x:t xml:space="preserve">CT_B-011</x:t>
        </x:is>
      </x:c>
      <x:c r="C350" s="6" t="inlineStr">
        <x:is>
          <x:t xml:space="preserve">PI-12 - PI-12</x:t>
        </x:is>
      </x:c>
      <x:c r="D350" s="6" t="inlineStr">
        <x:is>
          <x:t xml:space="preserve">PI-12</x:t>
        </x:is>
      </x:c>
      <x:c r="E350" s="6" t="inlineStr">
        <x:is>
          <x:t xml:space="preserve">PI-12</x:t>
        </x:is>
      </x:c>
      <x:c r="F350" s="6" t="inlineStr">
        <x:is>
          <x:t xml:space="preserve">PVC</x:t>
        </x:is>
      </x:c>
      <x:c r="G350" s="6" t="n">
        <x:v>200</x:v>
      </x:c>
      <x:c r="H350" s="6" t="inlineStr">
        <x:is>
          <x:t xml:space="preserve">Vala a Céu Aberto - VCA</x:t>
        </x:is>
      </x:c>
      <x:c r="I350" s="7" t="n">
        <x:v>2.81</x:v>
      </x:c>
      <x:c r="J350" s="7" t="n">
        <x:v>0.85</x:v>
      </x:c>
      <x:c r="K350" s="7" t="n">
        <x:v>1.03</x:v>
      </x:c>
      <x:c r="L350" s="7" t="n">
        <x:v>1.03</x:v>
      </x:c>
      <x:c r="M350" s="6" t="inlineStr">
        <x:is>
          <x:t xml:space="preserve">não iniciada</x:t>
        </x:is>
      </x:c>
      <x:c r="N350" s="6" t="n"/>
      <x:c r="O350" s="7" t="n">
        <x:v>-23.5138272</x:v>
      </x:c>
      <x:c r="P350" s="7" t="n">
        <x:v>-46.3986748</x:v>
      </x:c>
      <x:c r="Q350" s="7" t="n">
        <x:v>-23.5138258</x:v>
      </x:c>
      <x:c r="R350" s="7" t="n">
        <x:v>-46.3987023</x:v>
      </x:c>
    </x:row>
    <x:row r="351">
      <x:c r="A351" s="6" t="inlineStr">
        <x:is>
          <x:t xml:space="preserve">ct_benfica</x:t>
        </x:is>
      </x:c>
      <x:c r="B351" s="6" t="inlineStr">
        <x:is>
          <x:t xml:space="preserve">CT_B-012</x:t>
        </x:is>
      </x:c>
      <x:c r="C351" s="6" t="inlineStr">
        <x:is>
          <x:t xml:space="preserve">PV-6 - PV-5</x:t>
        </x:is>
      </x:c>
      <x:c r="D351" s="6" t="inlineStr">
        <x:is>
          <x:t xml:space="preserve">PV-6</x:t>
        </x:is>
      </x:c>
      <x:c r="E351" s="6" t="inlineStr">
        <x:is>
          <x:t xml:space="preserve">PV-5</x:t>
        </x:is>
      </x:c>
      <x:c r="F351" s="6" t="inlineStr">
        <x:is>
          <x:t xml:space="preserve">PEAD</x:t>
        </x:is>
      </x:c>
      <x:c r="G351" s="6" t="n">
        <x:v>355</x:v>
      </x:c>
      <x:c r="H351" s="6" t="inlineStr">
        <x:is>
          <x:t xml:space="preserve">Método Não Destrutivo - MND</x:t>
        </x:is>
      </x:c>
      <x:c r="I351" s="7" t="n">
        <x:v>62.62</x:v>
      </x:c>
      <x:c r="J351" s="7" t="n">
        <x:v>1.89</x:v>
      </x:c>
      <x:c r="K351" s="7" t="n">
        <x:v>2.59</x:v>
      </x:c>
      <x:c r="L351" s="7" t="n">
        <x:v>2.59</x:v>
      </x:c>
      <x:c r="M351" s="6" t="inlineStr">
        <x:is>
          <x:t xml:space="preserve">não iniciada</x:t>
        </x:is>
      </x:c>
      <x:c r="N351" s="6" t="n"/>
      <x:c r="O351" s="7" t="n">
        <x:v>-23.5152591</x:v>
      </x:c>
      <x:c r="P351" s="7" t="n">
        <x:v>-46.4000308</x:v>
      </x:c>
      <x:c r="Q351" s="7" t="n">
        <x:v>-23.5151464</x:v>
      </x:c>
      <x:c r="R351" s="7" t="n">
        <x:v>-46.4006318</x:v>
      </x:c>
    </x:row>
    <x:row r="352">
      <x:c r="A352" s="6" t="inlineStr">
        <x:is>
          <x:t xml:space="preserve">ct_benfica</x:t>
        </x:is>
      </x:c>
      <x:c r="B352" s="6" t="inlineStr">
        <x:is>
          <x:t xml:space="preserve">CT_B-013</x:t>
        </x:is>
      </x:c>
      <x:c r="C352" s="6" t="inlineStr">
        <x:is>
          <x:t xml:space="preserve">PV-5 - PV-4</x:t>
        </x:is>
      </x:c>
      <x:c r="D352" s="6" t="inlineStr">
        <x:is>
          <x:t xml:space="preserve">PV-5</x:t>
        </x:is>
      </x:c>
      <x:c r="E352" s="6" t="inlineStr">
        <x:is>
          <x:t xml:space="preserve">PV-4</x:t>
        </x:is>
      </x:c>
      <x:c r="F352" s="6" t="inlineStr">
        <x:is>
          <x:t xml:space="preserve">PEAD</x:t>
        </x:is>
      </x:c>
      <x:c r="G352" s="6" t="n">
        <x:v>355</x:v>
      </x:c>
      <x:c r="H352" s="6" t="inlineStr">
        <x:is>
          <x:t xml:space="preserve">Método Não Destrutivo - MND</x:t>
        </x:is>
      </x:c>
      <x:c r="I352" s="7" t="n">
        <x:v>74.61</x:v>
      </x:c>
      <x:c r="J352" s="7" t="n">
        <x:v>2.59</x:v>
      </x:c>
      <x:c r="K352" s="7" t="n">
        <x:v>2.06</x:v>
      </x:c>
      <x:c r="L352" s="7" t="n">
        <x:v>2.59</x:v>
      </x:c>
      <x:c r="M352" s="6" t="inlineStr">
        <x:is>
          <x:t xml:space="preserve">não iniciada</x:t>
        </x:is>
      </x:c>
      <x:c r="N352" s="6" t="n"/>
      <x:c r="O352" s="7" t="n">
        <x:v>-23.5151464</x:v>
      </x:c>
      <x:c r="P352" s="7" t="n">
        <x:v>-46.4006318</x:v>
      </x:c>
      <x:c r="Q352" s="7" t="n">
        <x:v>-23.5150173</x:v>
      </x:c>
      <x:c r="R352" s="7" t="n">
        <x:v>-46.4013489</x:v>
      </x:c>
    </x:row>
    <x:row r="353">
      <x:c r="A353" s="6" t="inlineStr">
        <x:is>
          <x:t xml:space="preserve">ct_benfica</x:t>
        </x:is>
      </x:c>
      <x:c r="B353" s="6" t="inlineStr">
        <x:is>
          <x:t xml:space="preserve">CT_B-014</x:t>
        </x:is>
      </x:c>
      <x:c r="C353" s="6" t="inlineStr">
        <x:is>
          <x:t xml:space="preserve">PV-4 - PV-4</x:t>
        </x:is>
      </x:c>
      <x:c r="D353" s="6" t="inlineStr">
        <x:is>
          <x:t xml:space="preserve">PV-4</x:t>
        </x:is>
      </x:c>
      <x:c r="E353" s="6" t="inlineStr">
        <x:is>
          <x:t xml:space="preserve">PV-4</x:t>
        </x:is>
      </x:c>
      <x:c r="F353" s="6" t="inlineStr">
        <x:is>
          <x:t xml:space="preserve">Não informado</x:t>
        </x:is>
      </x:c>
      <x:c r="G353" s="6" t="n"/>
      <x:c r="H353" s="6" t="inlineStr">
        <x:is>
          <x:t xml:space="preserve">Não informado</x:t>
        </x:is>
      </x:c>
      <x:c r="I353" s="7" t="n">
        <x:v>0</x:v>
      </x:c>
      <x:c r="J353" s="6" t="n"/>
      <x:c r="K353" s="6" t="n"/>
      <x:c r="L353" s="6" t="n"/>
      <x:c r="M353" s="6" t="inlineStr">
        <x:is>
          <x:t xml:space="preserve">não iniciada</x:t>
        </x:is>
      </x:c>
      <x:c r="N353" s="6" t="n"/>
      <x:c r="O353" s="7" t="n">
        <x:v>-23.5150173</x:v>
      </x:c>
      <x:c r="P353" s="7" t="n">
        <x:v>-46.4013489</x:v>
      </x:c>
      <x:c r="Q353" s="7" t="n">
        <x:v>-23.5150173</x:v>
      </x:c>
      <x:c r="R353" s="7" t="n">
        <x:v>-46.4013489</x:v>
      </x:c>
    </x:row>
    <x:row r="354">
      <x:c r="A354" s="6" t="inlineStr">
        <x:is>
          <x:t xml:space="preserve">ct_benfica</x:t>
        </x:is>
      </x:c>
      <x:c r="B354" s="6" t="inlineStr">
        <x:is>
          <x:t xml:space="preserve">CT_B-015</x:t>
        </x:is>
      </x:c>
      <x:c r="C354" s="6" t="inlineStr">
        <x:is>
          <x:t xml:space="preserve">PV-18 - PV-18</x:t>
        </x:is>
      </x:c>
      <x:c r="D354" s="6" t="inlineStr">
        <x:is>
          <x:t xml:space="preserve">PV-18</x:t>
        </x:is>
      </x:c>
      <x:c r="E354" s="6" t="inlineStr">
        <x:is>
          <x:t xml:space="preserve">PV-18</x:t>
        </x:is>
      </x:c>
      <x:c r="F354" s="6" t="inlineStr">
        <x:is>
          <x:t xml:space="preserve">Não informado</x:t>
        </x:is>
      </x:c>
      <x:c r="G354" s="6" t="n"/>
      <x:c r="H354" s="6" t="inlineStr">
        <x:is>
          <x:t xml:space="preserve">Não informado</x:t>
        </x:is>
      </x:c>
      <x:c r="I354" s="7" t="n">
        <x:v>0</x:v>
      </x:c>
      <x:c r="J354" s="6" t="n"/>
      <x:c r="K354" s="6" t="n"/>
      <x:c r="L354" s="6" t="n"/>
      <x:c r="M354" s="6" t="inlineStr">
        <x:is>
          <x:t xml:space="preserve">não iniciada</x:t>
        </x:is>
      </x:c>
      <x:c r="N354" s="6" t="n"/>
      <x:c r="O354" s="7" t="n">
        <x:v>-23.514923</x:v>
      </x:c>
      <x:c r="P354" s="7" t="n">
        <x:v>-46.4017763</x:v>
      </x:c>
      <x:c r="Q354" s="7" t="n">
        <x:v>-23.514923</x:v>
      </x:c>
      <x:c r="R354" s="7" t="n">
        <x:v>-46.4017763</x:v>
      </x:c>
    </x:row>
    <x:row r="355">
      <x:c r="A355" s="6" t="inlineStr">
        <x:is>
          <x:t xml:space="preserve">ct_benfica</x:t>
        </x:is>
      </x:c>
      <x:c r="B355" s="6" t="inlineStr">
        <x:is>
          <x:t xml:space="preserve">CT_B-016</x:t>
        </x:is>
      </x:c>
      <x:c r="C355" s="6" t="inlineStr">
        <x:is>
          <x:t xml:space="preserve">PV-4 - PV-4</x:t>
        </x:is>
      </x:c>
      <x:c r="D355" s="6" t="inlineStr">
        <x:is>
          <x:t xml:space="preserve">PV-4</x:t>
        </x:is>
      </x:c>
      <x:c r="E355" s="6" t="inlineStr">
        <x:is>
          <x:t xml:space="preserve">PV-4</x:t>
        </x:is>
      </x:c>
      <x:c r="F355" s="6" t="inlineStr">
        <x:is>
          <x:t xml:space="preserve">Não informado</x:t>
        </x:is>
      </x:c>
      <x:c r="G355" s="6" t="n"/>
      <x:c r="H355" s="6" t="inlineStr">
        <x:is>
          <x:t xml:space="preserve">Não informado</x:t>
        </x:is>
      </x:c>
      <x:c r="I355" s="7" t="n">
        <x:v>0</x:v>
      </x:c>
      <x:c r="J355" s="6" t="n"/>
      <x:c r="K355" s="6" t="n"/>
      <x:c r="L355" s="6" t="n"/>
      <x:c r="M355" s="6" t="inlineStr">
        <x:is>
          <x:t xml:space="preserve">não iniciada</x:t>
        </x:is>
      </x:c>
      <x:c r="N355" s="6" t="n"/>
      <x:c r="O355" s="7" t="n">
        <x:v>-23.5150173</x:v>
      </x:c>
      <x:c r="P355" s="7" t="n">
        <x:v>-46.4013489</x:v>
      </x:c>
      <x:c r="Q355" s="7" t="n">
        <x:v>-23.5150173</x:v>
      </x:c>
      <x:c r="R355" s="7" t="n">
        <x:v>-46.4013489</x:v>
      </x:c>
    </x:row>
    <x:row r="356">
      <x:c r="A356" s="6" t="inlineStr">
        <x:is>
          <x:t xml:space="preserve">ct_benfica</x:t>
        </x:is>
      </x:c>
      <x:c r="B356" s="6" t="inlineStr">
        <x:is>
          <x:t xml:space="preserve">CT_B-017</x:t>
        </x:is>
      </x:c>
      <x:c r="C356" s="6" t="inlineStr">
        <x:is>
          <x:t xml:space="preserve">PV-4 - PV-3</x:t>
        </x:is>
      </x:c>
      <x:c r="D356" s="6" t="inlineStr">
        <x:is>
          <x:t xml:space="preserve">PV-4</x:t>
        </x:is>
      </x:c>
      <x:c r="E356" s="6" t="inlineStr">
        <x:is>
          <x:t xml:space="preserve">PV-3</x:t>
        </x:is>
      </x:c>
      <x:c r="F356" s="6" t="inlineStr">
        <x:is>
          <x:t xml:space="preserve">PEAD</x:t>
        </x:is>
      </x:c>
      <x:c r="G356" s="6" t="n">
        <x:v>355</x:v>
      </x:c>
      <x:c r="H356" s="6" t="inlineStr">
        <x:is>
          <x:t xml:space="preserve">Método Não Destrutivo - MND</x:t>
        </x:is>
      </x:c>
      <x:c r="I356" s="7" t="n">
        <x:v>64.01000000000001</x:v>
      </x:c>
      <x:c r="J356" s="7" t="n">
        <x:v>2.06</x:v>
      </x:c>
      <x:c r="K356" s="7" t="n">
        <x:v>3.14</x:v>
      </x:c>
      <x:c r="L356" s="7" t="n">
        <x:v>3.14</x:v>
      </x:c>
      <x:c r="M356" s="6" t="inlineStr">
        <x:is>
          <x:t xml:space="preserve">não iniciada</x:t>
        </x:is>
      </x:c>
      <x:c r="N356" s="6" t="n"/>
      <x:c r="O356" s="7" t="n">
        <x:v>-23.5150173</x:v>
      </x:c>
      <x:c r="P356" s="7" t="n">
        <x:v>-46.4013489</x:v>
      </x:c>
      <x:c r="Q356" s="7" t="n">
        <x:v>-23.5148822</x:v>
      </x:c>
      <x:c r="R356" s="7" t="n">
        <x:v>-46.4019584</x:v>
      </x:c>
    </x:row>
    <x:row r="357">
      <x:c r="A357" s="6" t="inlineStr">
        <x:is>
          <x:t xml:space="preserve">ct_benfica</x:t>
        </x:is>
      </x:c>
      <x:c r="B357" s="6" t="inlineStr">
        <x:is>
          <x:t xml:space="preserve">CT_B-018</x:t>
        </x:is>
      </x:c>
      <x:c r="C357" s="6" t="inlineStr">
        <x:is>
          <x:t xml:space="preserve">PV-2 - PT-002</x:t>
        </x:is>
      </x:c>
      <x:c r="D357" s="6" t="inlineStr">
        <x:is>
          <x:t xml:space="preserve">PV-2</x:t>
        </x:is>
      </x:c>
      <x:c r="E357" s="6" t="inlineStr">
        <x:is>
          <x:t xml:space="preserve">PT-002</x:t>
        </x:is>
      </x:c>
      <x:c r="F357" s="6" t="inlineStr">
        <x:is>
          <x:t xml:space="preserve">PEAD</x:t>
        </x:is>
      </x:c>
      <x:c r="G357" s="6" t="n">
        <x:v>355</x:v>
      </x:c>
      <x:c r="H357" s="6" t="inlineStr">
        <x:is>
          <x:t xml:space="preserve">Método Não Destrutivo - MND</x:t>
        </x:is>
      </x:c>
      <x:c r="I357" s="7" t="n">
        <x:v>53.69</x:v>
      </x:c>
      <x:c r="J357" s="7" t="n">
        <x:v>4.04</x:v>
      </x:c>
      <x:c r="K357" s="7" t="n">
        <x:v>6.23</x:v>
      </x:c>
      <x:c r="L357" s="7" t="n">
        <x:v>6.23</x:v>
      </x:c>
      <x:c r="M357" s="6" t="inlineStr">
        <x:is>
          <x:t xml:space="preserve">não iniciada</x:t>
        </x:is>
      </x:c>
      <x:c r="N357" s="6" t="n"/>
      <x:c r="O357" s="7" t="n">
        <x:v>-23.5148294</x:v>
      </x:c>
      <x:c r="P357" s="7" t="n">
        <x:v>-46.4022797</x:v>
      </x:c>
      <x:c r="Q357" s="7" t="n">
        <x:v>-23.5147298</x:v>
      </x:c>
      <x:c r="R357" s="7" t="n">
        <x:v>-46.4027943</x:v>
      </x:c>
    </x:row>
    <x:row r="358">
      <x:c r="A358" s="6" t="inlineStr">
        <x:is>
          <x:t xml:space="preserve">ct_benfica</x:t>
        </x:is>
      </x:c>
      <x:c r="B358" s="6" t="inlineStr">
        <x:is>
          <x:t xml:space="preserve">CT_B-019</x:t>
        </x:is>
      </x:c>
      <x:c r="C358" s="6" t="inlineStr">
        <x:is>
          <x:t xml:space="preserve">PV-3 - PV-2</x:t>
        </x:is>
      </x:c>
      <x:c r="D358" s="6" t="inlineStr">
        <x:is>
          <x:t xml:space="preserve">PV-3</x:t>
        </x:is>
      </x:c>
      <x:c r="E358" s="6" t="inlineStr">
        <x:is>
          <x:t xml:space="preserve">PV-2</x:t>
        </x:is>
      </x:c>
      <x:c r="F358" s="6" t="inlineStr">
        <x:is>
          <x:t xml:space="preserve">PEAD</x:t>
        </x:is>
      </x:c>
      <x:c r="G358" s="6" t="n">
        <x:v>355</x:v>
      </x:c>
      <x:c r="H358" s="6" t="inlineStr">
        <x:is>
          <x:t xml:space="preserve">Método Não Destrutivo - MND</x:t>
        </x:is>
      </x:c>
      <x:c r="I358" s="7" t="n">
        <x:v>33.33</x:v>
      </x:c>
      <x:c r="J358" s="7" t="n">
        <x:v>3.48</x:v>
      </x:c>
      <x:c r="K358" s="7" t="n">
        <x:v>4.04</x:v>
      </x:c>
      <x:c r="L358" s="7" t="n">
        <x:v>4.04</x:v>
      </x:c>
      <x:c r="M358" s="6" t="inlineStr">
        <x:is>
          <x:t xml:space="preserve">não iniciada</x:t>
        </x:is>
      </x:c>
      <x:c r="N358" s="6" t="n"/>
      <x:c r="O358" s="7" t="n">
        <x:v>-23.5148822</x:v>
      </x:c>
      <x:c r="P358" s="7" t="n">
        <x:v>-46.4019584</x:v>
      </x:c>
      <x:c r="Q358" s="7" t="n">
        <x:v>-23.5148294</x:v>
      </x:c>
      <x:c r="R358" s="7" t="n">
        <x:v>-46.4022797</x:v>
      </x:c>
    </x:row>
    <x:row r="359">
      <x:c r="A359" s="6" t="inlineStr">
        <x:is>
          <x:t xml:space="preserve">ct_benfica</x:t>
        </x:is>
      </x:c>
      <x:c r="B359" s="6" t="inlineStr">
        <x:is>
          <x:t xml:space="preserve">CT_B-020</x:t>
        </x:is>
      </x:c>
      <x:c r="C359" s="6" t="inlineStr">
        <x:is>
          <x:t xml:space="preserve">PV-171 - PV-171</x:t>
        </x:is>
      </x:c>
      <x:c r="D359" s="6" t="inlineStr">
        <x:is>
          <x:t xml:space="preserve">PV-171</x:t>
        </x:is>
      </x:c>
      <x:c r="E359" s="6" t="inlineStr">
        <x:is>
          <x:t xml:space="preserve">PV-171</x:t>
        </x:is>
      </x:c>
      <x:c r="F359" s="6" t="inlineStr">
        <x:is>
          <x:t xml:space="preserve">PVC</x:t>
        </x:is>
      </x:c>
      <x:c r="G359" s="6" t="n">
        <x:v>200</x:v>
      </x:c>
      <x:c r="H359" s="6" t="inlineStr">
        <x:is>
          <x:t xml:space="preserve">Vala a Céu Aberto - VCA</x:t>
        </x:is>
      </x:c>
      <x:c r="I359" s="7" t="n">
        <x:v>3.63</x:v>
      </x:c>
      <x:c r="J359" s="7" t="n">
        <x:v>742.826</x:v>
      </x:c>
      <x:c r="K359" s="7" t="n">
        <x:v>742.577</x:v>
      </x:c>
      <x:c r="L359" s="7" t="n">
        <x:v>742.826</x:v>
      </x:c>
      <x:c r="M359" s="6" t="inlineStr">
        <x:is>
          <x:t xml:space="preserve">não iniciada</x:t>
        </x:is>
      </x:c>
      <x:c r="N359" s="6" t="n"/>
      <x:c r="O359" s="7" t="n">
        <x:v>-23.5148216</x:v>
      </x:c>
      <x:c r="P359" s="7" t="n">
        <x:v>-46.4021829</x:v>
      </x:c>
      <x:c r="Q359" s="7" t="n">
        <x:v>-23.5148544</x:v>
      </x:c>
      <x:c r="R359" s="7" t="n">
        <x:v>-46.4021847</x:v>
      </x:c>
    </x:row>
    <x:row r="360">
      <x:c r="A360" s="6" t="inlineStr">
        <x:is>
          <x:t xml:space="preserve">ct_benfica</x:t>
        </x:is>
      </x:c>
      <x:c r="B360" s="6" t="inlineStr">
        <x:is>
          <x:t xml:space="preserve">CT_B-021</x:t>
        </x:is>
      </x:c>
      <x:c r="C360" s="6" t="inlineStr">
        <x:is>
          <x:t xml:space="preserve">PV-171 - PV-2</x:t>
        </x:is>
      </x:c>
      <x:c r="D360" s="6" t="inlineStr">
        <x:is>
          <x:t xml:space="preserve">PV-171</x:t>
        </x:is>
      </x:c>
      <x:c r="E360" s="6" t="inlineStr">
        <x:is>
          <x:t xml:space="preserve">PV-2</x:t>
        </x:is>
      </x:c>
      <x:c r="F360" s="6" t="inlineStr">
        <x:is>
          <x:t xml:space="preserve">PVC</x:t>
        </x:is>
      </x:c>
      <x:c r="G360" s="6" t="n">
        <x:v>200</x:v>
      </x:c>
      <x:c r="H360" s="6" t="inlineStr">
        <x:is>
          <x:t xml:space="preserve">Vala a Céu Aberto - VCA</x:t>
        </x:is>
      </x:c>
      <x:c r="I360" s="7" t="n">
        <x:v>10.09</x:v>
      </x:c>
      <x:c r="J360" s="7" t="n">
        <x:v>2.28</x:v>
      </x:c>
      <x:c r="K360" s="7" t="n">
        <x:v>2.85</x:v>
      </x:c>
      <x:c r="L360" s="7" t="n">
        <x:v>2.85</x:v>
      </x:c>
      <x:c r="M360" s="6" t="inlineStr">
        <x:is>
          <x:t xml:space="preserve">não iniciada</x:t>
        </x:is>
      </x:c>
      <x:c r="N360" s="6" t="n"/>
      <x:c r="O360" s="7" t="n">
        <x:v>-23.5148544</x:v>
      </x:c>
      <x:c r="P360" s="7" t="n">
        <x:v>-46.4021847</x:v>
      </x:c>
      <x:c r="Q360" s="7" t="n">
        <x:v>-23.5148294</x:v>
      </x:c>
      <x:c r="R360" s="7" t="n">
        <x:v>-46.4022797</x:v>
      </x:c>
    </x:row>
    <x:row r="361">
      <x:c r="A361" s="6" t="inlineStr">
        <x:is>
          <x:t xml:space="preserve">ct_benfica</x:t>
        </x:is>
      </x:c>
      <x:c r="B361" s="6" t="inlineStr">
        <x:is>
          <x:t xml:space="preserve">CT_B-022</x:t>
        </x:is>
      </x:c>
      <x:c r="C361" s="6" t="inlineStr">
        <x:is>
          <x:t xml:space="preserve">PV-18 - PV-3</x:t>
        </x:is>
      </x:c>
      <x:c r="D361" s="6" t="inlineStr">
        <x:is>
          <x:t xml:space="preserve">PV-18</x:t>
        </x:is>
      </x:c>
      <x:c r="E361" s="6" t="inlineStr">
        <x:is>
          <x:t xml:space="preserve">PV-3</x:t>
        </x:is>
      </x:c>
      <x:c r="F361" s="6" t="inlineStr">
        <x:is>
          <x:t xml:space="preserve">PVC</x:t>
        </x:is>
      </x:c>
      <x:c r="G361" s="6" t="n">
        <x:v>200</x:v>
      </x:c>
      <x:c r="H361" s="6" t="inlineStr">
        <x:is>
          <x:t xml:space="preserve">Vala a Céu Aberto - VCA</x:t>
        </x:is>
      </x:c>
      <x:c r="I361" s="7" t="n">
        <x:v>19.13</x:v>
      </x:c>
      <x:c r="J361" s="7" t="n">
        <x:v>2.06</x:v>
      </x:c>
      <x:c r="K361" s="7" t="n">
        <x:v>3.14</x:v>
      </x:c>
      <x:c r="L361" s="7" t="n">
        <x:v>3.14</x:v>
      </x:c>
      <x:c r="M361" s="6" t="inlineStr">
        <x:is>
          <x:t xml:space="preserve">não iniciada</x:t>
        </x:is>
      </x:c>
      <x:c r="N361" s="6" t="n"/>
      <x:c r="O361" s="7" t="n">
        <x:v>-23.514923</x:v>
      </x:c>
      <x:c r="P361" s="7" t="n">
        <x:v>-46.4017763</x:v>
      </x:c>
      <x:c r="Q361" s="7" t="n">
        <x:v>-23.5148822</x:v>
      </x:c>
      <x:c r="R361" s="7" t="n">
        <x:v>-46.4019584</x:v>
      </x:c>
    </x:row>
    <x:row r="362">
      <x:c r="A362" t="str">
        <x:v>cts_mar_de_coral</x:v>
      </x:c>
      <x:c r="B362" t="str">
        <x:v>CTS_-043</x:v>
      </x:c>
      <x:c r="C362" t="str">
        <x:v>PVE-01 - PV-51</x:v>
      </x:c>
      <x:c r="D362" t="str">
        <x:v>PVE-01</x:v>
      </x:c>
      <x:c r="E362" t="str">
        <x:v>PV-51</x:v>
      </x:c>
      <x:c r="F362" t="str">
        <x:v>PEAD</x:v>
      </x:c>
      <x:c r="G362" t="n">
        <x:v>355</x:v>
      </x:c>
      <x:c r="H362" t="str">
        <x:v>Método Não Destrutivo - MND</x:v>
      </x:c>
      <x:c r="I362" t="n">
        <x:v>60.63</x:v>
      </x:c>
      <x:c r="J362" t="n">
        <x:v>3.5</x:v>
      </x:c>
      <x:c r="K362" t="n">
        <x:v>3.2</x:v>
      </x:c>
      <x:c r="L362" t="n">
        <x:v>3.6</x:v>
      </x:c>
      <x:c r="M362" t="str">
        <x:v>não iniciada</x:v>
      </x:c>
      <x:c r="N362" t="str">
        <x:v>PDF OS HDD 25/04/2026 - trecho PVE-01 a PV-05.1; PV-05.1 tratado como PV-51</x:v>
      </x:c>
      <x:c r="O362" t="n">
        <x:v>-23.5260164830259</x:v>
      </x:c>
      <x:c r="P362" t="n">
        <x:v>-46.396532166130285</x:v>
      </x:c>
      <x:c r="Q362" t="n">
        <x:v>-23.526316084338575</x:v>
      </x:c>
      <x:c r="R362" t="n">
        <x:v>-46.396035125748725</x:v>
      </x:c>
    </x:row>
  </x:sheetData>
  <x:dataValidations count="3">
    <x:dataValidation type="list" allowBlank="1" showDropDown="0" showInputMessage="0" showErrorMessage="0" sqref="F2:F1986">
      <x:formula1>"PEAD,PVC,CONCRETO"</x:formula1>
    </x:dataValidation>
    <x:dataValidation type="list" allowBlank="1" showDropDown="0" showInputMessage="0" showErrorMessage="0" sqref="H2:H1986">
      <x:formula1>"Método Não Destrutivo - MND,Vala a Céu Aberto - VCA,Tubo Cravado"</x:formula1>
    </x:dataValidation>
    <x:dataValidation type="list" allowBlank="1" showDropDown="0" showInputMessage="0" showErrorMessage="0" sqref="M2:M1986">
      <x:formula1>"não iniciada,em andamento,concluída,projetado"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4.399999618530273"/>
  <x:cols>
    <x:col min="1" max="1" width="28" style="12" customWidth="1"/>
    <x:col min="2" max="2" width="20" style="12" customWidth="1"/>
  </x:cols>
  <x:sheetData>
    <x:row r="1">
      <x:c r="A1" s="26" t="inlineStr">
        <x:is>
          <x:t xml:space="preserve">RESUMO DA PLANILHA BASE</x:t>
        </x:is>
      </x:c>
      <x:c r="B1" s="14" t="n"/>
      <x:c r="C1" s="14" t="n"/>
      <x:c r="D1" s="14" t="n"/>
      <x:c r="E1" s="14" t="n"/>
    </x:row>
    <x:row r="2">
      <x:c r="A2" s="8" t="inlineStr">
        <x:is>
          <x:t xml:space="preserve">Indicador</x:t>
        </x:is>
      </x:c>
      <x:c r="B2" s="3" t="inlineStr">
        <x:is>
          <x:t xml:space="preserve">Valor</x:t>
        </x:is>
      </x:c>
      <x:c r="C2" s="3" t="n"/>
      <x:c r="D2" s="3" t="n"/>
      <x:c r="E2" s="3" t="n"/>
    </x:row>
    <x:row r="3">
      <x:c r="A3" s="9" t="inlineStr">
        <x:is>
          <x:t xml:space="preserve">Total de obras</x:t>
        </x:is>
      </x:c>
      <x:c r="B3" s="4" t="n">
        <x:f>COUNTA(OBRAS!A2:A1000)</x:f>
        <x:v>20</x:v>
      </x:c>
    </x:row>
    <x:row r="4">
      <x:c r="A4" s="9" t="inlineStr">
        <x:is>
          <x:t xml:space="preserve">Total de trechos</x:t>
        </x:is>
      </x:c>
      <x:c r="B4" s="4" t="n">
        <x:f>COUNTA(TRECHOS!B2:B2986)</x:f>
        <x:v>361</x:v>
      </x:c>
    </x:row>
    <x:row r="5">
      <x:c r="A5" s="9" t="inlineStr">
        <x:is>
          <x:t xml:space="preserve">Extensão total (m)</x:t>
        </x:is>
      </x:c>
      <x:c r="B5" s="4" t="n">
        <x:f>SUM(TRECHOS!I2:I2986)</x:f>
        <x:v>14737.050000000007</x:v>
      </x:c>
    </x:row>
    <x:row r="6">
      <x:c r="A6" s="9" t="inlineStr">
        <x:is>
          <x:t xml:space="preserve">Total MND (m)</x:t>
        </x:is>
      </x:c>
      <x:c r="B6" s="4" t="n">
        <x:f>SUMIF(TRECHOS!H2:H2986,"*MND*",TRECHOS!I2:I2986)</x:f>
        <x:v>0</x:v>
      </x:c>
    </x:row>
    <x:row r="7">
      <x:c r="A7" s="9" t="inlineStr">
        <x:is>
          <x:t xml:space="preserve">Total VCA (m)</x:t>
        </x:is>
      </x:c>
      <x:c r="B7" s="4" t="n">
        <x:f>SUMIF(TRECHOS!H2:H2986,"*VCA*",TRECHOS!I2:I2986)</x:f>
        <x:v>0</x:v>
      </x:c>
    </x:row>
    <x:row r="8">
      <x:c r="A8" s="9" t="inlineStr">
        <x:is>
          <x:t xml:space="preserve">Total PV</x:t>
        </x:is>
      </x:c>
      <x:c r="B8" s="4" t="n">
        <x:f>COUNTIF(PONTOS!B2:B2991,"PV")</x:f>
        <x:v>302</x:v>
      </x:c>
    </x:row>
    <x:row r="9">
      <x:c r="A9" s="9" t="inlineStr">
        <x:is>
          <x:t xml:space="preserve">Total PI</x:t>
        </x:is>
      </x:c>
      <x:c r="B9" s="4" t="n">
        <x:f>COUNTIF(PONTOS!B2:B2991,"PI")</x:f>
        <x:v>48</x:v>
      </x:c>
    </x:row>
    <x:row r="10">
      <x:c r="A10" s="9" t="inlineStr">
        <x:is>
          <x:t xml:space="preserve">Maior profundidade</x:t>
        </x:is>
      </x:c>
      <x:c r="B10" s="4" t="n">
        <x:f>MAX(TRECHOS!J2:L2986)</x:f>
        <x:v>742.826</x:v>
      </x:c>
    </x:row>
    <x:row r="12">
      <x:c r="A12" s="10" t="inlineStr">
        <x:is>
          <x:t xml:space="preserve">Obras adicionadas via SHAPES.zip</x:t>
        </x:is>
      </x:c>
      <x:c r="B12" t="n">
        <x:v>10</x:v>
      </x:c>
    </x:row>
    <x:row r="13">
      <x:c r="A13" s="10" t="inlineStr">
        <x:is>
          <x:t xml:space="preserve">Pontos adicionados</x:t>
        </x:is>
      </x:c>
      <x:c r="B13" t="n">
        <x:v>204</x:v>
      </x:c>
    </x:row>
    <x:row r="14">
      <x:c r="A14" s="10" t="inlineStr">
        <x:is>
          <x:t xml:space="preserve">Trechos adicionados</x:t>
        </x:is>
      </x:c>
      <x:c r="B14" t="n">
        <x:v>231</x:v>
      </x:c>
    </x:row>
  </x:sheetData>
  <x:mergeCells>
    <x:mergeCell ref="A1:E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68.13999938964844" style="12" customWidth="1"/>
    <x:col min="2" max="2" width="34.709999084472656" style="12" customWidth="1"/>
    <x:col min="3" max="3" width="30" style="12" customWidth="1"/>
    <x:col min="4" max="4" width="4.139999866485596" style="12" customWidth="1"/>
    <x:col min="5" max="5" width="10" style="12" customWidth="1"/>
    <x:col min="6" max="6" width="10.430000305175781" style="12" customWidth="1"/>
    <x:col min="7" max="7" width="5.139999866485596" style="12" customWidth="1"/>
  </x:cols>
  <x:sheetData>
    <x:row r="1">
      <x:c r="A1" s="29" t="inlineStr">
        <x:is>
          <x:t xml:space="preserve">VALIDAÇÃO DA PLANILHA BASE DO MAPA</x:t>
        </x:is>
      </x:c>
      <x:c r="B1" s="29" t="n"/>
      <x:c r="C1" s="29" t="n"/>
      <x:c r="D1" s="29" t="n"/>
      <x:c r="E1" s="29" t="n"/>
      <x:c r="F1" s="29" t="n"/>
      <x:c r="G1" s="29" t="n"/>
    </x:row>
    <x:row r="2">
      <x:c r="A2" t="inlineStr">
        <x:is>
          <x:t xml:space="preserve">Arquivo corrigido para padronizar obra_id nas abas OBRAS, PONTOS e TRECHOS.</x:t>
        </x:is>
      </x:c>
    </x:row>
    <x:row r="3"/>
    <x:row r="4">
      <x:c r="A4" s="31" t="inlineStr">
        <x:is>
          <x:t xml:space="preserve">obra_id_original</x:t>
        </x:is>
      </x:c>
      <x:c r="B4" s="31" t="inlineStr">
        <x:is>
          <x:t xml:space="preserve">nome_obra</x:t>
        </x:is>
      </x:c>
      <x:c r="C4" s="31" t="inlineStr">
        <x:is>
          <x:t xml:space="preserve">obra_id_padronizado</x:t>
        </x:is>
      </x:c>
      <x:c r="D4" s="31" t="inlineStr">
        <x:is>
          <x:t xml:space="preserve">ativa</x:t>
        </x:is>
      </x:c>
      <x:c r="E4" s="31" t="inlineStr">
        <x:is>
          <x:t xml:space="preserve">qtd_pontos</x:t>
        </x:is>
      </x:c>
      <x:c r="F4" s="31" t="inlineStr">
        <x:is>
          <x:t xml:space="preserve">qtd_trechos</x:t>
        </x:is>
      </x:c>
      <x:c r="G4" s="31" t="inlineStr">
        <x:is>
          <x:t xml:space="preserve">status</x:t>
        </x:is>
      </x:c>
    </x:row>
    <x:row r="5">
      <x:c r="A5" t="inlineStr">
        <x:is>
          <x:t xml:space="preserve">agua</x:t>
        </x:is>
      </x:c>
      <x:c r="B5" t="inlineStr">
        <x:is>
          <x:t xml:space="preserve">CTS Água Vermelha ME</x:t>
        </x:is>
      </x:c>
      <x:c r="C5" t="inlineStr">
        <x:is>
          <x:t xml:space="preserve">agua</x:t>
        </x:is>
      </x:c>
      <x:c r="D5" t="inlineStr">
        <x:is>
          <x:t xml:space="preserve">SIM</x:t>
        </x:is>
      </x:c>
      <x:c r="E5" t="n">
        <x:v>32</x:v>
      </x:c>
      <x:c r="F5" t="n">
        <x:v>31</x:v>
      </x:c>
      <x:c r="G5" t="inlineStr">
        <x:is>
          <x:t xml:space="preserve">OK</x:t>
        </x:is>
      </x:c>
    </x:row>
    <x:row r="6">
      <x:c r="A6" t="inlineStr">
        <x:is>
          <x:t xml:space="preserve">rce</x:t>
        </x:is>
      </x:c>
      <x:c r="B6" t="inlineStr">
        <x:is>
          <x:t xml:space="preserve">RCE Francisco Souto Maior - Trecho II</x:t>
        </x:is>
      </x:c>
      <x:c r="C6" t="inlineStr">
        <x:is>
          <x:t xml:space="preserve">rce</x:t>
        </x:is>
      </x:c>
      <x:c r="D6" t="inlineStr">
        <x:is>
          <x:t xml:space="preserve">SIM</x:t>
        </x:is>
      </x:c>
      <x:c r="E6" t="n">
        <x:v>7</x:v>
      </x:c>
      <x:c r="F6" t="n">
        <x:v>5</x:v>
      </x:c>
      <x:c r="G6" t="inlineStr">
        <x:is>
          <x:t xml:space="preserve">OK</x:t>
        </x:is>
      </x:c>
    </x:row>
    <x:row r="7">
      <x:c r="A7" t="inlineStr">
        <x:is>
          <x:t xml:space="preserve">conceicao</x:t>
        </x:is>
      </x:c>
      <x:c r="B7" t="inlineStr">
        <x:is>
          <x:t xml:space="preserve">CTS Conceição</x:t>
        </x:is>
      </x:c>
      <x:c r="C7" t="inlineStr">
        <x:is>
          <x:t xml:space="preserve">conceicao</x:t>
        </x:is>
      </x:c>
      <x:c r="D7" t="inlineStr">
        <x:is>
          <x:t xml:space="preserve">SIM</x:t>
        </x:is>
      </x:c>
      <x:c r="E7" t="n">
        <x:v>12</x:v>
      </x:c>
      <x:c r="F7" t="n">
        <x:v>11</x:v>
      </x:c>
      <x:c r="G7" t="inlineStr">
        <x:is>
          <x:t xml:space="preserve">OK</x:t>
        </x:is>
      </x:c>
    </x:row>
    <x:row r="8">
      <x:c r="A8" t="inlineStr">
        <x:is>
          <x:t xml:space="preserve">agua_md</x:t>
        </x:is>
      </x:c>
      <x:c r="B8" t="inlineStr">
        <x:is>
          <x:t xml:space="preserve">CTSÁgua Vermelha MD</x:t>
        </x:is>
      </x:c>
      <x:c r="C8" t="inlineStr">
        <x:is>
          <x:t xml:space="preserve">agua_md</x:t>
        </x:is>
      </x:c>
      <x:c r="D8" t="inlineStr">
        <x:is>
          <x:t xml:space="preserve">SIM</x:t>
        </x:is>
      </x:c>
      <x:c r="E8" t="n">
        <x:v>23</x:v>
      </x:c>
      <x:c r="F8" t="n">
        <x:v>22</x:v>
      </x:c>
      <x:c r="G8" t="inlineStr">
        <x:is>
          <x:t xml:space="preserve">OK</x:t>
        </x:is>
      </x:c>
    </x:row>
    <x:row r="9">
      <x:c r="A9" t="inlineStr">
        <x:is>
          <x:t xml:space="preserve">agua_boa</x:t>
        </x:is>
      </x:c>
      <x:c r="B9" t="inlineStr">
        <x:is>
          <x:t xml:space="preserve">CTS Água Boa</x:t>
        </x:is>
      </x:c>
      <x:c r="C9" t="inlineStr">
        <x:is>
          <x:t xml:space="preserve">agua_boa</x:t>
        </x:is>
      </x:c>
      <x:c r="D9" t="inlineStr">
        <x:is>
          <x:t xml:space="preserve">SIM</x:t>
        </x:is>
      </x:c>
      <x:c r="E9" t="n">
        <x:v>3</x:v>
      </x:c>
      <x:c r="F9" t="n">
        <x:v>2</x:v>
      </x:c>
      <x:c r="G9" t="inlineStr">
        <x:is>
          <x:t xml:space="preserve">OK</x:t>
        </x:is>
      </x:c>
    </x:row>
    <x:row r="10">
      <x:c r="A10" t="inlineStr">
        <x:is>
          <x:t xml:space="preserve">pacheco</x:t>
        </x:is>
      </x:c>
      <x:c r="B10" t="inlineStr">
        <x:is>
          <x:t xml:space="preserve">RCE Pacheco Jordão</x:t>
        </x:is>
      </x:c>
      <x:c r="C10" t="inlineStr">
        <x:is>
          <x:t xml:space="preserve">pacheco</x:t>
        </x:is>
      </x:c>
      <x:c r="D10" t="inlineStr">
        <x:is>
          <x:t xml:space="preserve">SIM</x:t>
        </x:is>
      </x:c>
      <x:c r="E10" t="n">
        <x:v>4</x:v>
      </x:c>
      <x:c r="F10" t="n">
        <x:v>3</x:v>
      </x:c>
      <x:c r="G10" t="inlineStr">
        <x:is>
          <x:t xml:space="preserve">OK</x:t>
        </x:is>
      </x:c>
    </x:row>
    <x:row r="11">
      <x:c r="A11" t="inlineStr">
        <x:is>
          <x:t xml:space="preserve">luis_botelho</x:t>
        </x:is>
      </x:c>
      <x:c r="B11" t="inlineStr">
        <x:is>
          <x:t xml:space="preserve">CTS Luis Botelho Mourão</x:t>
        </x:is>
      </x:c>
      <x:c r="C11" t="inlineStr">
        <x:is>
          <x:t xml:space="preserve">luis_botelho</x:t>
        </x:is>
      </x:c>
      <x:c r="D11" t="inlineStr">
        <x:is>
          <x:t xml:space="preserve">SIM</x:t>
        </x:is>
      </x:c>
      <x:c r="E11" t="n">
        <x:v>6</x:v>
      </x:c>
      <x:c r="F11" t="n">
        <x:v>5</x:v>
      </x:c>
      <x:c r="G11" t="inlineStr">
        <x:is>
          <x:t xml:space="preserve">OK</x:t>
        </x:is>
      </x:c>
    </x:row>
    <x:row r="12">
      <x:c r="A12" t="inlineStr">
        <x:is>
          <x:t xml:space="preserve">lageado_montante_bl54_55_56</x:t>
        </x:is>
      </x:c>
      <x:c r="B12" t="inlineStr">
        <x:is>
          <x:t xml:space="preserve">CT Lageado Montante BL54 - BL55 - BL56</x:t>
        </x:is>
      </x:c>
      <x:c r="C12" t="inlineStr">
        <x:is>
          <x:t xml:space="preserve">lageado_montante_bl54_55_56</x:t>
        </x:is>
      </x:c>
      <x:c r="D12" t="inlineStr">
        <x:is>
          <x:t xml:space="preserve">SIM</x:t>
        </x:is>
      </x:c>
      <x:c r="E12" t="n">
        <x:v>29</x:v>
      </x:c>
      <x:c r="F12" t="n">
        <x:v>28</x:v>
      </x:c>
      <x:c r="G12" t="inlineStr">
        <x:is>
          <x:t xml:space="preserve">OK</x:t>
        </x:is>
      </x:c>
    </x:row>
    <x:row r="13">
      <x:c r="A13" t="inlineStr">
        <x:is>
          <x:t xml:space="preserve">rce_souto_maior</x:t>
        </x:is>
      </x:c>
      <x:c r="B13" t="inlineStr">
        <x:is>
          <x:t xml:space="preserve">RCE Souto Maior</x:t>
        </x:is>
      </x:c>
      <x:c r="C13" t="inlineStr">
        <x:is>
          <x:t xml:space="preserve">rce_souto_maior</x:t>
        </x:is>
      </x:c>
      <x:c r="D13" t="inlineStr">
        <x:is>
          <x:t xml:space="preserve">SIM</x:t>
        </x:is>
      </x:c>
      <x:c r="E13" t="n">
        <x:v>12</x:v>
      </x:c>
      <x:c r="F13" t="n">
        <x:v>12</x:v>
      </x:c>
      <x:c r="G13" t="inlineStr">
        <x:is>
          <x:t xml:space="preserve">OK</x:t>
        </x:is>
      </x:c>
    </x:row>
    <x:row r="14">
      <x:c r="A14" t="inlineStr">
        <x:is>
          <x:t xml:space="preserve">ct_domingos</x:t>
        </x:is>
      </x:c>
      <x:c r="B14" t="inlineStr">
        <x:is>
          <x:t xml:space="preserve">CTS Domingos João de Carvalho</x:t>
        </x:is>
      </x:c>
      <x:c r="C14" t="inlineStr">
        <x:is>
          <x:t xml:space="preserve">ct_domingos</x:t>
        </x:is>
      </x:c>
      <x:c r="D14" t="inlineStr">
        <x:is>
          <x:t xml:space="preserve">SIM</x:t>
        </x:is>
      </x:c>
      <x:c r="E14" t="n">
        <x:v>25</x:v>
      </x:c>
      <x:c r="F14" t="n">
        <x:v>24</x:v>
      </x:c>
      <x:c r="G14" t="inlineStr">
        <x:is>
          <x:t xml:space="preserve">OK</x:t>
        </x:is>
      </x:c>
    </x:row>
    <x:row r="15">
      <x:c r="A15" t="inlineStr">
        <x:is>
          <x:t xml:space="preserve">cts_bandeirantes</x:t>
        </x:is>
      </x:c>
      <x:c r="B15" t="inlineStr">
        <x:is>
          <x:t xml:space="preserve">CTS Bandeirantes</x:t>
        </x:is>
      </x:c>
      <x:c r="C15" t="inlineStr">
        <x:is>
          <x:t xml:space="preserve">cts_bandeirantes</x:t>
        </x:is>
      </x:c>
      <x:c r="D15" t="inlineStr">
        <x:is>
          <x:t xml:space="preserve">SIM</x:t>
        </x:is>
      </x:c>
      <x:c r="E15" t="n">
        <x:v>32</x:v>
      </x:c>
      <x:c r="F15" t="n">
        <x:v>35</x:v>
      </x:c>
      <x:c r="G15" t="inlineStr">
        <x:is>
          <x:t xml:space="preserve">OK</x:t>
        </x:is>
      </x:c>
    </x:row>
    <x:row r="16">
      <x:c r="A16" t="inlineStr">
        <x:is>
          <x:t xml:space="preserve">ct_jaragua</x:t>
        </x:is>
      </x:c>
      <x:c r="B16" t="inlineStr">
        <x:is>
          <x:t xml:space="preserve">CTS Jaraguá</x:t>
        </x:is>
      </x:c>
      <x:c r="C16" t="inlineStr">
        <x:is>
          <x:t xml:space="preserve">ct_jaragua</x:t>
        </x:is>
      </x:c>
      <x:c r="D16" t="inlineStr">
        <x:is>
          <x:t xml:space="preserve">SIM</x:t>
        </x:is>
      </x:c>
      <x:c r="E16" t="n">
        <x:v>13</x:v>
      </x:c>
      <x:c r="F16" t="n">
        <x:v>12</x:v>
      </x:c>
      <x:c r="G16" t="inlineStr">
        <x:is>
          <x:t xml:space="preserve">OK</x:t>
        </x:is>
      </x:c>
    </x:row>
    <x:row r="17">
      <x:c r="A17" t="inlineStr">
        <x:is>
          <x:t xml:space="preserve">rce_barao_luis_de_arariba</x:t>
        </x:is>
      </x:c>
      <x:c r="B17" t="inlineStr">
        <x:is>
          <x:t xml:space="preserve">RCE Barão Luis de Arariba</x:t>
        </x:is>
      </x:c>
      <x:c r="C17" t="inlineStr">
        <x:is>
          <x:t xml:space="preserve">rce_barao_luis_de_arariba</x:t>
        </x:is>
      </x:c>
      <x:c r="D17" t="inlineStr">
        <x:is>
          <x:t xml:space="preserve">SIM</x:t>
        </x:is>
      </x:c>
      <x:c r="E17" t="n">
        <x:v>16</x:v>
      </x:c>
      <x:c r="F17" t="n">
        <x:v>15</x:v>
      </x:c>
      <x:c r="G17" t="inlineStr">
        <x:is>
          <x:t xml:space="preserve">OK</x:t>
        </x:is>
      </x:c>
    </x:row>
    <x:row r="18">
      <x:c r="A18" t="inlineStr">
        <x:is>
          <x:t xml:space="preserve">rede_se_liga_na_rede_lourdes</x:t>
        </x:is>
      </x:c>
      <x:c r="B18" t="inlineStr">
        <x:is>
          <x:t xml:space="preserve">Rede Se Liga na Rede - Lourdes</x:t>
        </x:is>
      </x:c>
      <x:c r="C18" t="inlineStr">
        <x:is>
          <x:t xml:space="preserve">rede_se_liga_na_rede_lourdes</x:t>
        </x:is>
      </x:c>
      <x:c r="D18" t="inlineStr">
        <x:is>
          <x:t xml:space="preserve">SIM</x:t>
        </x:is>
      </x:c>
      <x:c r="E18" t="n">
        <x:v>2</x:v>
      </x:c>
      <x:c r="F18" t="n">
        <x:v>0</x:v>
      </x:c>
      <x:c r="G18" t="inlineStr">
        <x:is>
          <x:t xml:space="preserve">OK</x:t>
        </x:is>
      </x:c>
    </x:row>
    <x:row r="19">
      <x:c r="A19" t="inlineStr">
        <x:is>
          <x:t xml:space="preserve">ct_jardim_miriam_blocos_05_a_09</x:t>
        </x:is>
      </x:c>
      <x:c r="B19" t="inlineStr">
        <x:is>
          <x:t xml:space="preserve">CTS Jardim Miriam Blocos 05 a 09</x:t>
        </x:is>
      </x:c>
      <x:c r="C19" t="inlineStr">
        <x:is>
          <x:t xml:space="preserve">ct_jardim_miriam_blocos_05_a_09</x:t>
        </x:is>
      </x:c>
      <x:c r="D19" t="inlineStr">
        <x:is>
          <x:t xml:space="preserve">SIM</x:t>
        </x:is>
      </x:c>
      <x:c r="E19" t="n">
        <x:v>52</x:v>
      </x:c>
      <x:c r="F19" t="n">
        <x:v>56</x:v>
      </x:c>
      <x:c r="G19" t="inlineStr">
        <x:is>
          <x:t xml:space="preserve">OK</x:t>
        </x:is>
      </x:c>
    </x:row>
    <x:row r="20">
      <x:c r="A20" t="inlineStr">
        <x:is>
          <x:t xml:space="preserve">ct_miriam_bloco_09</x:t>
        </x:is>
      </x:c>
      <x:c r="B20" t="inlineStr">
        <x:is>
          <x:t xml:space="preserve">CTS Miriam Bloco 09</x:t>
        </x:is>
      </x:c>
      <x:c r="C20" t="inlineStr">
        <x:is>
          <x:t xml:space="preserve">ct_jardim_miriam_blocos_05_a_09</x:t>
        </x:is>
      </x:c>
      <x:c r="D20" t="inlineStr">
        <x:is>
          <x:t xml:space="preserve">NÃO</x:t>
        </x:is>
      </x:c>
      <x:c r="E20" t="n">
        <x:v>52</x:v>
      </x:c>
      <x:c r="F20" t="n">
        <x:v>56</x:v>
      </x:c>
      <x:c r="G20" t="inlineStr">
        <x:is>
          <x:t xml:space="preserve">OK</x:t>
        </x:is>
      </x:c>
    </x:row>
    <x:row r="21">
      <x:c r="A21" t="inlineStr">
        <x:is>
          <x:t xml:space="preserve">cts_doroteia</x:t>
        </x:is>
      </x:c>
      <x:c r="B21" t="inlineStr">
        <x:is>
          <x:t xml:space="preserve">CTS Dorotéia</x:t>
        </x:is>
      </x:c>
      <x:c r="C21" t="inlineStr">
        <x:is>
          <x:t xml:space="preserve">cts_doroteia</x:t>
        </x:is>
      </x:c>
      <x:c r="D21" t="inlineStr">
        <x:is>
          <x:t xml:space="preserve">SIM</x:t>
        </x:is>
      </x:c>
      <x:c r="E21" t="n">
        <x:v>9</x:v>
      </x:c>
      <x:c r="F21" t="n">
        <x:v>14</x:v>
      </x:c>
      <x:c r="G21" t="inlineStr">
        <x:is>
          <x:t xml:space="preserve">OK</x:t>
        </x:is>
      </x:c>
    </x:row>
    <x:row r="22">
      <x:c r="A22" t="inlineStr">
        <x:is>
          <x:t xml:space="preserve">cts_jardim_lourdes</x:t>
        </x:is>
      </x:c>
      <x:c r="B22" t="inlineStr">
        <x:is>
          <x:t xml:space="preserve">CTS Jardim Lourdes</x:t>
        </x:is>
      </x:c>
      <x:c r="C22" t="inlineStr">
        <x:is>
          <x:t xml:space="preserve">cts_jardim_lourdes</x:t>
        </x:is>
      </x:c>
      <x:c r="D22" t="inlineStr">
        <x:is>
          <x:t xml:space="preserve">SIM</x:t>
        </x:is>
      </x:c>
      <x:c r="E22" t="n">
        <x:v>21</x:v>
      </x:c>
      <x:c r="F22" t="n">
        <x:v>21</x:v>
      </x:c>
      <x:c r="G22" t="inlineStr">
        <x:is>
          <x:t xml:space="preserve">OK</x:t>
        </x:is>
      </x:c>
    </x:row>
    <x:row r="23">
      <x:c r="A23" t="inlineStr">
        <x:is>
          <x:t xml:space="preserve">cts_mar_de_coral</x:t>
        </x:is>
      </x:c>
      <x:c r="B23" t="inlineStr">
        <x:is>
          <x:t xml:space="preserve">CTS Mar de Coral</x:t>
        </x:is>
      </x:c>
      <x:c r="C23" t="inlineStr">
        <x:is>
          <x:t xml:space="preserve">cts_mar_de_coral</x:t>
        </x:is>
      </x:c>
      <x:c r="D23" t="inlineStr">
        <x:is>
          <x:t xml:space="preserve">SIM</x:t>
        </x:is>
      </x:c>
      <x:c r="E23" t="n">
        <x:v>33</x:v>
      </x:c>
      <x:c r="F23" t="n">
        <x:v>42</x:v>
      </x:c>
      <x:c r="G23" t="inlineStr">
        <x:is>
          <x:t xml:space="preserve">OK</x:t>
        </x:is>
      </x:c>
    </x:row>
    <x:row r="24">
      <x:c r="A24" t="inlineStr">
        <x:is>
          <x:t xml:space="preserve">ct_benfica</x:t>
        </x:is>
      </x:c>
      <x:c r="B24" t="inlineStr">
        <x:is>
          <x:t xml:space="preserve">CTS Benfica</x:t>
        </x:is>
      </x:c>
      <x:c r="C24" t="inlineStr">
        <x:is>
          <x:t xml:space="preserve">ct_benfica</x:t>
        </x:is>
      </x:c>
      <x:c r="D24" t="inlineStr">
        <x:is>
          <x:t xml:space="preserve">SIM</x:t>
        </x:is>
      </x:c>
      <x:c r="E24" t="n">
        <x:v>17</x:v>
      </x:c>
      <x:c r="F24" t="n">
        <x:v>22</x:v>
      </x:c>
      <x:c r="G24" t="inlineStr">
        <x:is>
          <x:t xml:space="preserve">OK</x:t>
        </x:is>
      </x:c>
    </x:row>
  </x:sheetData>
  <x:pageMargins left="0.7" right="0.7" top="0.75" bottom="0.75" header="0.3" footer="0.3"/>
</x:worksheet>
</file>