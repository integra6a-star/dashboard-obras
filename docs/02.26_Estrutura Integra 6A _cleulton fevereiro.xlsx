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icro\Downloads\"/>
    </mc:Choice>
  </mc:AlternateContent>
  <xr:revisionPtr revIDLastSave="0" documentId="13_ncr:1_{673E9106-5C32-42C0-ACF5-51486BDAD41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funcionarios" sheetId="1" r:id="rId1"/>
  </sheets>
  <definedNames>
    <definedName name="_xlnm._FilterDatabase" localSheetId="0" hidden="1">funcionarios!$A$2:$AI$474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55" i="1" l="1"/>
  <c r="M454" i="1"/>
  <c r="M453" i="1"/>
  <c r="M330" i="1"/>
  <c r="AF462" i="1" l="1"/>
  <c r="AF463" i="1"/>
  <c r="AF464" i="1"/>
  <c r="AF465" i="1"/>
  <c r="AF466" i="1"/>
  <c r="AE467" i="1"/>
  <c r="AF467" i="1"/>
  <c r="AE468" i="1"/>
  <c r="AF468" i="1"/>
  <c r="AE469" i="1"/>
  <c r="AF469" i="1"/>
  <c r="AE470" i="1"/>
  <c r="AF470" i="1"/>
  <c r="AF471" i="1"/>
  <c r="AF472" i="1"/>
  <c r="AF473" i="1"/>
  <c r="AF474" i="1"/>
  <c r="Y37" i="1"/>
  <c r="Y352" i="1"/>
  <c r="AG468" i="1" l="1"/>
  <c r="AG470" i="1"/>
  <c r="AG469" i="1"/>
  <c r="AG467" i="1"/>
  <c r="Y320" i="1"/>
  <c r="AF320" i="1" s="1"/>
  <c r="AF461" i="1"/>
  <c r="AF460" i="1"/>
  <c r="AF459" i="1"/>
  <c r="AF458" i="1"/>
  <c r="W320" i="1"/>
  <c r="Y1" i="1"/>
  <c r="N1" i="1"/>
  <c r="AF449" i="1"/>
  <c r="AF447" i="1"/>
  <c r="AF452" i="1"/>
  <c r="AF451" i="1"/>
  <c r="AF450" i="1"/>
  <c r="AF448" i="1"/>
  <c r="AF446" i="1"/>
  <c r="AF445" i="1"/>
  <c r="AF431" i="1"/>
  <c r="AF430" i="1"/>
  <c r="AF429" i="1"/>
  <c r="AF428" i="1"/>
  <c r="AF426" i="1"/>
  <c r="AF424" i="1"/>
  <c r="AF421" i="1"/>
  <c r="AF420" i="1"/>
  <c r="AF418" i="1"/>
  <c r="AF416" i="1"/>
  <c r="AF413" i="1"/>
  <c r="AF410" i="1"/>
  <c r="AF408" i="1"/>
  <c r="AF406" i="1"/>
  <c r="AF399" i="1"/>
  <c r="AF395" i="1"/>
  <c r="AF280" i="1"/>
  <c r="AF271" i="1"/>
  <c r="AF209" i="1"/>
  <c r="AF94" i="1"/>
  <c r="AF457" i="1"/>
  <c r="AF456" i="1"/>
  <c r="AF455" i="1"/>
  <c r="AF454" i="1"/>
  <c r="AF453" i="1"/>
  <c r="AF444" i="1"/>
  <c r="AF443" i="1"/>
  <c r="AF442" i="1"/>
  <c r="AF441" i="1"/>
  <c r="AF440" i="1"/>
  <c r="AF439" i="1"/>
  <c r="AF438" i="1"/>
  <c r="AF437" i="1"/>
  <c r="AF436" i="1"/>
  <c r="AF435" i="1"/>
  <c r="AF434" i="1"/>
  <c r="AF433" i="1"/>
  <c r="AF432" i="1"/>
  <c r="AF427" i="1"/>
  <c r="AF425" i="1"/>
  <c r="AF423" i="1"/>
  <c r="AF422" i="1"/>
  <c r="AF419" i="1"/>
  <c r="AF417" i="1"/>
  <c r="AF415" i="1"/>
  <c r="AF414" i="1"/>
  <c r="AF412" i="1"/>
  <c r="AF411" i="1"/>
  <c r="AF409" i="1"/>
  <c r="AF407" i="1"/>
  <c r="AF405" i="1"/>
  <c r="AF404" i="1"/>
  <c r="AF403" i="1"/>
  <c r="AF402" i="1"/>
  <c r="AF401" i="1"/>
  <c r="AF400" i="1"/>
  <c r="AF398" i="1"/>
  <c r="AF397" i="1"/>
  <c r="AF396" i="1"/>
  <c r="AF394" i="1"/>
  <c r="AF393" i="1"/>
  <c r="AF392" i="1"/>
  <c r="AF391" i="1"/>
  <c r="AF390" i="1"/>
  <c r="AF389" i="1"/>
  <c r="AF388" i="1"/>
  <c r="AF387" i="1"/>
  <c r="AF386" i="1"/>
  <c r="AF385" i="1"/>
  <c r="AF384" i="1"/>
  <c r="AF383" i="1"/>
  <c r="AF382" i="1"/>
  <c r="AF381" i="1"/>
  <c r="AF380" i="1"/>
  <c r="AF379" i="1"/>
  <c r="AF378" i="1"/>
  <c r="AF377" i="1"/>
  <c r="AF376" i="1"/>
  <c r="AF375" i="1"/>
  <c r="AF374" i="1"/>
  <c r="AF373" i="1"/>
  <c r="AF372" i="1"/>
  <c r="AF371" i="1"/>
  <c r="AF370" i="1"/>
  <c r="AF369" i="1"/>
  <c r="AF368" i="1"/>
  <c r="AF367" i="1"/>
  <c r="AF366" i="1"/>
  <c r="AF365" i="1"/>
  <c r="AF364" i="1"/>
  <c r="AF363" i="1"/>
  <c r="AF362" i="1"/>
  <c r="AF361" i="1"/>
  <c r="AF360" i="1"/>
  <c r="AF359" i="1"/>
  <c r="AF358" i="1"/>
  <c r="AF357" i="1"/>
  <c r="AF356" i="1"/>
  <c r="AF355" i="1"/>
  <c r="AF354" i="1"/>
  <c r="AF353" i="1"/>
  <c r="AF352" i="1"/>
  <c r="AF351" i="1"/>
  <c r="AF350" i="1"/>
  <c r="AF349" i="1"/>
  <c r="AF348" i="1"/>
  <c r="AF347" i="1"/>
  <c r="AF346" i="1"/>
  <c r="AF345" i="1"/>
  <c r="AF344" i="1"/>
  <c r="AF343" i="1"/>
  <c r="AF342" i="1"/>
  <c r="AF341" i="1"/>
  <c r="AF340" i="1"/>
  <c r="AF339" i="1"/>
  <c r="AF338" i="1"/>
  <c r="AF337" i="1"/>
  <c r="AF336" i="1"/>
  <c r="AF335" i="1"/>
  <c r="AF334" i="1"/>
  <c r="AF333" i="1"/>
  <c r="AF332" i="1"/>
  <c r="AF331" i="1"/>
  <c r="AF330" i="1"/>
  <c r="AF329" i="1"/>
  <c r="AF328" i="1"/>
  <c r="AF327" i="1"/>
  <c r="AF326" i="1"/>
  <c r="AF325" i="1"/>
  <c r="AF324" i="1"/>
  <c r="AF323" i="1"/>
  <c r="AF322" i="1"/>
  <c r="AF321" i="1"/>
  <c r="AF319" i="1"/>
  <c r="AF318" i="1"/>
  <c r="AF317" i="1"/>
  <c r="AF316" i="1"/>
  <c r="AF315" i="1"/>
  <c r="AF314" i="1"/>
  <c r="AF313" i="1"/>
  <c r="AF312" i="1"/>
  <c r="AF311" i="1"/>
  <c r="AF310" i="1"/>
  <c r="AF309" i="1"/>
  <c r="AF308" i="1"/>
  <c r="AF307" i="1"/>
  <c r="AF306" i="1"/>
  <c r="AF305" i="1"/>
  <c r="AF304" i="1"/>
  <c r="AF303" i="1"/>
  <c r="AF302" i="1"/>
  <c r="AF301" i="1"/>
  <c r="AF300" i="1"/>
  <c r="AF299" i="1"/>
  <c r="AF298" i="1"/>
  <c r="AF297" i="1"/>
  <c r="AF296" i="1"/>
  <c r="AF295" i="1"/>
  <c r="AF294" i="1"/>
  <c r="AF293" i="1"/>
  <c r="AF292" i="1"/>
  <c r="AF291" i="1"/>
  <c r="AF290" i="1"/>
  <c r="AF289" i="1"/>
  <c r="AF288" i="1"/>
  <c r="AF287" i="1"/>
  <c r="AF286" i="1"/>
  <c r="AF285" i="1"/>
  <c r="AF284" i="1"/>
  <c r="AF283" i="1"/>
  <c r="AF282" i="1"/>
  <c r="AF281" i="1"/>
  <c r="AF279" i="1"/>
  <c r="AF278" i="1"/>
  <c r="AF277" i="1"/>
  <c r="AF276" i="1"/>
  <c r="AF275" i="1"/>
  <c r="AF274" i="1"/>
  <c r="AF273" i="1"/>
  <c r="AF272" i="1"/>
  <c r="AF270" i="1"/>
  <c r="AF269" i="1"/>
  <c r="AF268" i="1"/>
  <c r="AF267" i="1"/>
  <c r="AF266" i="1"/>
  <c r="AF265" i="1"/>
  <c r="AF264" i="1"/>
  <c r="AF263" i="1"/>
  <c r="AF262" i="1"/>
  <c r="AF261" i="1"/>
  <c r="AF260" i="1"/>
  <c r="AF259" i="1"/>
  <c r="AF258" i="1"/>
  <c r="AF257" i="1"/>
  <c r="AF256" i="1"/>
  <c r="AF255" i="1"/>
  <c r="AF254" i="1"/>
  <c r="AF253" i="1"/>
  <c r="AF252" i="1"/>
  <c r="AF251" i="1"/>
  <c r="AF250" i="1"/>
  <c r="AF249" i="1"/>
  <c r="AF248" i="1"/>
  <c r="AF247" i="1"/>
  <c r="AF246" i="1"/>
  <c r="AF245" i="1"/>
  <c r="AF244" i="1"/>
  <c r="AF243" i="1"/>
  <c r="AF242" i="1"/>
  <c r="AF241" i="1"/>
  <c r="AF240" i="1"/>
  <c r="AF239" i="1"/>
  <c r="AF238" i="1"/>
  <c r="AF237" i="1"/>
  <c r="AF236" i="1"/>
  <c r="AF235" i="1"/>
  <c r="AF234" i="1"/>
  <c r="AF233" i="1"/>
  <c r="AF232" i="1"/>
  <c r="AF231" i="1"/>
  <c r="AF230" i="1"/>
  <c r="AF229" i="1"/>
  <c r="AF228" i="1"/>
  <c r="AF227" i="1"/>
  <c r="AF226" i="1"/>
  <c r="AF225" i="1"/>
  <c r="AF224" i="1"/>
  <c r="AF223" i="1"/>
  <c r="AF222" i="1"/>
  <c r="AF221" i="1"/>
  <c r="AF220" i="1"/>
  <c r="AF219" i="1"/>
  <c r="AF218" i="1"/>
  <c r="AF217" i="1"/>
  <c r="AF216" i="1"/>
  <c r="AF215" i="1"/>
  <c r="AF214" i="1"/>
  <c r="AF213" i="1"/>
  <c r="AF212" i="1"/>
  <c r="AF211" i="1"/>
  <c r="AF210" i="1"/>
  <c r="AF208" i="1"/>
  <c r="AF207" i="1"/>
  <c r="AF206" i="1"/>
  <c r="AF205" i="1"/>
  <c r="AF204" i="1"/>
  <c r="AF203" i="1"/>
  <c r="AF202" i="1"/>
  <c r="AF201" i="1"/>
  <c r="AF200" i="1"/>
  <c r="AF199" i="1"/>
  <c r="AF198" i="1"/>
  <c r="AF197" i="1"/>
  <c r="AF196" i="1"/>
  <c r="AF195" i="1"/>
  <c r="AF194" i="1"/>
  <c r="AF193" i="1"/>
  <c r="AF192" i="1"/>
  <c r="AF191" i="1"/>
  <c r="AF190" i="1"/>
  <c r="AF189" i="1"/>
  <c r="AF188" i="1"/>
  <c r="AF187" i="1"/>
  <c r="AF186" i="1"/>
  <c r="AF185" i="1"/>
  <c r="AF184" i="1"/>
  <c r="AF183" i="1"/>
  <c r="AF182" i="1"/>
  <c r="AF181" i="1"/>
  <c r="AF180" i="1"/>
  <c r="AF179" i="1"/>
  <c r="AF178" i="1"/>
  <c r="AF177" i="1"/>
  <c r="AF176" i="1"/>
  <c r="AF175" i="1"/>
  <c r="AF174" i="1"/>
  <c r="AF173" i="1"/>
  <c r="AF172" i="1"/>
  <c r="AF171" i="1"/>
  <c r="AF170" i="1"/>
  <c r="AF169" i="1"/>
  <c r="AF168" i="1"/>
  <c r="AF167" i="1"/>
  <c r="AF166" i="1"/>
  <c r="AF165" i="1"/>
  <c r="AF164" i="1"/>
  <c r="AF163" i="1"/>
  <c r="AF162" i="1"/>
  <c r="AF161" i="1"/>
  <c r="AF160" i="1"/>
  <c r="AF159" i="1"/>
  <c r="AF158" i="1"/>
  <c r="AF157" i="1"/>
  <c r="AF156" i="1"/>
  <c r="AF155" i="1"/>
  <c r="AF154" i="1"/>
  <c r="AF153" i="1"/>
  <c r="AF152" i="1"/>
  <c r="AF151" i="1"/>
  <c r="AF150" i="1"/>
  <c r="AF149" i="1"/>
  <c r="AF148" i="1"/>
  <c r="AF147" i="1"/>
  <c r="AF146" i="1"/>
  <c r="AF145" i="1"/>
  <c r="AF144" i="1"/>
  <c r="AF143" i="1"/>
  <c r="AF142" i="1"/>
  <c r="AF141" i="1"/>
  <c r="AF140" i="1"/>
  <c r="AF139" i="1"/>
  <c r="AF138" i="1"/>
  <c r="AF137" i="1"/>
  <c r="AF136" i="1"/>
  <c r="AF135" i="1"/>
  <c r="AF134" i="1"/>
  <c r="AF133" i="1"/>
  <c r="AF132" i="1"/>
  <c r="AF131" i="1"/>
  <c r="AF130" i="1"/>
  <c r="AF129" i="1"/>
  <c r="AF128" i="1"/>
  <c r="AF127" i="1"/>
  <c r="AF126" i="1"/>
  <c r="AF125" i="1"/>
  <c r="AF124" i="1"/>
  <c r="AF123" i="1"/>
  <c r="AF122" i="1"/>
  <c r="AF121" i="1"/>
  <c r="AF120" i="1"/>
  <c r="AF119" i="1"/>
  <c r="AF118" i="1"/>
  <c r="AF117" i="1"/>
  <c r="AF116" i="1"/>
  <c r="AF115" i="1"/>
  <c r="AF114" i="1"/>
  <c r="AF113" i="1"/>
  <c r="AF112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3" i="1"/>
  <c r="AF92" i="1"/>
  <c r="AF91" i="1"/>
  <c r="AF90" i="1"/>
  <c r="AF89" i="1"/>
  <c r="AF88" i="1"/>
  <c r="AF87" i="1"/>
  <c r="AF86" i="1"/>
  <c r="AF85" i="1"/>
  <c r="AF84" i="1"/>
  <c r="AF83" i="1"/>
  <c r="AF82" i="1"/>
  <c r="AF81" i="1"/>
  <c r="AF80" i="1"/>
  <c r="AF79" i="1"/>
  <c r="AF78" i="1"/>
  <c r="AF77" i="1"/>
  <c r="AF76" i="1"/>
  <c r="AF75" i="1"/>
  <c r="AF74" i="1"/>
  <c r="AF73" i="1"/>
  <c r="AF72" i="1"/>
  <c r="AF71" i="1"/>
  <c r="AF70" i="1"/>
  <c r="AF69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50" i="1"/>
  <c r="AF49" i="1"/>
  <c r="AF48" i="1"/>
  <c r="AF47" i="1"/>
  <c r="AF46" i="1"/>
  <c r="AF45" i="1"/>
  <c r="AF44" i="1"/>
  <c r="AF43" i="1"/>
  <c r="AF42" i="1"/>
  <c r="AF41" i="1"/>
  <c r="AF40" i="1"/>
  <c r="AF39" i="1"/>
  <c r="AF38" i="1"/>
  <c r="AF37" i="1"/>
  <c r="AF36" i="1"/>
  <c r="AF35" i="1"/>
  <c r="AF34" i="1"/>
  <c r="AF3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F3" i="1"/>
  <c r="AE421" i="1" l="1"/>
  <c r="AG421" i="1" s="1"/>
  <c r="M441" i="1"/>
  <c r="AE441" i="1" s="1"/>
  <c r="AG441" i="1" s="1"/>
  <c r="M425" i="1"/>
  <c r="AE425" i="1" s="1"/>
  <c r="AG425" i="1" s="1"/>
  <c r="M409" i="1"/>
  <c r="AE409" i="1" s="1"/>
  <c r="AG409" i="1" s="1"/>
  <c r="M472" i="1"/>
  <c r="AE472" i="1" s="1"/>
  <c r="AG472" i="1" s="1"/>
  <c r="M464" i="1"/>
  <c r="AE464" i="1" s="1"/>
  <c r="AG464" i="1" s="1"/>
  <c r="M460" i="1"/>
  <c r="AE460" i="1" s="1"/>
  <c r="AG460" i="1" s="1"/>
  <c r="M458" i="1"/>
  <c r="AE458" i="1" s="1"/>
  <c r="AG458" i="1" s="1"/>
  <c r="AE455" i="1"/>
  <c r="AG455" i="1" s="1"/>
  <c r="M451" i="1"/>
  <c r="AE451" i="1" s="1"/>
  <c r="AG451" i="1" s="1"/>
  <c r="M447" i="1"/>
  <c r="AE447" i="1" s="1"/>
  <c r="AG447" i="1" s="1"/>
  <c r="M443" i="1"/>
  <c r="AE443" i="1" s="1"/>
  <c r="AG443" i="1" s="1"/>
  <c r="M439" i="1"/>
  <c r="AE439" i="1" s="1"/>
  <c r="AG439" i="1" s="1"/>
  <c r="M435" i="1"/>
  <c r="AE435" i="1" s="1"/>
  <c r="AG435" i="1" s="1"/>
  <c r="M431" i="1"/>
  <c r="AE431" i="1" s="1"/>
  <c r="AG431" i="1" s="1"/>
  <c r="M427" i="1"/>
  <c r="AE427" i="1" s="1"/>
  <c r="AG427" i="1" s="1"/>
  <c r="M423" i="1"/>
  <c r="AE423" i="1" s="1"/>
  <c r="AG423" i="1" s="1"/>
  <c r="M419" i="1"/>
  <c r="AE419" i="1" s="1"/>
  <c r="AG419" i="1" s="1"/>
  <c r="M415" i="1"/>
  <c r="AE415" i="1" s="1"/>
  <c r="AG415" i="1" s="1"/>
  <c r="M411" i="1"/>
  <c r="AE411" i="1" s="1"/>
  <c r="AG411" i="1" s="1"/>
  <c r="M407" i="1"/>
  <c r="AE407" i="1" s="1"/>
  <c r="AG407" i="1" s="1"/>
  <c r="M473" i="1"/>
  <c r="AE473" i="1" s="1"/>
  <c r="AG473" i="1" s="1"/>
  <c r="M465" i="1"/>
  <c r="AE465" i="1" s="1"/>
  <c r="AG465" i="1" s="1"/>
  <c r="M461" i="1"/>
  <c r="AE461" i="1" s="1"/>
  <c r="AG461" i="1" s="1"/>
  <c r="M456" i="1"/>
  <c r="AE456" i="1" s="1"/>
  <c r="AG456" i="1" s="1"/>
  <c r="M452" i="1"/>
  <c r="AE452" i="1" s="1"/>
  <c r="AG452" i="1" s="1"/>
  <c r="M448" i="1"/>
  <c r="AE448" i="1" s="1"/>
  <c r="AG448" i="1" s="1"/>
  <c r="M444" i="1"/>
  <c r="AE444" i="1" s="1"/>
  <c r="AG444" i="1" s="1"/>
  <c r="M440" i="1"/>
  <c r="AE440" i="1" s="1"/>
  <c r="AG440" i="1" s="1"/>
  <c r="M436" i="1"/>
  <c r="AE436" i="1" s="1"/>
  <c r="AG436" i="1" s="1"/>
  <c r="M432" i="1"/>
  <c r="AE432" i="1" s="1"/>
  <c r="AG432" i="1" s="1"/>
  <c r="M428" i="1"/>
  <c r="AE428" i="1" s="1"/>
  <c r="AG428" i="1" s="1"/>
  <c r="M424" i="1"/>
  <c r="AE424" i="1" s="1"/>
  <c r="AG424" i="1" s="1"/>
  <c r="M420" i="1"/>
  <c r="AE420" i="1" s="1"/>
  <c r="AG420" i="1" s="1"/>
  <c r="M416" i="1"/>
  <c r="AE416" i="1" s="1"/>
  <c r="AG416" i="1" s="1"/>
  <c r="M412" i="1"/>
  <c r="AE412" i="1" s="1"/>
  <c r="AG412" i="1" s="1"/>
  <c r="M408" i="1"/>
  <c r="AE408" i="1" s="1"/>
  <c r="AG408" i="1" s="1"/>
  <c r="M471" i="1"/>
  <c r="AE471" i="1" s="1"/>
  <c r="AG471" i="1" s="1"/>
  <c r="M463" i="1"/>
  <c r="AE463" i="1" s="1"/>
  <c r="AG463" i="1" s="1"/>
  <c r="M457" i="1"/>
  <c r="AE457" i="1" s="1"/>
  <c r="AG457" i="1" s="1"/>
  <c r="M442" i="1"/>
  <c r="AE442" i="1" s="1"/>
  <c r="AG442" i="1" s="1"/>
  <c r="M438" i="1"/>
  <c r="AE438" i="1" s="1"/>
  <c r="AG438" i="1" s="1"/>
  <c r="M418" i="1"/>
  <c r="AE418" i="1" s="1"/>
  <c r="AG418" i="1" s="1"/>
  <c r="M410" i="1"/>
  <c r="AE410" i="1" s="1"/>
  <c r="AG410" i="1" s="1"/>
  <c r="AE330" i="1"/>
  <c r="AG330" i="1" s="1"/>
  <c r="M466" i="1"/>
  <c r="AE466" i="1" s="1"/>
  <c r="AG466" i="1" s="1"/>
  <c r="M474" i="1"/>
  <c r="AE474" i="1" s="1"/>
  <c r="AG474" i="1" s="1"/>
  <c r="M462" i="1"/>
  <c r="AE462" i="1" s="1"/>
  <c r="AG462" i="1" s="1"/>
  <c r="AE453" i="1"/>
  <c r="AG453" i="1" s="1"/>
  <c r="M449" i="1"/>
  <c r="AE449" i="1" s="1"/>
  <c r="AG449" i="1" s="1"/>
  <c r="M445" i="1"/>
  <c r="AE445" i="1" s="1"/>
  <c r="AG445" i="1" s="1"/>
  <c r="M437" i="1"/>
  <c r="AE437" i="1" s="1"/>
  <c r="AG437" i="1" s="1"/>
  <c r="M433" i="1"/>
  <c r="AE433" i="1" s="1"/>
  <c r="AG433" i="1" s="1"/>
  <c r="M429" i="1"/>
  <c r="AE429" i="1" s="1"/>
  <c r="AG429" i="1" s="1"/>
  <c r="M417" i="1"/>
  <c r="AE417" i="1" s="1"/>
  <c r="AG417" i="1" s="1"/>
  <c r="M413" i="1"/>
  <c r="AE413" i="1" s="1"/>
  <c r="AG413" i="1" s="1"/>
  <c r="S1" i="1"/>
  <c r="M414" i="1"/>
  <c r="AE414" i="1" s="1"/>
  <c r="AG414" i="1" s="1"/>
  <c r="P1" i="1"/>
  <c r="M459" i="1"/>
  <c r="AE459" i="1" s="1"/>
  <c r="AG459" i="1" s="1"/>
  <c r="AE454" i="1"/>
  <c r="AG454" i="1" s="1"/>
  <c r="M450" i="1"/>
  <c r="AE450" i="1" s="1"/>
  <c r="AG450" i="1" s="1"/>
  <c r="M446" i="1"/>
  <c r="AE446" i="1" s="1"/>
  <c r="AG446" i="1" s="1"/>
  <c r="M430" i="1"/>
  <c r="AE430" i="1" s="1"/>
  <c r="AG430" i="1" s="1"/>
  <c r="M422" i="1"/>
  <c r="AE422" i="1" s="1"/>
  <c r="AG422" i="1" s="1"/>
  <c r="M406" i="1"/>
  <c r="AE406" i="1" s="1"/>
  <c r="AG406" i="1" s="1"/>
  <c r="M434" i="1"/>
  <c r="AE434" i="1" s="1"/>
  <c r="AG434" i="1" s="1"/>
  <c r="M426" i="1"/>
  <c r="AE426" i="1" s="1"/>
  <c r="AG426" i="1" s="1"/>
  <c r="Q1" i="1"/>
  <c r="O1" i="1"/>
  <c r="AF1" i="1"/>
  <c r="V1" i="1"/>
  <c r="T1" i="1"/>
  <c r="U1" i="1"/>
  <c r="M359" i="1" l="1"/>
  <c r="AE359" i="1" s="1"/>
  <c r="AG359" i="1" s="1"/>
  <c r="M375" i="1"/>
  <c r="AE375" i="1" s="1"/>
  <c r="AG375" i="1" s="1"/>
  <c r="M189" i="1"/>
  <c r="AE189" i="1" s="1"/>
  <c r="AG189" i="1" s="1"/>
  <c r="M197" i="1"/>
  <c r="AE197" i="1" s="1"/>
  <c r="AG197" i="1" s="1"/>
  <c r="M198" i="1"/>
  <c r="AE198" i="1" s="1"/>
  <c r="AG198" i="1" s="1"/>
  <c r="M310" i="1"/>
  <c r="AE310" i="1" s="1"/>
  <c r="AG310" i="1" s="1"/>
  <c r="M271" i="1"/>
  <c r="AE271" i="1" s="1"/>
  <c r="AG271" i="1" s="1"/>
  <c r="M274" i="1"/>
  <c r="AE274" i="1" s="1"/>
  <c r="AG274" i="1" s="1"/>
  <c r="M23" i="1"/>
  <c r="AE23" i="1" s="1"/>
  <c r="AG23" i="1" s="1"/>
  <c r="M117" i="1"/>
  <c r="AE117" i="1" s="1"/>
  <c r="AG117" i="1" s="1"/>
  <c r="M311" i="1"/>
  <c r="AE311" i="1" s="1"/>
  <c r="AG311" i="1" s="1"/>
  <c r="M118" i="1"/>
  <c r="AE118" i="1" s="1"/>
  <c r="AG118" i="1" s="1"/>
  <c r="M371" i="1"/>
  <c r="AE371" i="1" s="1"/>
  <c r="AG371" i="1" s="1"/>
  <c r="M352" i="1"/>
  <c r="AE352" i="1" s="1"/>
  <c r="AG352" i="1" s="1"/>
  <c r="M86" i="1"/>
  <c r="AE86" i="1" s="1"/>
  <c r="AG86" i="1" s="1"/>
  <c r="M353" i="1"/>
  <c r="AE353" i="1" s="1"/>
  <c r="AG353" i="1" s="1"/>
  <c r="M173" i="1"/>
  <c r="AE173" i="1" s="1"/>
  <c r="AG173" i="1" s="1"/>
  <c r="M262" i="1"/>
  <c r="AE262" i="1" s="1"/>
  <c r="AG262" i="1" s="1"/>
  <c r="M289" i="1"/>
  <c r="AE289" i="1" s="1"/>
  <c r="AG289" i="1" s="1"/>
  <c r="M398" i="1"/>
  <c r="AE398" i="1" s="1"/>
  <c r="AG398" i="1" s="1"/>
  <c r="M134" i="1"/>
  <c r="AE134" i="1" s="1"/>
  <c r="AG134" i="1" s="1"/>
  <c r="M210" i="1"/>
  <c r="AE210" i="1" s="1"/>
  <c r="AG210" i="1" s="1"/>
  <c r="M364" i="1"/>
  <c r="AE364" i="1" s="1"/>
  <c r="AG364" i="1" s="1"/>
  <c r="M138" i="1"/>
  <c r="AE138" i="1" s="1"/>
  <c r="AG138" i="1" s="1"/>
  <c r="M334" i="1"/>
  <c r="AE334" i="1" s="1"/>
  <c r="AG334" i="1" s="1"/>
  <c r="M155" i="1"/>
  <c r="AE155" i="1" s="1"/>
  <c r="AG155" i="1" s="1"/>
  <c r="M77" i="1"/>
  <c r="AE77" i="1" s="1"/>
  <c r="AG77" i="1" s="1"/>
  <c r="M230" i="1"/>
  <c r="AE230" i="1" s="1"/>
  <c r="AG230" i="1" s="1"/>
  <c r="M350" i="1"/>
  <c r="AE350" i="1" s="1"/>
  <c r="AG350" i="1" s="1"/>
  <c r="M47" i="1"/>
  <c r="AE47" i="1" s="1"/>
  <c r="AG47" i="1" s="1"/>
  <c r="M17" i="1"/>
  <c r="AE17" i="1" s="1"/>
  <c r="AG17" i="1" s="1"/>
  <c r="M269" i="1"/>
  <c r="AE269" i="1" s="1"/>
  <c r="AG269" i="1" s="1"/>
  <c r="M102" i="1"/>
  <c r="AE102" i="1" s="1"/>
  <c r="AG102" i="1" s="1"/>
  <c r="M205" i="1" l="1"/>
  <c r="AE205" i="1" s="1"/>
  <c r="AG205" i="1" s="1"/>
  <c r="M97" i="1"/>
  <c r="AE97" i="1" s="1"/>
  <c r="AG97" i="1" s="1"/>
  <c r="M42" i="1"/>
  <c r="AE42" i="1" s="1"/>
  <c r="AG42" i="1" s="1"/>
  <c r="M297" i="1"/>
  <c r="AE297" i="1" s="1"/>
  <c r="AG297" i="1" s="1"/>
  <c r="M48" i="1"/>
  <c r="AE48" i="1" s="1"/>
  <c r="AG48" i="1" s="1"/>
  <c r="M317" i="1"/>
  <c r="AE317" i="1" s="1"/>
  <c r="AG317" i="1" s="1"/>
  <c r="M187" i="1"/>
  <c r="AE187" i="1" s="1"/>
  <c r="AG187" i="1" s="1"/>
  <c r="M223" i="1"/>
  <c r="AE223" i="1" s="1"/>
  <c r="AG223" i="1" s="1"/>
  <c r="M301" i="1"/>
  <c r="AE301" i="1" s="1"/>
  <c r="AG301" i="1" s="1"/>
  <c r="M193" i="1"/>
  <c r="AE193" i="1" s="1"/>
  <c r="AG193" i="1" s="1"/>
  <c r="M294" i="1"/>
  <c r="AE294" i="1" s="1"/>
  <c r="AG294" i="1" s="1"/>
  <c r="M370" i="1"/>
  <c r="AE370" i="1" s="1"/>
  <c r="AG370" i="1" s="1"/>
  <c r="M337" i="1"/>
  <c r="AE337" i="1" s="1"/>
  <c r="AG337" i="1" s="1"/>
  <c r="M157" i="1"/>
  <c r="AE157" i="1" s="1"/>
  <c r="AG157" i="1" s="1"/>
  <c r="M336" i="1"/>
  <c r="AE336" i="1" s="1"/>
  <c r="AG336" i="1" s="1"/>
  <c r="M45" i="1"/>
  <c r="AE45" i="1" s="1"/>
  <c r="AG45" i="1" s="1"/>
  <c r="M387" i="1"/>
  <c r="AE387" i="1" s="1"/>
  <c r="AG387" i="1" s="1"/>
  <c r="M346" i="1"/>
  <c r="AE346" i="1" s="1"/>
  <c r="AG346" i="1" s="1"/>
  <c r="M14" i="1"/>
  <c r="AE14" i="1" s="1"/>
  <c r="AG14" i="1" s="1"/>
  <c r="M22" i="1"/>
  <c r="AE22" i="1" s="1"/>
  <c r="AG22" i="1" s="1"/>
  <c r="M99" i="1"/>
  <c r="AE99" i="1" s="1"/>
  <c r="AG99" i="1" s="1"/>
  <c r="M255" i="1"/>
  <c r="AE255" i="1" s="1"/>
  <c r="AG255" i="1" s="1"/>
  <c r="M159" i="1"/>
  <c r="AE159" i="1" s="1"/>
  <c r="AG159" i="1" s="1"/>
  <c r="M111" i="1"/>
  <c r="AE111" i="1" s="1"/>
  <c r="AG111" i="1" s="1"/>
  <c r="M87" i="1"/>
  <c r="AE87" i="1" s="1"/>
  <c r="AG87" i="1" s="1"/>
  <c r="M160" i="1"/>
  <c r="AE160" i="1" s="1"/>
  <c r="AG160" i="1" s="1"/>
  <c r="M98" i="1"/>
  <c r="AE98" i="1" s="1"/>
  <c r="AG98" i="1" s="1"/>
  <c r="M225" i="1"/>
  <c r="AE225" i="1" s="1"/>
  <c r="AG225" i="1" s="1"/>
  <c r="M253" i="1"/>
  <c r="AE253" i="1" s="1"/>
  <c r="AG253" i="1" s="1"/>
  <c r="M144" i="1"/>
  <c r="AE144" i="1" s="1"/>
  <c r="AG144" i="1" s="1"/>
  <c r="M338" i="1"/>
  <c r="AE338" i="1" s="1"/>
  <c r="AG338" i="1" s="1"/>
  <c r="M211" i="1"/>
  <c r="AE211" i="1" s="1"/>
  <c r="AG211" i="1" s="1"/>
  <c r="M84" i="1"/>
  <c r="AE84" i="1" s="1"/>
  <c r="AG84" i="1" s="1"/>
  <c r="M256" i="1"/>
  <c r="AE256" i="1" s="1"/>
  <c r="AG256" i="1" s="1"/>
  <c r="M139" i="1"/>
  <c r="AE139" i="1" s="1"/>
  <c r="AG139" i="1" s="1"/>
  <c r="M220" i="1"/>
  <c r="AE220" i="1" s="1"/>
  <c r="AG220" i="1" s="1"/>
  <c r="M100" i="1"/>
  <c r="AE100" i="1" s="1"/>
  <c r="AG100" i="1" s="1"/>
  <c r="M235" i="1"/>
  <c r="AE235" i="1" s="1"/>
  <c r="AG235" i="1" s="1"/>
  <c r="M343" i="1"/>
  <c r="AE343" i="1" s="1"/>
  <c r="AG343" i="1" s="1"/>
  <c r="M347" i="1"/>
  <c r="AE347" i="1" s="1"/>
  <c r="AG347" i="1" s="1"/>
  <c r="M267" i="1"/>
  <c r="AE267" i="1" s="1"/>
  <c r="AG267" i="1" s="1"/>
  <c r="M49" i="1"/>
  <c r="AE49" i="1" s="1"/>
  <c r="AG49" i="1" s="1"/>
  <c r="M369" i="1"/>
  <c r="AE369" i="1" s="1"/>
  <c r="AG369" i="1" s="1"/>
  <c r="M221" i="1"/>
  <c r="AE221" i="1" s="1"/>
  <c r="AG221" i="1" s="1"/>
  <c r="M33" i="1"/>
  <c r="AE33" i="1" s="1"/>
  <c r="AG33" i="1" s="1"/>
  <c r="M209" i="1"/>
  <c r="AE209" i="1" s="1"/>
  <c r="AG209" i="1" s="1"/>
  <c r="M109" i="1"/>
  <c r="AE109" i="1" s="1"/>
  <c r="AG109" i="1" s="1"/>
  <c r="M161" i="1"/>
  <c r="AE161" i="1" s="1"/>
  <c r="AG161" i="1" s="1"/>
  <c r="M125" i="1"/>
  <c r="AE125" i="1" s="1"/>
  <c r="AG125" i="1" s="1"/>
  <c r="M229" i="1"/>
  <c r="AE229" i="1" s="1"/>
  <c r="AG229" i="1" s="1"/>
  <c r="M360" i="1"/>
  <c r="AE360" i="1" s="1"/>
  <c r="AG360" i="1" s="1"/>
  <c r="M141" i="1"/>
  <c r="AE141" i="1" s="1"/>
  <c r="AG141" i="1" s="1"/>
  <c r="M54" i="1"/>
  <c r="AE54" i="1" s="1"/>
  <c r="AG54" i="1" s="1"/>
  <c r="M93" i="1"/>
  <c r="AE93" i="1" s="1"/>
  <c r="AG93" i="1" s="1"/>
  <c r="M103" i="1"/>
  <c r="AE103" i="1" s="1"/>
  <c r="AG103" i="1" s="1"/>
  <c r="M208" i="1"/>
  <c r="AE208" i="1" s="1"/>
  <c r="AG208" i="1" s="1"/>
  <c r="M276" i="1"/>
  <c r="AE276" i="1" s="1"/>
  <c r="AG276" i="1" s="1"/>
  <c r="M129" i="1"/>
  <c r="AE129" i="1" s="1"/>
  <c r="AG129" i="1" s="1"/>
  <c r="M404" i="1"/>
  <c r="AE404" i="1" s="1"/>
  <c r="AG404" i="1" s="1"/>
  <c r="M246" i="1"/>
  <c r="AE246" i="1" s="1"/>
  <c r="AG246" i="1" s="1"/>
  <c r="M171" i="1"/>
  <c r="AE171" i="1" s="1"/>
  <c r="AG171" i="1" s="1"/>
  <c r="M43" i="1"/>
  <c r="AE43" i="1" s="1"/>
  <c r="AG43" i="1" s="1"/>
  <c r="M50" i="1"/>
  <c r="AE50" i="1" s="1"/>
  <c r="AG50" i="1" s="1"/>
  <c r="M402" i="1"/>
  <c r="AE402" i="1" s="1"/>
  <c r="AG402" i="1" s="1"/>
  <c r="M385" i="1"/>
  <c r="AE385" i="1" s="1"/>
  <c r="AG385" i="1" s="1"/>
  <c r="M96" i="1"/>
  <c r="AE96" i="1" s="1"/>
  <c r="AG96" i="1" s="1"/>
  <c r="M389" i="1"/>
  <c r="AE389" i="1" s="1"/>
  <c r="AG389" i="1" s="1"/>
  <c r="M287" i="1"/>
  <c r="AE287" i="1" s="1"/>
  <c r="AG287" i="1" s="1"/>
  <c r="M325" i="1"/>
  <c r="AE325" i="1" s="1"/>
  <c r="AG325" i="1" s="1"/>
  <c r="M228" i="1"/>
  <c r="AE228" i="1" s="1"/>
  <c r="AG228" i="1" s="1"/>
  <c r="M200" i="1"/>
  <c r="AE200" i="1" s="1"/>
  <c r="AG200" i="1" s="1"/>
  <c r="M367" i="1"/>
  <c r="AE367" i="1" s="1"/>
  <c r="AG367" i="1" s="1"/>
  <c r="M288" i="1"/>
  <c r="AE288" i="1" s="1"/>
  <c r="AG288" i="1" s="1"/>
  <c r="M227" i="1"/>
  <c r="AE227" i="1" s="1"/>
  <c r="AG227" i="1" s="1"/>
  <c r="M366" i="1"/>
  <c r="AE366" i="1" s="1"/>
  <c r="AG366" i="1" s="1"/>
  <c r="M273" i="1"/>
  <c r="AE273" i="1" s="1"/>
  <c r="AG273" i="1" s="1"/>
  <c r="M65" i="1"/>
  <c r="AE65" i="1" s="1"/>
  <c r="AG65" i="1" s="1"/>
  <c r="M128" i="1"/>
  <c r="AE128" i="1" s="1"/>
  <c r="AG128" i="1" s="1"/>
  <c r="M358" i="1"/>
  <c r="AE358" i="1" s="1"/>
  <c r="AG358" i="1" s="1"/>
  <c r="M400" i="1"/>
  <c r="AE400" i="1" s="1"/>
  <c r="AG400" i="1" s="1"/>
  <c r="M145" i="1"/>
  <c r="AE145" i="1" s="1"/>
  <c r="AG145" i="1" s="1"/>
  <c r="M335" i="1"/>
  <c r="AE335" i="1" s="1"/>
  <c r="AG335" i="1" s="1"/>
  <c r="M354" i="1"/>
  <c r="AE354" i="1" s="1"/>
  <c r="AG354" i="1" s="1"/>
  <c r="M177" i="1"/>
  <c r="AE177" i="1" s="1"/>
  <c r="AG177" i="1" s="1"/>
  <c r="M315" i="1"/>
  <c r="AE315" i="1" s="1"/>
  <c r="AG315" i="1" s="1"/>
  <c r="M131" i="1"/>
  <c r="AE131" i="1" s="1"/>
  <c r="AG131" i="1" s="1"/>
  <c r="M116" i="1"/>
  <c r="AE116" i="1" s="1"/>
  <c r="AG116" i="1" s="1"/>
  <c r="M133" i="1"/>
  <c r="AE133" i="1" s="1"/>
  <c r="AG133" i="1" s="1"/>
  <c r="M85" i="1"/>
  <c r="AE85" i="1" s="1"/>
  <c r="AG85" i="1" s="1"/>
  <c r="M382" i="1"/>
  <c r="AE382" i="1" s="1"/>
  <c r="AG382" i="1" s="1"/>
  <c r="M71" i="1"/>
  <c r="AE71" i="1" s="1"/>
  <c r="AG71" i="1" s="1"/>
  <c r="M89" i="1"/>
  <c r="AE89" i="1" s="1"/>
  <c r="AG89" i="1" s="1"/>
  <c r="M20" i="1"/>
  <c r="AE20" i="1" s="1"/>
  <c r="AG20" i="1" s="1"/>
  <c r="M7" i="1"/>
  <c r="AE7" i="1" s="1"/>
  <c r="AG7" i="1" s="1"/>
  <c r="M78" i="1"/>
  <c r="AE78" i="1" s="1"/>
  <c r="AG78" i="1" s="1"/>
  <c r="M368" i="1"/>
  <c r="AE368" i="1" s="1"/>
  <c r="AG368" i="1" s="1"/>
  <c r="M9" i="1"/>
  <c r="AE9" i="1" s="1"/>
  <c r="AG9" i="1" s="1"/>
  <c r="M186" i="1"/>
  <c r="AE186" i="1" s="1"/>
  <c r="AG186" i="1" s="1"/>
  <c r="M174" i="1"/>
  <c r="AE174" i="1" s="1"/>
  <c r="AG174" i="1" s="1"/>
  <c r="M362" i="1"/>
  <c r="AE362" i="1" s="1"/>
  <c r="AG362" i="1" s="1"/>
  <c r="M30" i="1"/>
  <c r="AE30" i="1" s="1"/>
  <c r="AG30" i="1" s="1"/>
  <c r="M31" i="1"/>
  <c r="AE31" i="1" s="1"/>
  <c r="AG31" i="1" s="1"/>
  <c r="M162" i="1"/>
  <c r="AE162" i="1" s="1"/>
  <c r="AG162" i="1" s="1"/>
  <c r="M35" i="1"/>
  <c r="AE35" i="1" s="1"/>
  <c r="AG35" i="1" s="1"/>
  <c r="M222" i="1"/>
  <c r="AE222" i="1" s="1"/>
  <c r="AG222" i="1" s="1"/>
  <c r="M390" i="1"/>
  <c r="AE390" i="1" s="1"/>
  <c r="AG390" i="1" s="1"/>
  <c r="M218" i="1"/>
  <c r="AE218" i="1" s="1"/>
  <c r="AG218" i="1" s="1"/>
  <c r="M72" i="1"/>
  <c r="AE72" i="1" s="1"/>
  <c r="AG72" i="1" s="1"/>
  <c r="M115" i="1"/>
  <c r="AE115" i="1" s="1"/>
  <c r="AG115" i="1" s="1"/>
  <c r="M264" i="1"/>
  <c r="AE264" i="1" s="1"/>
  <c r="AG264" i="1" s="1"/>
  <c r="M66" i="1"/>
  <c r="AE66" i="1" s="1"/>
  <c r="AG66" i="1" s="1"/>
  <c r="M374" i="1"/>
  <c r="AE374" i="1" s="1"/>
  <c r="AG374" i="1" s="1"/>
  <c r="M37" i="1"/>
  <c r="AE37" i="1" s="1"/>
  <c r="AG37" i="1" s="1"/>
  <c r="M285" i="1"/>
  <c r="AE285" i="1" s="1"/>
  <c r="AG285" i="1" s="1"/>
  <c r="M11" i="1"/>
  <c r="AE11" i="1" s="1"/>
  <c r="AG11" i="1" s="1"/>
  <c r="M91" i="1"/>
  <c r="AE91" i="1" s="1"/>
  <c r="AG91" i="1" s="1"/>
  <c r="M216" i="1"/>
  <c r="AE216" i="1" s="1"/>
  <c r="AG216" i="1" s="1"/>
  <c r="M34" i="1"/>
  <c r="AE34" i="1" s="1"/>
  <c r="AG34" i="1" s="1"/>
  <c r="M217" i="1"/>
  <c r="AE217" i="1" s="1"/>
  <c r="AG217" i="1" s="1"/>
  <c r="M44" i="1"/>
  <c r="AE44" i="1" s="1"/>
  <c r="AG44" i="1" s="1"/>
  <c r="M172" i="1"/>
  <c r="AE172" i="1" s="1"/>
  <c r="AG172" i="1" s="1"/>
  <c r="M351" i="1"/>
  <c r="AE351" i="1" s="1"/>
  <c r="AG351" i="1" s="1"/>
  <c r="M248" i="1"/>
  <c r="AE248" i="1" s="1"/>
  <c r="AG248" i="1" s="1"/>
  <c r="M136" i="1"/>
  <c r="AE136" i="1" s="1"/>
  <c r="AG136" i="1" s="1"/>
  <c r="M241" i="1"/>
  <c r="AE241" i="1" s="1"/>
  <c r="AG241" i="1" s="1"/>
  <c r="M304" i="1"/>
  <c r="AE304" i="1" s="1"/>
  <c r="AG304" i="1" s="1"/>
  <c r="M403" i="1"/>
  <c r="AE403" i="1" s="1"/>
  <c r="AG403" i="1" s="1"/>
  <c r="M179" i="1"/>
  <c r="AE179" i="1" s="1"/>
  <c r="AG179" i="1" s="1"/>
  <c r="M384" i="1"/>
  <c r="AE384" i="1" s="1"/>
  <c r="AG384" i="1" s="1"/>
  <c r="M266" i="1"/>
  <c r="AE266" i="1" s="1"/>
  <c r="AG266" i="1" s="1"/>
  <c r="M231" i="1"/>
  <c r="AE231" i="1" s="1"/>
  <c r="AG231" i="1" s="1"/>
  <c r="M55" i="1"/>
  <c r="AE55" i="1" s="1"/>
  <c r="AG55" i="1" s="1"/>
  <c r="M373" i="1"/>
  <c r="AE373" i="1" s="1"/>
  <c r="AG373" i="1" s="1"/>
  <c r="M386" i="1"/>
  <c r="AE386" i="1" s="1"/>
  <c r="AG386" i="1" s="1"/>
  <c r="M64" i="1"/>
  <c r="AE64" i="1" s="1"/>
  <c r="AG64" i="1" s="1"/>
  <c r="M348" i="1"/>
  <c r="AE348" i="1" s="1"/>
  <c r="AG348" i="1" s="1"/>
  <c r="M127" i="1"/>
  <c r="AE127" i="1" s="1"/>
  <c r="AG127" i="1" s="1"/>
  <c r="M381" i="1"/>
  <c r="AE381" i="1" s="1"/>
  <c r="AG381" i="1" s="1"/>
  <c r="M6" i="1"/>
  <c r="AE6" i="1" s="1"/>
  <c r="AG6" i="1" s="1"/>
  <c r="M165" i="1"/>
  <c r="AE165" i="1" s="1"/>
  <c r="AG165" i="1" s="1"/>
  <c r="M36" i="1"/>
  <c r="AE36" i="1" s="1"/>
  <c r="AG36" i="1" s="1"/>
  <c r="M329" i="1"/>
  <c r="AE329" i="1" s="1"/>
  <c r="AG329" i="1" s="1"/>
  <c r="M73" i="1"/>
  <c r="AE73" i="1" s="1"/>
  <c r="AG73" i="1" s="1"/>
  <c r="M233" i="1"/>
  <c r="AE233" i="1" s="1"/>
  <c r="AG233" i="1" s="1"/>
  <c r="M53" i="1"/>
  <c r="AE53" i="1" s="1"/>
  <c r="AG53" i="1" s="1"/>
  <c r="M265" i="1"/>
  <c r="AE265" i="1" s="1"/>
  <c r="AG265" i="1" s="1"/>
  <c r="M309" i="1"/>
  <c r="AE309" i="1" s="1"/>
  <c r="AG309" i="1" s="1"/>
  <c r="M239" i="1"/>
  <c r="AE239" i="1" s="1"/>
  <c r="AG239" i="1" s="1"/>
  <c r="M192" i="1"/>
  <c r="AE192" i="1" s="1"/>
  <c r="AG192" i="1" s="1"/>
  <c r="M75" i="1"/>
  <c r="AE75" i="1" s="1"/>
  <c r="AG75" i="1" s="1"/>
  <c r="M12" i="1"/>
  <c r="AE12" i="1" s="1"/>
  <c r="AG12" i="1" s="1"/>
  <c r="M318" i="1"/>
  <c r="AE318" i="1" s="1"/>
  <c r="AG318" i="1" s="1"/>
  <c r="M163" i="1"/>
  <c r="AE163" i="1" s="1"/>
  <c r="AG163" i="1" s="1"/>
  <c r="M307" i="1"/>
  <c r="AE307" i="1" s="1"/>
  <c r="AG307" i="1" s="1"/>
  <c r="M206" i="1"/>
  <c r="AE206" i="1" s="1"/>
  <c r="AG206" i="1" s="1"/>
  <c r="M303" i="1"/>
  <c r="AE303" i="1" s="1"/>
  <c r="AG303" i="1" s="1"/>
  <c r="M213" i="1"/>
  <c r="AE213" i="1" s="1"/>
  <c r="AG213" i="1" s="1"/>
  <c r="M293" i="1"/>
  <c r="AE293" i="1" s="1"/>
  <c r="AG293" i="1" s="1"/>
  <c r="M137" i="1"/>
  <c r="AE137" i="1" s="1"/>
  <c r="AG137" i="1" s="1"/>
  <c r="M52" i="1"/>
  <c r="AE52" i="1" s="1"/>
  <c r="AG52" i="1" s="1"/>
  <c r="M81" i="1"/>
  <c r="AE81" i="1" s="1"/>
  <c r="AG81" i="1" s="1"/>
  <c r="M396" i="1"/>
  <c r="AE396" i="1" s="1"/>
  <c r="AG396" i="1" s="1"/>
  <c r="M152" i="1"/>
  <c r="AE152" i="1" s="1"/>
  <c r="AG152" i="1" s="1"/>
  <c r="M142" i="1"/>
  <c r="AE142" i="1" s="1"/>
  <c r="AG142" i="1" s="1"/>
  <c r="M298" i="1"/>
  <c r="AE298" i="1" s="1"/>
  <c r="AG298" i="1" s="1"/>
  <c r="M57" i="1"/>
  <c r="AE57" i="1" s="1"/>
  <c r="AG57" i="1" s="1"/>
  <c r="M280" i="1"/>
  <c r="AE280" i="1" s="1"/>
  <c r="AG280" i="1" s="1"/>
  <c r="M82" i="1"/>
  <c r="AE82" i="1" s="1"/>
  <c r="AG82" i="1" s="1"/>
  <c r="M380" i="1"/>
  <c r="AE380" i="1" s="1"/>
  <c r="AG380" i="1" s="1"/>
  <c r="M251" i="1"/>
  <c r="AE251" i="1" s="1"/>
  <c r="AG251" i="1" s="1"/>
  <c r="M181" i="1"/>
  <c r="AE181" i="1" s="1"/>
  <c r="AG181" i="1" s="1"/>
  <c r="M245" i="1"/>
  <c r="AE245" i="1" s="1"/>
  <c r="AG245" i="1" s="1"/>
  <c r="M331" i="1"/>
  <c r="AE331" i="1" s="1"/>
  <c r="AG331" i="1" s="1"/>
  <c r="M180" i="1"/>
  <c r="AE180" i="1" s="1"/>
  <c r="AG180" i="1" s="1"/>
  <c r="M365" i="1"/>
  <c r="AE365" i="1" s="1"/>
  <c r="AG365" i="1" s="1"/>
  <c r="M215" i="1"/>
  <c r="AE215" i="1" s="1"/>
  <c r="AG215" i="1" s="1"/>
  <c r="M39" i="1"/>
  <c r="AE39" i="1" s="1"/>
  <c r="AG39" i="1" s="1"/>
  <c r="M244" i="1"/>
  <c r="AE244" i="1" s="1"/>
  <c r="AG244" i="1" s="1"/>
  <c r="M202" i="1"/>
  <c r="AE202" i="1" s="1"/>
  <c r="AG202" i="1" s="1"/>
  <c r="M132" i="1"/>
  <c r="AE132" i="1" s="1"/>
  <c r="AG132" i="1" s="1"/>
  <c r="M290" i="1"/>
  <c r="AE290" i="1" s="1"/>
  <c r="AG290" i="1" s="1"/>
  <c r="M237" i="1"/>
  <c r="AE237" i="1" s="1"/>
  <c r="AG237" i="1" s="1"/>
  <c r="M313" i="1"/>
  <c r="AE313" i="1" s="1"/>
  <c r="AG313" i="1" s="1"/>
  <c r="M104" i="1"/>
  <c r="AE104" i="1" s="1"/>
  <c r="AG104" i="1" s="1"/>
  <c r="M126" i="1"/>
  <c r="AE126" i="1" s="1"/>
  <c r="AG126" i="1" s="1"/>
  <c r="M286" i="1"/>
  <c r="AE286" i="1" s="1"/>
  <c r="AG286" i="1" s="1"/>
  <c r="M60" i="1"/>
  <c r="AE60" i="1" s="1"/>
  <c r="AG60" i="1" s="1"/>
  <c r="M291" i="1"/>
  <c r="AE291" i="1" s="1"/>
  <c r="AG291" i="1" s="1"/>
  <c r="M258" i="1"/>
  <c r="AE258" i="1" s="1"/>
  <c r="AG258" i="1" s="1"/>
  <c r="M254" i="1"/>
  <c r="AE254" i="1" s="1"/>
  <c r="AG254" i="1" s="1"/>
  <c r="M234" i="1"/>
  <c r="AE234" i="1" s="1"/>
  <c r="AG234" i="1" s="1"/>
  <c r="M149" i="1"/>
  <c r="AE149" i="1" s="1"/>
  <c r="AG149" i="1" s="1"/>
  <c r="M95" i="1"/>
  <c r="AE95" i="1" s="1"/>
  <c r="AG95" i="1" s="1"/>
  <c r="M175" i="1"/>
  <c r="AE175" i="1" s="1"/>
  <c r="AG175" i="1" s="1"/>
  <c r="M332" i="1"/>
  <c r="AE332" i="1" s="1"/>
  <c r="AG332" i="1" s="1"/>
  <c r="M153" i="1"/>
  <c r="AE153" i="1" s="1"/>
  <c r="AG153" i="1" s="1"/>
  <c r="M56" i="1"/>
  <c r="AE56" i="1" s="1"/>
  <c r="AG56" i="1" s="1"/>
  <c r="M252" i="1"/>
  <c r="AE252" i="1" s="1"/>
  <c r="AG252" i="1" s="1"/>
  <c r="M259" i="1"/>
  <c r="AE259" i="1" s="1"/>
  <c r="AG259" i="1" s="1"/>
  <c r="M242" i="1"/>
  <c r="AE242" i="1" s="1"/>
  <c r="AG242" i="1" s="1"/>
  <c r="M305" i="1"/>
  <c r="AE305" i="1" s="1"/>
  <c r="AG305" i="1" s="1"/>
  <c r="M401" i="1"/>
  <c r="AE401" i="1" s="1"/>
  <c r="AG401" i="1" s="1"/>
  <c r="M110" i="1"/>
  <c r="AE110" i="1" s="1"/>
  <c r="AG110" i="1" s="1"/>
  <c r="M302" i="1"/>
  <c r="AE302" i="1" s="1"/>
  <c r="AG302" i="1" s="1"/>
  <c r="M263" i="1"/>
  <c r="AE263" i="1" s="1"/>
  <c r="AG263" i="1" s="1"/>
  <c r="M232" i="1"/>
  <c r="AE232" i="1" s="1"/>
  <c r="AG232" i="1" s="1"/>
  <c r="M308" i="1"/>
  <c r="AE308" i="1" s="1"/>
  <c r="AG308" i="1" s="1"/>
  <c r="M26" i="1"/>
  <c r="AE26" i="1" s="1"/>
  <c r="AG26" i="1" s="1"/>
  <c r="M108" i="1"/>
  <c r="AE108" i="1" s="1"/>
  <c r="AG108" i="1" s="1"/>
  <c r="M344" i="1"/>
  <c r="AE344" i="1" s="1"/>
  <c r="AG344" i="1" s="1"/>
  <c r="M183" i="1"/>
  <c r="AE183" i="1" s="1"/>
  <c r="AG183" i="1" s="1"/>
  <c r="M357" i="1"/>
  <c r="AE357" i="1" s="1"/>
  <c r="AG357" i="1" s="1"/>
  <c r="M21" i="1"/>
  <c r="AE21" i="1" s="1"/>
  <c r="AG21" i="1" s="1"/>
  <c r="M170" i="1"/>
  <c r="AE170" i="1" s="1"/>
  <c r="AG170" i="1" s="1"/>
  <c r="M88" i="1"/>
  <c r="AE88" i="1" s="1"/>
  <c r="AG88" i="1" s="1"/>
  <c r="M349" i="1"/>
  <c r="AE349" i="1" s="1"/>
  <c r="AG349" i="1" s="1"/>
  <c r="M249" i="1"/>
  <c r="AE249" i="1" s="1"/>
  <c r="AG249" i="1" s="1"/>
  <c r="M196" i="1"/>
  <c r="AE196" i="1" s="1"/>
  <c r="AG196" i="1" s="1"/>
  <c r="M243" i="1"/>
  <c r="AE243" i="1" s="1"/>
  <c r="AG243" i="1" s="1"/>
  <c r="M224" i="1"/>
  <c r="AE224" i="1" s="1"/>
  <c r="AG224" i="1" s="1"/>
  <c r="M46" i="1"/>
  <c r="AE46" i="1" s="1"/>
  <c r="AG46" i="1" s="1"/>
  <c r="M388" i="1"/>
  <c r="AE388" i="1" s="1"/>
  <c r="AG388" i="1" s="1"/>
  <c r="M67" i="1"/>
  <c r="AE67" i="1" s="1"/>
  <c r="AG67" i="1" s="1"/>
  <c r="M107" i="1"/>
  <c r="AE107" i="1" s="1"/>
  <c r="AG107" i="1" s="1"/>
  <c r="M345" i="1"/>
  <c r="AE345" i="1" s="1"/>
  <c r="AG345" i="1" s="1"/>
  <c r="M292" i="1"/>
  <c r="AE292" i="1" s="1"/>
  <c r="AG292" i="1" s="1"/>
  <c r="M68" i="1"/>
  <c r="AE68" i="1" s="1"/>
  <c r="AG68" i="1" s="1"/>
  <c r="M191" i="1"/>
  <c r="AE191" i="1" s="1"/>
  <c r="AG191" i="1" s="1"/>
  <c r="M13" i="1"/>
  <c r="AE13" i="1" s="1"/>
  <c r="AG13" i="1" s="1"/>
  <c r="M282" i="1"/>
  <c r="AE282" i="1" s="1"/>
  <c r="AG282" i="1" s="1"/>
  <c r="M92" i="1"/>
  <c r="AE92" i="1" s="1"/>
  <c r="AG92" i="1" s="1"/>
  <c r="M28" i="1"/>
  <c r="AE28" i="1" s="1"/>
  <c r="AG28" i="1" s="1"/>
  <c r="M94" i="1"/>
  <c r="AE94" i="1" s="1"/>
  <c r="AG94" i="1" s="1"/>
  <c r="M105" i="1"/>
  <c r="AE105" i="1" s="1"/>
  <c r="AG105" i="1" s="1"/>
  <c r="M62" i="1"/>
  <c r="AE62" i="1" s="1"/>
  <c r="AG62" i="1" s="1"/>
  <c r="M8" i="1"/>
  <c r="AE8" i="1" s="1"/>
  <c r="AG8" i="1" s="1"/>
  <c r="M194" i="1"/>
  <c r="AE194" i="1" s="1"/>
  <c r="AG194" i="1" s="1"/>
  <c r="M320" i="1"/>
  <c r="AE320" i="1" s="1"/>
  <c r="AG320" i="1" s="1"/>
  <c r="M123" i="1"/>
  <c r="AE123" i="1" s="1"/>
  <c r="AG123" i="1" s="1"/>
  <c r="M143" i="1"/>
  <c r="AE143" i="1" s="1"/>
  <c r="AG143" i="1" s="1"/>
  <c r="M372" i="1"/>
  <c r="AE372" i="1" s="1"/>
  <c r="AG372" i="1" s="1"/>
  <c r="M168" i="1"/>
  <c r="AE168" i="1" s="1"/>
  <c r="AG168" i="1" s="1"/>
  <c r="M79" i="1"/>
  <c r="AE79" i="1" s="1"/>
  <c r="AG79" i="1" s="1"/>
  <c r="M106" i="1"/>
  <c r="AE106" i="1" s="1"/>
  <c r="AG106" i="1" s="1"/>
  <c r="M393" i="1"/>
  <c r="AE393" i="1" s="1"/>
  <c r="AG393" i="1" s="1"/>
  <c r="M10" i="1"/>
  <c r="AE10" i="1" s="1"/>
  <c r="AG10" i="1" s="1"/>
  <c r="M363" i="1"/>
  <c r="AE363" i="1" s="1"/>
  <c r="AG363" i="1" s="1"/>
  <c r="M327" i="1"/>
  <c r="AE327" i="1" s="1"/>
  <c r="AG327" i="1" s="1"/>
  <c r="M154" i="1"/>
  <c r="AE154" i="1" s="1"/>
  <c r="AG154" i="1" s="1"/>
  <c r="M166" i="1"/>
  <c r="AE166" i="1" s="1"/>
  <c r="AG166" i="1" s="1"/>
  <c r="M63" i="1"/>
  <c r="AE63" i="1" s="1"/>
  <c r="AG63" i="1" s="1"/>
  <c r="M283" i="1"/>
  <c r="AE283" i="1" s="1"/>
  <c r="AG283" i="1" s="1"/>
  <c r="M383" i="1"/>
  <c r="AE383" i="1" s="1"/>
  <c r="AG383" i="1" s="1"/>
  <c r="M300" i="1"/>
  <c r="AE300" i="1" s="1"/>
  <c r="AG300" i="1" s="1"/>
  <c r="M281" i="1"/>
  <c r="AE281" i="1" s="1"/>
  <c r="AG281" i="1" s="1"/>
  <c r="M130" i="1"/>
  <c r="AE130" i="1" s="1"/>
  <c r="AG130" i="1" s="1"/>
  <c r="M261" i="1"/>
  <c r="AE261" i="1" s="1"/>
  <c r="AG261" i="1" s="1"/>
  <c r="M29" i="1"/>
  <c r="AE29" i="1" s="1"/>
  <c r="AG29" i="1" s="1"/>
  <c r="M214" i="1"/>
  <c r="AE214" i="1" s="1"/>
  <c r="AG214" i="1" s="1"/>
  <c r="M391" i="1"/>
  <c r="AE391" i="1" s="1"/>
  <c r="AG391" i="1" s="1"/>
  <c r="M156" i="1"/>
  <c r="AE156" i="1" s="1"/>
  <c r="AG156" i="1" s="1"/>
  <c r="M316" i="1"/>
  <c r="AE316" i="1" s="1"/>
  <c r="AG316" i="1" s="1"/>
  <c r="M379" i="1"/>
  <c r="AE379" i="1" s="1"/>
  <c r="AG379" i="1" s="1"/>
  <c r="M295" i="1"/>
  <c r="AE295" i="1" s="1"/>
  <c r="AG295" i="1" s="1"/>
  <c r="M151" i="1"/>
  <c r="AE151" i="1" s="1"/>
  <c r="AG151" i="1" s="1"/>
  <c r="M201" i="1"/>
  <c r="AE201" i="1" s="1"/>
  <c r="AG201" i="1" s="1"/>
  <c r="M376" i="1"/>
  <c r="AE376" i="1" s="1"/>
  <c r="AG376" i="1" s="1"/>
  <c r="M324" i="1"/>
  <c r="AE324" i="1" s="1"/>
  <c r="AG324" i="1" s="1"/>
  <c r="M121" i="1"/>
  <c r="AE121" i="1" s="1"/>
  <c r="AG121" i="1" s="1"/>
  <c r="M74" i="1"/>
  <c r="AE74" i="1" s="1"/>
  <c r="AG74" i="1" s="1"/>
  <c r="M25" i="1"/>
  <c r="AE25" i="1" s="1"/>
  <c r="AG25" i="1" s="1"/>
  <c r="M167" i="1"/>
  <c r="AE167" i="1" s="1"/>
  <c r="AG167" i="1" s="1"/>
  <c r="M4" i="1"/>
  <c r="AE4" i="1" s="1"/>
  <c r="AG4" i="1" s="1"/>
  <c r="M278" i="1"/>
  <c r="AE278" i="1" s="1"/>
  <c r="AG278" i="1" s="1"/>
  <c r="M207" i="1"/>
  <c r="AE207" i="1" s="1"/>
  <c r="AG207" i="1" s="1"/>
  <c r="M146" i="1"/>
  <c r="AE146" i="1" s="1"/>
  <c r="AG146" i="1" s="1"/>
  <c r="M333" i="1"/>
  <c r="AE333" i="1" s="1"/>
  <c r="AG333" i="1" s="1"/>
  <c r="M377" i="1"/>
  <c r="AE377" i="1" s="1"/>
  <c r="AG377" i="1" s="1"/>
  <c r="M114" i="1"/>
  <c r="AE114" i="1" s="1"/>
  <c r="AG114" i="1" s="1"/>
  <c r="M148" i="1"/>
  <c r="AE148" i="1" s="1"/>
  <c r="AG148" i="1" s="1"/>
  <c r="M195" i="1"/>
  <c r="AE195" i="1" s="1"/>
  <c r="AG195" i="1" s="1"/>
  <c r="M306" i="1"/>
  <c r="AE306" i="1" s="1"/>
  <c r="AG306" i="1" s="1"/>
  <c r="M69" i="1"/>
  <c r="AE69" i="1" s="1"/>
  <c r="AG69" i="1" s="1"/>
  <c r="M15" i="1"/>
  <c r="AE15" i="1" s="1"/>
  <c r="AG15" i="1" s="1"/>
  <c r="M182" i="1"/>
  <c r="AE182" i="1" s="1"/>
  <c r="AG182" i="1" s="1"/>
  <c r="M355" i="1"/>
  <c r="AE355" i="1" s="1"/>
  <c r="AG355" i="1" s="1"/>
  <c r="M5" i="1"/>
  <c r="AE5" i="1" s="1"/>
  <c r="AG5" i="1" s="1"/>
  <c r="M340" i="1"/>
  <c r="AE340" i="1" s="1"/>
  <c r="AG340" i="1" s="1"/>
  <c r="M185" i="1"/>
  <c r="AE185" i="1" s="1"/>
  <c r="AG185" i="1" s="1"/>
  <c r="M184" i="1"/>
  <c r="AE184" i="1" s="1"/>
  <c r="AG184" i="1" s="1"/>
  <c r="M24" i="1"/>
  <c r="AE24" i="1" s="1"/>
  <c r="AG24" i="1" s="1"/>
  <c r="M395" i="1"/>
  <c r="AE395" i="1" s="1"/>
  <c r="AG395" i="1" s="1"/>
  <c r="M397" i="1"/>
  <c r="AE397" i="1" s="1"/>
  <c r="AG397" i="1" s="1"/>
  <c r="M405" i="1"/>
  <c r="AE405" i="1" s="1"/>
  <c r="AG405" i="1" s="1"/>
  <c r="M296" i="1"/>
  <c r="AE296" i="1" s="1"/>
  <c r="AG296" i="1" s="1"/>
  <c r="M339" i="1"/>
  <c r="AE339" i="1" s="1"/>
  <c r="AG339" i="1" s="1"/>
  <c r="M19" i="1"/>
  <c r="AE19" i="1" s="1"/>
  <c r="AG19" i="1" s="1"/>
  <c r="M38" i="1"/>
  <c r="AE38" i="1" s="1"/>
  <c r="AG38" i="1" s="1"/>
  <c r="M272" i="1"/>
  <c r="AE272" i="1" s="1"/>
  <c r="AG272" i="1" s="1"/>
  <c r="M356" i="1"/>
  <c r="AE356" i="1" s="1"/>
  <c r="AG356" i="1" s="1"/>
  <c r="M219" i="1"/>
  <c r="AE219" i="1" s="1"/>
  <c r="AG219" i="1" s="1"/>
  <c r="M361" i="1"/>
  <c r="AE361" i="1" s="1"/>
  <c r="AG361" i="1" s="1"/>
  <c r="M76" i="1"/>
  <c r="AE76" i="1" s="1"/>
  <c r="AG76" i="1" s="1"/>
  <c r="M58" i="1"/>
  <c r="AE58" i="1" s="1"/>
  <c r="AG58" i="1" s="1"/>
  <c r="M270" i="1"/>
  <c r="AE270" i="1" s="1"/>
  <c r="AG270" i="1" s="1"/>
  <c r="M284" i="1"/>
  <c r="AE284" i="1" s="1"/>
  <c r="AG284" i="1" s="1"/>
  <c r="M226" i="1"/>
  <c r="AE226" i="1" s="1"/>
  <c r="AG226" i="1" s="1"/>
  <c r="M147" i="1"/>
  <c r="AE147" i="1" s="1"/>
  <c r="AG147" i="1" s="1"/>
  <c r="M326" i="1"/>
  <c r="AE326" i="1" s="1"/>
  <c r="AG326" i="1" s="1"/>
  <c r="M328" i="1"/>
  <c r="AE328" i="1" s="1"/>
  <c r="AG328" i="1" s="1"/>
  <c r="M312" i="1"/>
  <c r="AE312" i="1" s="1"/>
  <c r="AG312" i="1" s="1"/>
  <c r="M124" i="1"/>
  <c r="AE124" i="1" s="1"/>
  <c r="AG124" i="1" s="1"/>
  <c r="M169" i="1"/>
  <c r="AE169" i="1" s="1"/>
  <c r="AG169" i="1" s="1"/>
  <c r="M18" i="1"/>
  <c r="AE18" i="1" s="1"/>
  <c r="AG18" i="1" s="1"/>
  <c r="M257" i="1"/>
  <c r="AE257" i="1" s="1"/>
  <c r="AG257" i="1" s="1"/>
  <c r="M61" i="1"/>
  <c r="AE61" i="1" s="1"/>
  <c r="AG61" i="1" s="1"/>
  <c r="M322" i="1"/>
  <c r="AE322" i="1" s="1"/>
  <c r="AG322" i="1" s="1"/>
  <c r="M275" i="1"/>
  <c r="AE275" i="1" s="1"/>
  <c r="AG275" i="1" s="1"/>
  <c r="M378" i="1"/>
  <c r="AE378" i="1" s="1"/>
  <c r="AG378" i="1" s="1"/>
  <c r="M394" i="1"/>
  <c r="AE394" i="1" s="1"/>
  <c r="AG394" i="1" s="1"/>
  <c r="M122" i="1"/>
  <c r="AE122" i="1" s="1"/>
  <c r="AG122" i="1" s="1"/>
  <c r="M392" i="1"/>
  <c r="AE392" i="1" s="1"/>
  <c r="AG392" i="1" s="1"/>
  <c r="M41" i="1"/>
  <c r="AE41" i="1" s="1"/>
  <c r="AG41" i="1" s="1"/>
  <c r="M314" i="1"/>
  <c r="AE314" i="1" s="1"/>
  <c r="AG314" i="1" s="1"/>
  <c r="M341" i="1"/>
  <c r="AE341" i="1" s="1"/>
  <c r="AG341" i="1" s="1"/>
  <c r="M135" i="1"/>
  <c r="AE135" i="1" s="1"/>
  <c r="AG135" i="1" s="1"/>
  <c r="M342" i="1"/>
  <c r="AE342" i="1" s="1"/>
  <c r="AG342" i="1" s="1"/>
  <c r="M113" i="1"/>
  <c r="AE113" i="1" s="1"/>
  <c r="AG113" i="1" s="1"/>
  <c r="M323" i="1"/>
  <c r="AE323" i="1" s="1"/>
  <c r="AG323" i="1" s="1"/>
  <c r="M260" i="1"/>
  <c r="AE260" i="1" s="1"/>
  <c r="AG260" i="1" s="1"/>
  <c r="M199" i="1"/>
  <c r="AE199" i="1" s="1"/>
  <c r="AG199" i="1" s="1"/>
  <c r="M299" i="1"/>
  <c r="AE299" i="1" s="1"/>
  <c r="AG299" i="1" s="1"/>
  <c r="M40" i="1"/>
  <c r="AE40" i="1" s="1"/>
  <c r="AG40" i="1" s="1"/>
  <c r="M164" i="1"/>
  <c r="AE164" i="1" s="1"/>
  <c r="AG164" i="1" s="1"/>
  <c r="M150" i="1"/>
  <c r="AE150" i="1" s="1"/>
  <c r="AG150" i="1" s="1"/>
  <c r="M212" i="1"/>
  <c r="AE212" i="1" s="1"/>
  <c r="AG212" i="1" s="1"/>
  <c r="M240" i="1"/>
  <c r="AE240" i="1" s="1"/>
  <c r="AG240" i="1" s="1"/>
  <c r="M321" i="1"/>
  <c r="AE321" i="1" s="1"/>
  <c r="AG321" i="1" s="1"/>
  <c r="M178" i="1"/>
  <c r="AE178" i="1" s="1"/>
  <c r="AG178" i="1" s="1"/>
  <c r="M204" i="1"/>
  <c r="AE204" i="1" s="1"/>
  <c r="AG204" i="1" s="1"/>
  <c r="M238" i="1"/>
  <c r="AE238" i="1" s="1"/>
  <c r="AG238" i="1" s="1"/>
  <c r="M268" i="1"/>
  <c r="AE268" i="1" s="1"/>
  <c r="AG268" i="1" s="1"/>
  <c r="M140" i="1"/>
  <c r="AE140" i="1" s="1"/>
  <c r="AG140" i="1" s="1"/>
  <c r="M399" i="1"/>
  <c r="AE399" i="1" s="1"/>
  <c r="AG399" i="1" s="1"/>
  <c r="M83" i="1"/>
  <c r="AE83" i="1" s="1"/>
  <c r="AG83" i="1" s="1"/>
  <c r="M70" i="1"/>
  <c r="AE70" i="1" s="1"/>
  <c r="AG70" i="1" s="1"/>
  <c r="M112" i="1"/>
  <c r="AE112" i="1" s="1"/>
  <c r="AG112" i="1" s="1"/>
  <c r="M80" i="1"/>
  <c r="AE80" i="1" s="1"/>
  <c r="AG80" i="1" s="1"/>
  <c r="M51" i="1"/>
  <c r="AE51" i="1" s="1"/>
  <c r="AG51" i="1" s="1"/>
  <c r="M27" i="1"/>
  <c r="AE27" i="1" s="1"/>
  <c r="AG27" i="1" s="1"/>
  <c r="M250" i="1"/>
  <c r="AE250" i="1" s="1"/>
  <c r="AG250" i="1" s="1"/>
  <c r="M279" i="1"/>
  <c r="AE279" i="1" s="1"/>
  <c r="AG279" i="1" s="1"/>
  <c r="M319" i="1"/>
  <c r="AE319" i="1" s="1"/>
  <c r="AG319" i="1" s="1"/>
  <c r="M101" i="1"/>
  <c r="AE101" i="1" s="1"/>
  <c r="AG101" i="1" s="1"/>
  <c r="M277" i="1"/>
  <c r="AE277" i="1" s="1"/>
  <c r="AG277" i="1" s="1"/>
  <c r="M176" i="1"/>
  <c r="AE176" i="1" s="1"/>
  <c r="AG176" i="1" s="1"/>
  <c r="M120" i="1"/>
  <c r="AE120" i="1" s="1"/>
  <c r="AG120" i="1" s="1"/>
  <c r="M203" i="1"/>
  <c r="AE203" i="1" s="1"/>
  <c r="AG203" i="1" s="1"/>
  <c r="M190" i="1"/>
  <c r="AE190" i="1" s="1"/>
  <c r="AG190" i="1" s="1"/>
  <c r="M90" i="1"/>
  <c r="AE90" i="1" s="1"/>
  <c r="AG90" i="1" s="1"/>
  <c r="M236" i="1"/>
  <c r="AE236" i="1" s="1"/>
  <c r="AG236" i="1" s="1"/>
  <c r="M59" i="1"/>
  <c r="AE59" i="1" s="1"/>
  <c r="AG59" i="1" s="1"/>
  <c r="M188" i="1"/>
  <c r="AE188" i="1" s="1"/>
  <c r="AG188" i="1" s="1"/>
  <c r="M32" i="1"/>
  <c r="AE32" i="1" s="1"/>
  <c r="AG32" i="1" s="1"/>
  <c r="M247" i="1"/>
  <c r="AE247" i="1" s="1"/>
  <c r="AG247" i="1" s="1"/>
  <c r="M119" i="1"/>
  <c r="AE119" i="1" s="1"/>
  <c r="AG119" i="1" s="1"/>
  <c r="M3" i="1"/>
  <c r="AE3" i="1" s="1"/>
  <c r="AG3" i="1" s="1"/>
  <c r="M16" i="1" l="1"/>
  <c r="M158" i="1"/>
  <c r="AE158" i="1" s="1"/>
  <c r="AG158" i="1" s="1"/>
  <c r="R1" i="1" l="1"/>
  <c r="AE16" i="1"/>
  <c r="M1" i="1"/>
  <c r="AG16" i="1" l="1"/>
  <c r="AG1" i="1" s="1"/>
  <c r="AE1" i="1"/>
</calcChain>
</file>

<file path=xl/sharedStrings.xml><?xml version="1.0" encoding="utf-8"?>
<sst xmlns="http://schemas.openxmlformats.org/spreadsheetml/2006/main" count="5825" uniqueCount="752">
  <si>
    <t>setor</t>
  </si>
  <si>
    <t>equipe</t>
  </si>
  <si>
    <t>custo</t>
  </si>
  <si>
    <t>responsavel_direto</t>
  </si>
  <si>
    <t>matricula</t>
  </si>
  <si>
    <t>nome</t>
  </si>
  <si>
    <t>funcao</t>
  </si>
  <si>
    <t>admissao</t>
  </si>
  <si>
    <t>rescisao</t>
  </si>
  <si>
    <t>status</t>
  </si>
  <si>
    <t>horario</t>
  </si>
  <si>
    <t>regime_contratacao</t>
  </si>
  <si>
    <t>salario</t>
  </si>
  <si>
    <t>vale_refeicao</t>
  </si>
  <si>
    <t>valor_veiculo</t>
  </si>
  <si>
    <t>combustivel</t>
  </si>
  <si>
    <t>veiculo</t>
  </si>
  <si>
    <t>placa</t>
  </si>
  <si>
    <t>valor_mensal</t>
  </si>
  <si>
    <t>notebook</t>
  </si>
  <si>
    <t>monitor</t>
  </si>
  <si>
    <t>celular</t>
  </si>
  <si>
    <t>categoria_frota</t>
  </si>
  <si>
    <t>tipo_equipamento</t>
  </si>
  <si>
    <t>custo_pessoal</t>
  </si>
  <si>
    <t>custo_frota</t>
  </si>
  <si>
    <t>custo_total</t>
  </si>
  <si>
    <t>Veiculo</t>
  </si>
  <si>
    <t>Sexo</t>
  </si>
  <si>
    <t>Administração</t>
  </si>
  <si>
    <t>Indireto</t>
  </si>
  <si>
    <t>Raissa Lisboa Santos</t>
  </si>
  <si>
    <t>Assistente Administrativo</t>
  </si>
  <si>
    <t>Inativo (a)</t>
  </si>
  <si>
    <t>07:00 as 17:00</t>
  </si>
  <si>
    <t>CLT</t>
  </si>
  <si>
    <t>-</t>
  </si>
  <si>
    <t>Leve</t>
  </si>
  <si>
    <t>Veículo</t>
  </si>
  <si>
    <t>Feminino</t>
  </si>
  <si>
    <t>Suprimentos</t>
  </si>
  <si>
    <t>Giovanna Alves Costa</t>
  </si>
  <si>
    <t>Assistente de Compras</t>
  </si>
  <si>
    <t>Produção</t>
  </si>
  <si>
    <t>Direto</t>
  </si>
  <si>
    <t>Renato Lisboa Da Silva</t>
  </si>
  <si>
    <t>Almoxarife I</t>
  </si>
  <si>
    <t>Masculino</t>
  </si>
  <si>
    <t>Produção Apoio Shaft LS 1</t>
  </si>
  <si>
    <t>Johnatan</t>
  </si>
  <si>
    <t>Adalto Rodrigues De Souza</t>
  </si>
  <si>
    <t>Operador de Máquinas II</t>
  </si>
  <si>
    <t>Ativo</t>
  </si>
  <si>
    <t>Maquina</t>
  </si>
  <si>
    <t>José Antonio</t>
  </si>
  <si>
    <t>Adilson Bernardo Fontoura Nobre</t>
  </si>
  <si>
    <t>Líder de frente</t>
  </si>
  <si>
    <t>Líder De Frente</t>
  </si>
  <si>
    <t>Adilson</t>
  </si>
  <si>
    <t>Adilson Dos Santos</t>
  </si>
  <si>
    <t>Ajudante de Obras</t>
  </si>
  <si>
    <t>Amanda Morais Dos Santos</t>
  </si>
  <si>
    <t>Assistente de Adm. De Pessoal</t>
  </si>
  <si>
    <t>Jardel Gomes De Oliveira</t>
  </si>
  <si>
    <t>Coordenador Administrativo de Obra</t>
  </si>
  <si>
    <t>Ajudante De Obras</t>
  </si>
  <si>
    <t>Marcelino Jose Dos Santos</t>
  </si>
  <si>
    <t>Encanador I</t>
  </si>
  <si>
    <t>David Dos Santos Silva</t>
  </si>
  <si>
    <t>Marcelo</t>
  </si>
  <si>
    <t>Adriano De Miranda</t>
  </si>
  <si>
    <t>Encanador</t>
  </si>
  <si>
    <t>Produção ITI-15</t>
  </si>
  <si>
    <t>Bruno Azevedo</t>
  </si>
  <si>
    <t>Jose Almeida</t>
  </si>
  <si>
    <t>Mestre de Obras</t>
  </si>
  <si>
    <t>Pessoa Jurídica</t>
  </si>
  <si>
    <t>QSMS</t>
  </si>
  <si>
    <t>Segurança do Trabalho</t>
  </si>
  <si>
    <t>Uilian Da Silva Meira Santos</t>
  </si>
  <si>
    <t>Técnico em Segurança do Trabalho</t>
  </si>
  <si>
    <t>Valter</t>
  </si>
  <si>
    <t>Adriano Oliveira De Souza</t>
  </si>
  <si>
    <t>Jose Aparecido Camargos</t>
  </si>
  <si>
    <t>Luiz Claudio Cordeiro</t>
  </si>
  <si>
    <t>Severino Simao Irmao</t>
  </si>
  <si>
    <t>Encarregado III</t>
  </si>
  <si>
    <t>Nilson Moreira Pedro</t>
  </si>
  <si>
    <t>Fabricio Da Silva Barba</t>
  </si>
  <si>
    <t>Ailcon Pereira Batista</t>
  </si>
  <si>
    <t>Carpinteiro</t>
  </si>
  <si>
    <t>Roberto</t>
  </si>
  <si>
    <t>Matheus Pereira De Souza</t>
  </si>
  <si>
    <t>Auxiliar de Almoxarifado</t>
  </si>
  <si>
    <t>Rinaldo Matias Brito</t>
  </si>
  <si>
    <t>Jose Soares Malta</t>
  </si>
  <si>
    <t>Montador de Tunnel Liner</t>
  </si>
  <si>
    <t>Isaias Manuel Da Silva</t>
  </si>
  <si>
    <t>Danilo Duarte Batista</t>
  </si>
  <si>
    <t>Antonio Roque Pereira Araujo</t>
  </si>
  <si>
    <t>Luiz Antonio Silva Dos Santos</t>
  </si>
  <si>
    <t>Eletricista l</t>
  </si>
  <si>
    <t>Rafael Guimaraes Dos Santos</t>
  </si>
  <si>
    <t>Francisco Machado</t>
  </si>
  <si>
    <t>Operador de escavadeira</t>
  </si>
  <si>
    <t>Afonso Gabriel Dutra Do Nascimento</t>
  </si>
  <si>
    <t>Operador de retro-escavadeira</t>
  </si>
  <si>
    <t>Cicero Costa</t>
  </si>
  <si>
    <t>Pedreiro I</t>
  </si>
  <si>
    <t>Jose Antonio Da Silva</t>
  </si>
  <si>
    <t>Aguinaldo Barcella Espin</t>
  </si>
  <si>
    <t>Motorista de Caminhão</t>
  </si>
  <si>
    <t>Afastado(a)</t>
  </si>
  <si>
    <t>caminhão</t>
  </si>
  <si>
    <t>Alex Alves Da Silva</t>
  </si>
  <si>
    <t>Alberto Candido Rodrigues</t>
  </si>
  <si>
    <t>Leandro</t>
  </si>
  <si>
    <t>Alessandra Diana De Carvalho</t>
  </si>
  <si>
    <t>Ivo Barbosa Lima</t>
  </si>
  <si>
    <t>Alessandro De Cassia Santos</t>
  </si>
  <si>
    <t>Fabio Da Silva Coutinho</t>
  </si>
  <si>
    <t>Encarregado II</t>
  </si>
  <si>
    <t>Denison Messias Dos Santos</t>
  </si>
  <si>
    <t>Marcio Galdencio Da Silva</t>
  </si>
  <si>
    <t>Ivan Sousa Lima</t>
  </si>
  <si>
    <t>Jose Neide Gomes Dos Santos</t>
  </si>
  <si>
    <t>Reinaldo Ribeiro Coutinho</t>
  </si>
  <si>
    <t>Medeiros</t>
  </si>
  <si>
    <t>Alessandro Pereira De Lima</t>
  </si>
  <si>
    <t>07:00 as 17:02</t>
  </si>
  <si>
    <t>Marcelo Simplicio</t>
  </si>
  <si>
    <t>Agatha De Oliveira Reis Da Hora</t>
  </si>
  <si>
    <t>Carlos</t>
  </si>
  <si>
    <t>Alex Sandro Aiello</t>
  </si>
  <si>
    <t>Ivanildo Serafim Guedes</t>
  </si>
  <si>
    <t>Alexandre Jose Deolindo</t>
  </si>
  <si>
    <t>Pedreiro</t>
  </si>
  <si>
    <t>Allan Rodrigues Da Silva</t>
  </si>
  <si>
    <t>Rafael</t>
  </si>
  <si>
    <t>Alleff Santos Silva</t>
  </si>
  <si>
    <t>Técnico de Qualidade I</t>
  </si>
  <si>
    <t>Hyundai/ HB20</t>
  </si>
  <si>
    <t>GEQ0B50</t>
  </si>
  <si>
    <t>Almenisio Dos Santos</t>
  </si>
  <si>
    <t xml:space="preserve">Catia Da Silva </t>
  </si>
  <si>
    <t>Analista Administrativo Financeiro</t>
  </si>
  <si>
    <t>Oscar Antonio Cunha Mesquita</t>
  </si>
  <si>
    <t>Vital Coelho</t>
  </si>
  <si>
    <t>Qualidade</t>
  </si>
  <si>
    <t>Aloma</t>
  </si>
  <si>
    <t>Aloma Rocha Silva</t>
  </si>
  <si>
    <t>Técnico De Qualidade II</t>
  </si>
  <si>
    <t>Amarildo Lima Dos Santos</t>
  </si>
  <si>
    <t>Corsa Classic</t>
  </si>
  <si>
    <t xml:space="preserve">FMN9028 </t>
  </si>
  <si>
    <t>Cidão (Aparecido F.)</t>
  </si>
  <si>
    <t>Anderson Da Franca Martins Alves</t>
  </si>
  <si>
    <t>Anderson Ferreira Dos Santos</t>
  </si>
  <si>
    <t>Andre Dos Santos</t>
  </si>
  <si>
    <t>Gamaliel Pereira Lima</t>
  </si>
  <si>
    <t>Andre Eduardo Batista Da Silva</t>
  </si>
  <si>
    <t>Cleiton Carlos Macedo</t>
  </si>
  <si>
    <t>TPF</t>
  </si>
  <si>
    <t>André Gomes</t>
  </si>
  <si>
    <t>TLD 0J16</t>
  </si>
  <si>
    <t>Juvancy Berto Da Silva</t>
  </si>
  <si>
    <t>Tiago Henrique Fernandes De Souza</t>
  </si>
  <si>
    <t>Manoel Francisco Ribeiro</t>
  </si>
  <si>
    <t>Andre Gomes Basto</t>
  </si>
  <si>
    <t>CELTA</t>
  </si>
  <si>
    <t>EJL9383</t>
  </si>
  <si>
    <t>Cleiton Dos Santos Oliveira</t>
  </si>
  <si>
    <t>Angelo Ribeiro Dos Santos</t>
  </si>
  <si>
    <t>Matheus Andre Dos Santos</t>
  </si>
  <si>
    <t>Marcelo Aparecido Francisco</t>
  </si>
  <si>
    <t>Motorista De Caminhão</t>
  </si>
  <si>
    <t>Antonio Carlos Ferreira De Oliveira Filho</t>
  </si>
  <si>
    <t>Antonio Fernando Gomes Da Silva</t>
  </si>
  <si>
    <t>Adalmiram Muniz Gomes</t>
  </si>
  <si>
    <t>Jose Alexandre Da Silva</t>
  </si>
  <si>
    <t>Antonio Gomes Do Nascimento</t>
  </si>
  <si>
    <t>Aparecido Francisco Da Silva</t>
  </si>
  <si>
    <t>Líder de Frente</t>
  </si>
  <si>
    <t>Aparecido Pereira Coutinho</t>
  </si>
  <si>
    <t>Ricardo Lima Dos Santos</t>
  </si>
  <si>
    <t>Augusto Da Silva Bezerra Niculau</t>
  </si>
  <si>
    <t>Joao Batista Alves Dos Santos</t>
  </si>
  <si>
    <t>Elias Cruz Gomes</t>
  </si>
  <si>
    <t>Coordenador de Produção</t>
  </si>
  <si>
    <t>SCNOB6005236499</t>
  </si>
  <si>
    <t>1193700-4588</t>
  </si>
  <si>
    <t>Cicero Barros Da Silva</t>
  </si>
  <si>
    <t>Beatriz Nascimento Dos Santos</t>
  </si>
  <si>
    <t>Assistente de Seguranca do Trabalho</t>
  </si>
  <si>
    <t>Diego Santos Gomes</t>
  </si>
  <si>
    <t>Meio Ambiente</t>
  </si>
  <si>
    <t>Brenda Vitoria de Abreu Nunes</t>
  </si>
  <si>
    <t>Técnica Ambiental</t>
  </si>
  <si>
    <t>Juscelino Lima De Oliveira</t>
  </si>
  <si>
    <t>Bruna Santos De Araujo Savio</t>
  </si>
  <si>
    <t>Engenheira Ambiental</t>
  </si>
  <si>
    <t>SAN0B019224429</t>
  </si>
  <si>
    <t>SIM</t>
  </si>
  <si>
    <t>1197554-6354</t>
  </si>
  <si>
    <t>Bruno Detoni De Lima</t>
  </si>
  <si>
    <t>Bruno Falcao Dos Santos</t>
  </si>
  <si>
    <t>Fabiano Custodio De Paula</t>
  </si>
  <si>
    <t>Gerencia</t>
  </si>
  <si>
    <t>Gerente de Contrato</t>
  </si>
  <si>
    <t>Bruno Monteiro De Azevedo</t>
  </si>
  <si>
    <t>Gestor de Contrato</t>
  </si>
  <si>
    <t>Ricardo</t>
  </si>
  <si>
    <t>Bruno Nascimento De Souza</t>
  </si>
  <si>
    <t>Walison Mota Ferreira</t>
  </si>
  <si>
    <t>Bruno Ramos Dos Santos Silva</t>
  </si>
  <si>
    <t>07:00 as 17:06</t>
  </si>
  <si>
    <t>Ricardo Rodrigues Dos Santos</t>
  </si>
  <si>
    <t>Evando De Paula Silva</t>
  </si>
  <si>
    <t>Cesar</t>
  </si>
  <si>
    <t>Camilo Da Silva Santana</t>
  </si>
  <si>
    <t>Felipe Sinhorelli Da Silva</t>
  </si>
  <si>
    <t>Carlos Da Conceicao De Sena</t>
  </si>
  <si>
    <t>Edivando</t>
  </si>
  <si>
    <t>Carlos Dos Santos Silva Junior</t>
  </si>
  <si>
    <t>Saymon Almeida De Paula</t>
  </si>
  <si>
    <t>Carlos Eduardo Dos Santos Neves</t>
  </si>
  <si>
    <t>Carlos Gesse Silva Ferreira</t>
  </si>
  <si>
    <t>Alison Francisco Da Silva</t>
  </si>
  <si>
    <t>Carlos Robson Santana Santos Silva</t>
  </si>
  <si>
    <t>Natalino Lopes Teixeira</t>
  </si>
  <si>
    <t>Edson Lopes Teixeira</t>
  </si>
  <si>
    <t>Engenharia</t>
  </si>
  <si>
    <t>Caroline Aparecida Franco</t>
  </si>
  <si>
    <t>Engenheira de Planejamento</t>
  </si>
  <si>
    <t>Produção Piso</t>
  </si>
  <si>
    <t>Valdinei Silva De Oliveira</t>
  </si>
  <si>
    <t>Cesar Antonio Silva</t>
  </si>
  <si>
    <t>Cesar Augusto Faria Lima</t>
  </si>
  <si>
    <t>Paulo Mendes De Lucena</t>
  </si>
  <si>
    <t>Dilan Diniz Do Nascimento</t>
  </si>
  <si>
    <t>Fabricio Santos De Souza</t>
  </si>
  <si>
    <t>Christian Junior De Andrade Santana</t>
  </si>
  <si>
    <t>Jose Adolfo Da Gama Santos</t>
  </si>
  <si>
    <t>Christofer De Andrade Santana</t>
  </si>
  <si>
    <t>Joao Carlos Oliveira Da Silva</t>
  </si>
  <si>
    <t>Guilherme Jesus Leite</t>
  </si>
  <si>
    <t>Gabriel D Alcantara Camargo De Faria</t>
  </si>
  <si>
    <t>Claudinei Ferraz Dias</t>
  </si>
  <si>
    <t>Cleiton Figueiredo Landim</t>
  </si>
  <si>
    <t>Motorista de Caminhão Hidro</t>
  </si>
  <si>
    <t>Cleonis Cerqueira Santos</t>
  </si>
  <si>
    <t>Operador de Trafego</t>
  </si>
  <si>
    <t>Planejamento</t>
  </si>
  <si>
    <t>Engenheiro de Planejamento</t>
  </si>
  <si>
    <t>T2NOB6002611064</t>
  </si>
  <si>
    <t xml:space="preserve">Comunicação Social </t>
  </si>
  <si>
    <t>Cristiane Amaral</t>
  </si>
  <si>
    <t>2025-11-06</t>
  </si>
  <si>
    <t>Cristiano Dos Santos Araujo</t>
  </si>
  <si>
    <t>Jeferson Fernando Rosa Da Silva</t>
  </si>
  <si>
    <t>Dandara Kauissa Piole Da Silva</t>
  </si>
  <si>
    <t>Jose Anderson De Andrade</t>
  </si>
  <si>
    <t>Daniel De Jesus Fernandes</t>
  </si>
  <si>
    <t>Daniel De Jesus Santos</t>
  </si>
  <si>
    <t>Bruno Lopes Moreira</t>
  </si>
  <si>
    <t>Daniel Moreira Putumuju</t>
  </si>
  <si>
    <t>Danielle Santos De Sousa</t>
  </si>
  <si>
    <t>Motorista de Caminhão I</t>
  </si>
  <si>
    <t>Rogerio Nascimento Oliveira</t>
  </si>
  <si>
    <t>Heliton Souza Queiroz</t>
  </si>
  <si>
    <t>Adalto Alves Mendes</t>
  </si>
  <si>
    <t>Danielle Vitoria Pereira Da Silva</t>
  </si>
  <si>
    <t>Técnico de Segurança Nível III</t>
  </si>
  <si>
    <t>T2NOB6021041087</t>
  </si>
  <si>
    <t>Jose Geraldo Morais Menezes</t>
  </si>
  <si>
    <t>Damiao Severino Dos Santos</t>
  </si>
  <si>
    <t>Davi Alves Da Silva</t>
  </si>
  <si>
    <t>Neilton Barbosa De Brito</t>
  </si>
  <si>
    <t>David Correa Pacheco</t>
  </si>
  <si>
    <t>07:00 as 17:13</t>
  </si>
  <si>
    <t>David Correia Silva</t>
  </si>
  <si>
    <t>Auxiliar Tecnico</t>
  </si>
  <si>
    <t>SCNOB6005236494</t>
  </si>
  <si>
    <t>Diego Cavalcante De Brito</t>
  </si>
  <si>
    <t>Djailson Dos Santos Silva</t>
  </si>
  <si>
    <t>Honda Fit</t>
  </si>
  <si>
    <t>DR2A44</t>
  </si>
  <si>
    <t>Patrick Alves Dos Santos Silva</t>
  </si>
  <si>
    <t>Domingos Silva Da Cruz</t>
  </si>
  <si>
    <t>Donizete Alves Ferreira</t>
  </si>
  <si>
    <t>Renato Marcondes</t>
  </si>
  <si>
    <t>Weslley Jose Da Silva</t>
  </si>
  <si>
    <t>Operador De Retro-Escavadeira</t>
  </si>
  <si>
    <t xml:space="preserve">Pablo Jose Dos Santos </t>
  </si>
  <si>
    <t>Engenheiro de Segurança</t>
  </si>
  <si>
    <t>Douglas Santos Gomes</t>
  </si>
  <si>
    <t>Cleraldo Correa Santos</t>
  </si>
  <si>
    <t>Edson Antonio De Oliveira</t>
  </si>
  <si>
    <t>Edilson Gomes  Santana</t>
  </si>
  <si>
    <t>Jackson Gomes Dos Santos</t>
  </si>
  <si>
    <t>Edivando Oliveira Sampaio</t>
  </si>
  <si>
    <t>Adeilson Lopes Da Silva</t>
  </si>
  <si>
    <t>Supervisor de Obras</t>
  </si>
  <si>
    <t>T3NOB602811812F</t>
  </si>
  <si>
    <t>1197323-8757</t>
  </si>
  <si>
    <t>Edmar  Domingos Dos Santos</t>
  </si>
  <si>
    <t>Edmilson Santos Da Silva</t>
  </si>
  <si>
    <t>Edson Santos Dos Reis</t>
  </si>
  <si>
    <t>Wanderson Rodrigues</t>
  </si>
  <si>
    <t>Luan Oliveira Souza</t>
  </si>
  <si>
    <t>Eduir Camargo De Faria</t>
  </si>
  <si>
    <t>Edvaldo Bento de Oliveira</t>
  </si>
  <si>
    <t>TJT 4H89</t>
  </si>
  <si>
    <t>Lucas Matos Bispo Da Silva</t>
  </si>
  <si>
    <t>Lucas Pedroso Do Amaral</t>
  </si>
  <si>
    <t>Elcivan Campos De Andrade Junior</t>
  </si>
  <si>
    <t>Robert Henrique Merces De Araujo</t>
  </si>
  <si>
    <t>Elias Rodrigues De Castro</t>
  </si>
  <si>
    <t>Maria Alice  Feitosa Costa</t>
  </si>
  <si>
    <t>Serviços gerais</t>
  </si>
  <si>
    <t>Rafael José</t>
  </si>
  <si>
    <t>Elivania Ferreira Dos Santos</t>
  </si>
  <si>
    <t>Auxiliar de Serviços Gerais</t>
  </si>
  <si>
    <t>Antonio Jose Vidal De Brito</t>
  </si>
  <si>
    <t>Eloizio Marques  da Silva</t>
  </si>
  <si>
    <t>Engenheiro Civil</t>
  </si>
  <si>
    <t>Higor</t>
  </si>
  <si>
    <t>Elton Lucio Martins Quirino Oliveira</t>
  </si>
  <si>
    <t>Emerson  Rodrigues Cardoso</t>
  </si>
  <si>
    <t>Emerson Souza Bomfim</t>
  </si>
  <si>
    <t>Anderson Cardoso Vieira</t>
  </si>
  <si>
    <t>Luciano Brito De Franca</t>
  </si>
  <si>
    <t>Enio Luciano Da Silva Junior</t>
  </si>
  <si>
    <t>Erlon Jesus Dos Santos</t>
  </si>
  <si>
    <t>Marcelo Barbosa De Jesus</t>
  </si>
  <si>
    <t>07:00 as 17:18</t>
  </si>
  <si>
    <t>Ernandes Coutinho Medeiros</t>
  </si>
  <si>
    <t>Produção apoio Traçado</t>
  </si>
  <si>
    <t>Everson Dos Santos Vieira Vitorio</t>
  </si>
  <si>
    <t>Fabiano Alves Cabral</t>
  </si>
  <si>
    <t>Produção Apoio Hr</t>
  </si>
  <si>
    <t>Bruna</t>
  </si>
  <si>
    <t>Fabiano Antonio De Oliveira Nogueira</t>
  </si>
  <si>
    <t>Engenheiro Ambiental</t>
  </si>
  <si>
    <t>Fabio Andre De Melo Silva</t>
  </si>
  <si>
    <t>07:00 as 17:10</t>
  </si>
  <si>
    <t>Fabio Gomes Da Silva</t>
  </si>
  <si>
    <t>Palio</t>
  </si>
  <si>
    <t>DON 4G95</t>
  </si>
  <si>
    <t>Fabricio Teodosio Dos Santos</t>
  </si>
  <si>
    <t>Felipe De Jesus Silva</t>
  </si>
  <si>
    <t>Fernando Borges Da Silva</t>
  </si>
  <si>
    <t>Flavio De Oliveira Goncalves</t>
  </si>
  <si>
    <t>Flavio Roberto Rocha De Castro</t>
  </si>
  <si>
    <t>Flavio Silva De Oliveira</t>
  </si>
  <si>
    <t>Francisco Mesquita De Sousa</t>
  </si>
  <si>
    <t>Medição</t>
  </si>
  <si>
    <t>Gabriel Alvarenga Rios</t>
  </si>
  <si>
    <t xml:space="preserve">Engenheiro de Medição </t>
  </si>
  <si>
    <t>T1N0B6016351032</t>
  </si>
  <si>
    <t>Henrique Da Silva Macedo</t>
  </si>
  <si>
    <t>07:00 as 17:25</t>
  </si>
  <si>
    <t>Gabriel Da Silva Menezes</t>
  </si>
  <si>
    <t>Bruno Candido Silverio</t>
  </si>
  <si>
    <t>07:00 as 17:05</t>
  </si>
  <si>
    <t>Carpintaria</t>
  </si>
  <si>
    <t>Gabriel Gomes De Freitas</t>
  </si>
  <si>
    <t xml:space="preserve">Gabriel Inacio Ventura Domingues </t>
  </si>
  <si>
    <t>Técnico de Vistoria Cautelar</t>
  </si>
  <si>
    <t>Onix</t>
  </si>
  <si>
    <t>TLE 1C42</t>
  </si>
  <si>
    <t>SCNOB6005236469</t>
  </si>
  <si>
    <t>Francisco Roberto Freitas Dos Santos</t>
  </si>
  <si>
    <t>07:00 as 17:22</t>
  </si>
  <si>
    <t>Genival Jose Da Silva</t>
  </si>
  <si>
    <t>Genival Soares Da Silva</t>
  </si>
  <si>
    <t>Genivaldo Santos De Jesus</t>
  </si>
  <si>
    <t>Wesley Tomaz Sena</t>
  </si>
  <si>
    <t>07:00 as 17:56</t>
  </si>
  <si>
    <t>Gerusa Batista De Lima</t>
  </si>
  <si>
    <t>Analista de Recursos Humanos III</t>
  </si>
  <si>
    <t>Roberto Dos Santos</t>
  </si>
  <si>
    <t>07:00 as 17:48</t>
  </si>
  <si>
    <t>Paulo Moraes Da Silva</t>
  </si>
  <si>
    <t>07:00 as 17:46</t>
  </si>
  <si>
    <t>Marco Antonio Soares De Moura</t>
  </si>
  <si>
    <t>07:00 as 17:41</t>
  </si>
  <si>
    <t>Márcio</t>
  </si>
  <si>
    <t>Gilberto Rodrigues Da Silva</t>
  </si>
  <si>
    <t>Gustavo Amorim Rezende</t>
  </si>
  <si>
    <t>07:00 as 17:24</t>
  </si>
  <si>
    <t>Gustavo Guilherme Gomes Da Silva</t>
  </si>
  <si>
    <t>Gutemberg Xavier Da Silva</t>
  </si>
  <si>
    <t>Juarez Serafim Pereira</t>
  </si>
  <si>
    <t>07:00 as 17:36</t>
  </si>
  <si>
    <t>Damiao Henrique Souza De Morais</t>
  </si>
  <si>
    <t>07:00 as 17:11</t>
  </si>
  <si>
    <t>Henrique Ermano Abel De Souza</t>
  </si>
  <si>
    <t>Higor Severo Da Silva De Jesus</t>
  </si>
  <si>
    <t>Rodrigo Caetano Jose</t>
  </si>
  <si>
    <t>07:00 as 17:50</t>
  </si>
  <si>
    <t>Jonatan Vital De Oliveira</t>
  </si>
  <si>
    <t>07:00 as 17:31</t>
  </si>
  <si>
    <t>Francisco Ivam Borges Da Silva</t>
  </si>
  <si>
    <t>07:00 as 17:21</t>
  </si>
  <si>
    <t>Humberto Caio Andrade</t>
  </si>
  <si>
    <t>Projetos</t>
  </si>
  <si>
    <t xml:space="preserve">Icaro Patrick Da Silveira Regis </t>
  </si>
  <si>
    <t>TLM 3A24</t>
  </si>
  <si>
    <t>sim</t>
  </si>
  <si>
    <t>Igo Hernandes De Brito</t>
  </si>
  <si>
    <t>Igor De Lima Silva</t>
  </si>
  <si>
    <t>Igor De Sousa Santos</t>
  </si>
  <si>
    <t>07:00 as 17:26</t>
  </si>
  <si>
    <t>Isaac Juliano De Lima Coelho</t>
  </si>
  <si>
    <t>Viviane  Cardoso Dos Santos Silva</t>
  </si>
  <si>
    <t>Claudinei Da Silva</t>
  </si>
  <si>
    <t>Isaias Moraes</t>
  </si>
  <si>
    <t>Eletrecista</t>
  </si>
  <si>
    <t>Israel Jefferson Da Silva</t>
  </si>
  <si>
    <t>Ronaldo De Oliveira</t>
  </si>
  <si>
    <t>Israel Oliveira Dos Santos</t>
  </si>
  <si>
    <t>Israel Xavier Da Silva</t>
  </si>
  <si>
    <t>Ivan Vitorino</t>
  </si>
  <si>
    <t>Izabel Cristina Leao</t>
  </si>
  <si>
    <t>Jadson Ferreira Dos Santos</t>
  </si>
  <si>
    <t>José Carlos</t>
  </si>
  <si>
    <t>Jailton Gomes Ferreira</t>
  </si>
  <si>
    <t>Antônio</t>
  </si>
  <si>
    <t>Jaksandro Carlos Da Silva</t>
  </si>
  <si>
    <t>Janeclessio Da Silva Santos</t>
  </si>
  <si>
    <t>David Augusto Lima Ianelo</t>
  </si>
  <si>
    <t>Jarbas Santana Silva</t>
  </si>
  <si>
    <t>Jean Carlos de Oliveira</t>
  </si>
  <si>
    <t>Jean Vinicius Alves Da Silva</t>
  </si>
  <si>
    <t>Jeronimo Estevam Neto</t>
  </si>
  <si>
    <t>Jhonata Roberto Da Silva Machado</t>
  </si>
  <si>
    <t>Fiat/Siena</t>
  </si>
  <si>
    <t>Produção Apoio LS 2</t>
  </si>
  <si>
    <t>Antonio Sergio Correa Gomes</t>
  </si>
  <si>
    <t>Jhonnatan Dos Santos Rodrigues Souza</t>
  </si>
  <si>
    <t>Joao Carlos Viana Negy</t>
  </si>
  <si>
    <t>Joao Luiz Dos Santos</t>
  </si>
  <si>
    <t>Ronaldo De Lima Silva</t>
  </si>
  <si>
    <t>Jobson Da Silva Nascimento</t>
  </si>
  <si>
    <t>Joelmir Salvador Macedo</t>
  </si>
  <si>
    <t>07:00 as 17:29</t>
  </si>
  <si>
    <t>Johnatan De Queiroz Cunha</t>
  </si>
  <si>
    <t>Jordy Maciel Da Silva</t>
  </si>
  <si>
    <t xml:space="preserve">Jose Antonio Ferreira </t>
  </si>
  <si>
    <t>T2NOB021449089</t>
  </si>
  <si>
    <t>1193055-4941</t>
  </si>
  <si>
    <t>Jose Carlos Lima Silva</t>
  </si>
  <si>
    <t>Jose Cesar Ferreira Da Silva</t>
  </si>
  <si>
    <t>Jose De Paulo Pereira Dos Santos</t>
  </si>
  <si>
    <t>Jose Denizete Da Silva</t>
  </si>
  <si>
    <t>Jose Domingos Dos Santos</t>
  </si>
  <si>
    <t>Jose Dos Santos</t>
  </si>
  <si>
    <t xml:space="preserve">Rafael José </t>
  </si>
  <si>
    <t>Jose Felix Caetano</t>
  </si>
  <si>
    <t>Jose Ferreira Da Silva</t>
  </si>
  <si>
    <t>Jose Luiz Da Silva</t>
  </si>
  <si>
    <t>Jose Naido Vitorino</t>
  </si>
  <si>
    <t>Yosvanis Labrada Hechavarria</t>
  </si>
  <si>
    <t>Jose Orlando Domingos Silva</t>
  </si>
  <si>
    <t>Assitente Técnico</t>
  </si>
  <si>
    <t>Bruno Marques Ferreira</t>
  </si>
  <si>
    <t>Jose Pergentino Da Silva Neto</t>
  </si>
  <si>
    <t>Jose Raimundo Vital De Castro</t>
  </si>
  <si>
    <t xml:space="preserve">Isabela de Souza Santos </t>
  </si>
  <si>
    <t>Engenheira de Projeto</t>
  </si>
  <si>
    <t>Jose Rangel Ferreira Da Silva</t>
  </si>
  <si>
    <t>07:00 as 17:34</t>
  </si>
  <si>
    <t>Jose Ryan Da Silva Cavalcanti</t>
  </si>
  <si>
    <t>Jose Silvestre Da Silva</t>
  </si>
  <si>
    <t>Montana</t>
  </si>
  <si>
    <t>DZD8114</t>
  </si>
  <si>
    <t>Josildo Martins Maia</t>
  </si>
  <si>
    <t>Josivaldo Genuino Ribeiro</t>
  </si>
  <si>
    <t>Rogerio Dos Santos</t>
  </si>
  <si>
    <t>Frota</t>
  </si>
  <si>
    <t>Jucivanio Alves dos Santos</t>
  </si>
  <si>
    <t>Gestão Operacional</t>
  </si>
  <si>
    <t>Sandero</t>
  </si>
  <si>
    <t xml:space="preserve">FUP3J46 </t>
  </si>
  <si>
    <t>Gerusa</t>
  </si>
  <si>
    <t>Juliana Kanda Lima De Santana</t>
  </si>
  <si>
    <t xml:space="preserve">Juliana Santos </t>
  </si>
  <si>
    <t>Joyce Guzman Silva</t>
  </si>
  <si>
    <t>Kaike Landim Nascimento</t>
  </si>
  <si>
    <t>Karina Evelyn Da Silva</t>
  </si>
  <si>
    <t>Leandro Moreno Da Silva</t>
  </si>
  <si>
    <t>Leandro Rodrigues Ferreira</t>
  </si>
  <si>
    <t>Leandro Sividini</t>
  </si>
  <si>
    <t>Adeilton Lino De Aragao</t>
  </si>
  <si>
    <t>Engenheiro De Segurança Do Trabalho</t>
  </si>
  <si>
    <t>Leonardo Gilio Obici</t>
  </si>
  <si>
    <t>Carlos Andre Caldas Carvalho</t>
  </si>
  <si>
    <t>Analista De Suprimentos</t>
  </si>
  <si>
    <t>2025-02-03</t>
  </si>
  <si>
    <t xml:space="preserve">Lourinete da Silva </t>
  </si>
  <si>
    <t>Lucas Da Silva Praxedes</t>
  </si>
  <si>
    <t>Higor Benedito De Carvalho</t>
  </si>
  <si>
    <t>Engenheiro De Planejamento</t>
  </si>
  <si>
    <t>Lucas Ferreira</t>
  </si>
  <si>
    <t>TLC 5B04</t>
  </si>
  <si>
    <t>Juan Alberto Tagliapietra  Sanabria</t>
  </si>
  <si>
    <t>Assistente Tecnico</t>
  </si>
  <si>
    <t>Lucas Victor De Souza Passos</t>
  </si>
  <si>
    <t>Luciano Jose Lima Da Silva</t>
  </si>
  <si>
    <t>Luidy Carvalho Neves De Lima</t>
  </si>
  <si>
    <t>Auxiliar Técnico de Qualidade</t>
  </si>
  <si>
    <t>Mirella Alves Vieira</t>
  </si>
  <si>
    <t>Natalia Santos De Souza</t>
  </si>
  <si>
    <t>Luis Carlos De Almeida Santos</t>
  </si>
  <si>
    <t>Paulo Marcos Oliveira Rios</t>
  </si>
  <si>
    <t>2025-01-08</t>
  </si>
  <si>
    <t>Rosimere Soares</t>
  </si>
  <si>
    <t>Engenheira de Meio Ambiente</t>
  </si>
  <si>
    <t>2025-02-28</t>
  </si>
  <si>
    <t>Luis Claudio Goncalves De Lima</t>
  </si>
  <si>
    <t>Luis Eduardo Da Silva Dias</t>
  </si>
  <si>
    <t>Fox</t>
  </si>
  <si>
    <t>DXG1E50</t>
  </si>
  <si>
    <t>Thamires  Aparecida Lesser Inacio</t>
  </si>
  <si>
    <t>Engenheira de Qualidade</t>
  </si>
  <si>
    <t>Luiz Carlos Guedes De Araujo</t>
  </si>
  <si>
    <t>Motorista de Caminhão II (Munck)</t>
  </si>
  <si>
    <t>Luiz Henrique Goncalves Nunes</t>
  </si>
  <si>
    <t>Produção Apoio Shaft LS 2</t>
  </si>
  <si>
    <t>Luiz Jose Dos Santos</t>
  </si>
  <si>
    <t>Lyncoln Jose Inacio De Oliveira</t>
  </si>
  <si>
    <t>Maciel Francisco De Souza</t>
  </si>
  <si>
    <t>Maira De Andrade Santoni</t>
  </si>
  <si>
    <t>Marcelo Alves Ferreira</t>
  </si>
  <si>
    <t>Marciano Jose Da Silva Lima</t>
  </si>
  <si>
    <t>Marcio Alves Santana</t>
  </si>
  <si>
    <t>Marcio Barreto De Souza</t>
  </si>
  <si>
    <t>Marcio Ferreira Dos  Santos</t>
  </si>
  <si>
    <t>Marcos Antonio Oliveira</t>
  </si>
  <si>
    <t>Marcos Aurélio Lambel</t>
  </si>
  <si>
    <t>TEA 8D74</t>
  </si>
  <si>
    <t>Marcos Paulo Dias Silva</t>
  </si>
  <si>
    <t>Marcos Paulo Rodrigues Da Costa</t>
  </si>
  <si>
    <t>Produção Apoio Shaft NC</t>
  </si>
  <si>
    <t>Marcos Roberto Dos Santos</t>
  </si>
  <si>
    <t>Maria Edilania Pereira da Cruz</t>
  </si>
  <si>
    <t>Engenheiro de Segurança do Trabalho</t>
  </si>
  <si>
    <t>Honda/ Fit Ex Flex</t>
  </si>
  <si>
    <t>ERM9E54</t>
  </si>
  <si>
    <t>Mario Luiz De Lira Da Silva</t>
  </si>
  <si>
    <t>Mateus Henrique Lopes Carvalho</t>
  </si>
  <si>
    <t>Matheus Cesar Conceicao Da Silva</t>
  </si>
  <si>
    <t>Vistoria Cautelar</t>
  </si>
  <si>
    <t>Mauricio Roberto Da Silva</t>
  </si>
  <si>
    <t>Mauricyo Da Silva Brito</t>
  </si>
  <si>
    <t>Michele Gomes Costa Vieira</t>
  </si>
  <si>
    <t>Miguel Alves Da Cruz</t>
  </si>
  <si>
    <t>Armador</t>
  </si>
  <si>
    <t>Mikael Rodrigues Motta</t>
  </si>
  <si>
    <t>Mikaelly Maria De Oliveira</t>
  </si>
  <si>
    <t>Mirian Santos De Sena Silva</t>
  </si>
  <si>
    <t>Nathan Vidal De Almeida</t>
  </si>
  <si>
    <t xml:space="preserve">Etios </t>
  </si>
  <si>
    <t>GG29A66</t>
  </si>
  <si>
    <t>Necivaldo Caetano Da Silva</t>
  </si>
  <si>
    <t>Nelio Ferreira Genelhud</t>
  </si>
  <si>
    <t>07:00 as 17:45</t>
  </si>
  <si>
    <t>Neudo Avelino Da Silva</t>
  </si>
  <si>
    <t>Oreste Silva Medeiros</t>
  </si>
  <si>
    <t>Otavio Dos Santos Lisboa Da Silva</t>
  </si>
  <si>
    <t>Paulo Cesar De Oliveira Santos</t>
  </si>
  <si>
    <t>Paulo da Silva Santos</t>
  </si>
  <si>
    <t>Paulo Galdencio Da Silva</t>
  </si>
  <si>
    <t>Paulo Sergio Cordeiro</t>
  </si>
  <si>
    <t>Rafael Jose Da Silva</t>
  </si>
  <si>
    <t>Analista Administrativo III</t>
  </si>
  <si>
    <t>Rafael Niculau</t>
  </si>
  <si>
    <t>Rafael Santos Nascimento</t>
  </si>
  <si>
    <t>Montador De Tunnel Liner</t>
  </si>
  <si>
    <t>Rafael Souza Santos</t>
  </si>
  <si>
    <t>Raimundo Luiz Da Silva Santana</t>
  </si>
  <si>
    <t>07:00 as 17:47</t>
  </si>
  <si>
    <t>Raimundo Santos Sena</t>
  </si>
  <si>
    <t>Ramon Luiz Soares</t>
  </si>
  <si>
    <t>Regina Rodrigues Pereira De Jesus</t>
  </si>
  <si>
    <t>Analista Administrativo Financeiro I</t>
  </si>
  <si>
    <t>Reginaldo Jose Pereira Luna Dos Santos</t>
  </si>
  <si>
    <t>Reginaldo Santos Farias</t>
  </si>
  <si>
    <t>Renato Alves De Sobral</t>
  </si>
  <si>
    <t>Ricardo Ribeiro Coutinho</t>
  </si>
  <si>
    <t>Rick Soares Queiroz</t>
  </si>
  <si>
    <t>Rinaldo Figueiredo</t>
  </si>
  <si>
    <t>Roberto Goncalo Santiago</t>
  </si>
  <si>
    <t>Comprador II</t>
  </si>
  <si>
    <t>Roberto Moraes Dos Santos</t>
  </si>
  <si>
    <t>Robson Aparecido Vale</t>
  </si>
  <si>
    <t>Robson De Freitas Gama</t>
  </si>
  <si>
    <t>TLN 7A96</t>
  </si>
  <si>
    <t>SENO6005236494</t>
  </si>
  <si>
    <t>Produção Apoio Munck</t>
  </si>
  <si>
    <t>Rodrigo Alves Caetano</t>
  </si>
  <si>
    <t>Motorista De Caminhão II (Munck)</t>
  </si>
  <si>
    <t>Produção Canteiro</t>
  </si>
  <si>
    <t>Rodrigo Ferreira De Araujo</t>
  </si>
  <si>
    <t>Rogerio Gomes De Oliveira</t>
  </si>
  <si>
    <t>Meriva</t>
  </si>
  <si>
    <t>Ryan Victor Merces Dos Santos</t>
  </si>
  <si>
    <t>Sabrina Farias Amaral Da Silva Wanderico</t>
  </si>
  <si>
    <t>Técnico Ambiental</t>
  </si>
  <si>
    <t>Samuel Moreno Mendes</t>
  </si>
  <si>
    <t>Samuel Trindade Pelissari</t>
  </si>
  <si>
    <t>Operador De Trafego</t>
  </si>
  <si>
    <t>Sarah Da Silva Miranda</t>
  </si>
  <si>
    <t>Sergio Miguel De Araujo Filho</t>
  </si>
  <si>
    <t>Severino Pereira Da Silva</t>
  </si>
  <si>
    <t>07:00 as 17:19</t>
  </si>
  <si>
    <t>Shirlei Isidoro Guedes Da Silva</t>
  </si>
  <si>
    <t>Shirley De Sousa Barbosa Correia</t>
  </si>
  <si>
    <t>Auxiliar Administrativo</t>
  </si>
  <si>
    <t>Simone Goncalves De Oliveira</t>
  </si>
  <si>
    <t>07:00 as 17:12</t>
  </si>
  <si>
    <t>Talison Dos Santos Nunes</t>
  </si>
  <si>
    <t>07:00 as 17:52</t>
  </si>
  <si>
    <t>Thaina Adriele Pereira Santos</t>
  </si>
  <si>
    <t>Thiago Cesar De Carvalho Mota</t>
  </si>
  <si>
    <t>Toni Robson Santana Dias</t>
  </si>
  <si>
    <t>Uecile Nascimento Silva</t>
  </si>
  <si>
    <t>Técnico De Segurança Nível II</t>
  </si>
  <si>
    <t>Vagner De Oliveira</t>
  </si>
  <si>
    <t>Valdete Alves Da Rocha</t>
  </si>
  <si>
    <t>Valdir Francisco De Carvalho</t>
  </si>
  <si>
    <t>Valmir Lopes Dos Reis</t>
  </si>
  <si>
    <t>Valter Luiz Araujo Siqueira</t>
  </si>
  <si>
    <t>Vanderlei Curan</t>
  </si>
  <si>
    <t>Verlandio  Dos Santos</t>
  </si>
  <si>
    <t>Vinicio Silva Espindola</t>
  </si>
  <si>
    <t>Welington Dos Santos Silva</t>
  </si>
  <si>
    <t>07:00 as 17:54</t>
  </si>
  <si>
    <t>Wellington Farias Batista</t>
  </si>
  <si>
    <t>Wellington Rodrigues Silva</t>
  </si>
  <si>
    <t>Wellington Silva</t>
  </si>
  <si>
    <t>Welton Dos Santos Pereira</t>
  </si>
  <si>
    <t>Wendson Oliveira Santos</t>
  </si>
  <si>
    <t>Soldador II</t>
  </si>
  <si>
    <t>Wesley Clementino Figueiredo</t>
  </si>
  <si>
    <t>Wesley Cristian Vital De Oliveira</t>
  </si>
  <si>
    <t>William Da Silva Gomes</t>
  </si>
  <si>
    <t>William Neves Dos Santos</t>
  </si>
  <si>
    <t>Motorista De Caminhão I</t>
  </si>
  <si>
    <t>1199611-0965</t>
  </si>
  <si>
    <t>Wilson Fabiano Marra</t>
  </si>
  <si>
    <t>Wilson Honorato</t>
  </si>
  <si>
    <t>Xavier Bispo Da Silva</t>
  </si>
  <si>
    <t>Adriano Pereira Silva Santos</t>
  </si>
  <si>
    <t>Anderson Fontes Cardoso</t>
  </si>
  <si>
    <t>Antonia Jessica Viana Teixeira</t>
  </si>
  <si>
    <t>Antonio Luis Nascimento De Sousa</t>
  </si>
  <si>
    <t>Bruno Da Silva Nascimento</t>
  </si>
  <si>
    <t>Diego Guedes De Oliveira</t>
  </si>
  <si>
    <t>Doracy Jose Dos Santos</t>
  </si>
  <si>
    <t>Ednaldo Francisco Da Silva</t>
  </si>
  <si>
    <t>Gabriel Galhote Da Silva</t>
  </si>
  <si>
    <t>Gabriel Henrique Da Silva Figueiredo</t>
  </si>
  <si>
    <t>Jacson Pereira Batista Moraes</t>
  </si>
  <si>
    <t>Janielson Filipe Da Silva Barbosa</t>
  </si>
  <si>
    <t>Jhonny Brito Dos Santos</t>
  </si>
  <si>
    <t>Joelson De Oliveira Bissoli</t>
  </si>
  <si>
    <t>Jose Dario Da Cruz Brito</t>
  </si>
  <si>
    <t>Jose Pires Sobrinho</t>
  </si>
  <si>
    <t>Leandro De Oliveira Sales</t>
  </si>
  <si>
    <t>Leandro Matheus De Andrade Duarte Santos</t>
  </si>
  <si>
    <t>Lucas De Carvalho Mota</t>
  </si>
  <si>
    <t>Lucas Rafael Cruz De Almeida</t>
  </si>
  <si>
    <t>Luciano Mateus De Oliveira Joanico</t>
  </si>
  <si>
    <t>Marcelo Francisco Amaral</t>
  </si>
  <si>
    <t>Marcelo Silva Dos Santos</t>
  </si>
  <si>
    <t>Marcos Eduardo Dos Santos</t>
  </si>
  <si>
    <t>Mateus Gomes Crispim Dos Santos</t>
  </si>
  <si>
    <t>Messias Jose De Oliveira Junior</t>
  </si>
  <si>
    <t>Odair Donizete Brito Gondim</t>
  </si>
  <si>
    <t>Osmar Rodrigues</t>
  </si>
  <si>
    <t xml:space="preserve">Gerente de Contrato </t>
  </si>
  <si>
    <t>Paulo Roberto Amorim Mendes Cavalcante</t>
  </si>
  <si>
    <t>Peterson Freitas Borges</t>
  </si>
  <si>
    <t>Rogerio  Goncalves Santos</t>
  </si>
  <si>
    <t xml:space="preserve">Rosimere Soares </t>
  </si>
  <si>
    <t xml:space="preserve">Engenhaeira de Meio Ambiente </t>
  </si>
  <si>
    <t>Rychard Douglas De Oliveira Xavier Zeliano</t>
  </si>
  <si>
    <t>Sara Gabrielle Andrade Da Silva</t>
  </si>
  <si>
    <t>Sinval Teixeira Dos Santos</t>
  </si>
  <si>
    <t xml:space="preserve">Engenheira de Qualidade </t>
  </si>
  <si>
    <t>Uanderson Da Silva De Jesus</t>
  </si>
  <si>
    <t>Victor Dutra De Almeida</t>
  </si>
  <si>
    <t>Wesley Mendes Araujo</t>
  </si>
  <si>
    <t>Cleulton Marcio Goncalves</t>
  </si>
  <si>
    <t>Edivandro Vieira Da Silva</t>
  </si>
  <si>
    <t>Jose Domingos Neto</t>
  </si>
  <si>
    <t>Maria Karoline Campelo de Souza</t>
  </si>
  <si>
    <t>Engenheira de Custos</t>
  </si>
  <si>
    <t>Osvaldo Bispo Filho</t>
  </si>
  <si>
    <t xml:space="preserve">ONIX HATCH </t>
  </si>
  <si>
    <t>UGL 2F82</t>
  </si>
  <si>
    <t>ONIX HATCH 1.0</t>
  </si>
  <si>
    <t>QQJ 5J11</t>
  </si>
  <si>
    <t>JEEP RENEGADE LNGTD AT</t>
  </si>
  <si>
    <t>UGI 7J68</t>
  </si>
  <si>
    <t>FIAT/UNO WAY 1.0</t>
  </si>
  <si>
    <t>EBP5J42</t>
  </si>
  <si>
    <t>UGR 1H64</t>
  </si>
  <si>
    <t>OJN0545</t>
  </si>
  <si>
    <t>VW NOVO VOYAGE</t>
  </si>
  <si>
    <t>TJT 2H58</t>
  </si>
  <si>
    <t>YARIS XL SEDAN 1.5</t>
  </si>
  <si>
    <t>GAA 5368</t>
  </si>
  <si>
    <t xml:space="preserve">VW GOL </t>
  </si>
  <si>
    <t xml:space="preserve">UGV 3A56 </t>
  </si>
  <si>
    <t>EPU 9F68</t>
  </si>
  <si>
    <t>I/AUDI A3 LM</t>
  </si>
  <si>
    <t>FYN 0B89</t>
  </si>
  <si>
    <t>GIY9433</t>
  </si>
  <si>
    <t>FIAT MOBI</t>
  </si>
  <si>
    <t>FEY 2F17</t>
  </si>
  <si>
    <t>RENAULT/DUSTER 16 D</t>
  </si>
  <si>
    <t>TJS 5D41</t>
  </si>
  <si>
    <t>SWM 7C70</t>
  </si>
  <si>
    <t>POLO SENSE 12V</t>
  </si>
  <si>
    <t>FERNANDES HAYASHI DA SILVA</t>
  </si>
  <si>
    <t>JOSE PINHEIRO DE QUEIROS FILHO</t>
  </si>
  <si>
    <t>FIAT CRONOS DRIVE 1.0</t>
  </si>
  <si>
    <t>TLD 04D60</t>
  </si>
  <si>
    <t xml:space="preserve">FIAT ARGO </t>
  </si>
  <si>
    <t>TKG 6E71</t>
  </si>
  <si>
    <t>TCB 2I40</t>
  </si>
  <si>
    <t>VW / NIVUS</t>
  </si>
  <si>
    <t>URA4D08</t>
  </si>
  <si>
    <t/>
  </si>
  <si>
    <t>Mini Escavadeira</t>
  </si>
  <si>
    <t>Custos</t>
  </si>
  <si>
    <t>Técnico de Projetos</t>
  </si>
  <si>
    <t>Produção - Terceiro</t>
  </si>
  <si>
    <t>Qualidade-Terceiro</t>
  </si>
  <si>
    <t>Custo HE c/ DSR</t>
  </si>
  <si>
    <t>Custo Benefícios</t>
  </si>
  <si>
    <t xml:space="preserve">Custo Encargos </t>
  </si>
  <si>
    <t>Descontos</t>
  </si>
  <si>
    <t>Custo TOTAL MO</t>
  </si>
  <si>
    <t>Assistente de Engenharia</t>
  </si>
  <si>
    <t>RH</t>
  </si>
  <si>
    <t>Assistente de Planejamento</t>
  </si>
  <si>
    <t>Almoxarifado</t>
  </si>
  <si>
    <t>Provisões - 13º + 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</si>
</sst>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43" fontId="0" fillId="0" borderId="0" xfId="1" applyFont="1"/>
    <xf numFmtId="2" fontId="0" fillId="0" borderId="0" xfId="0" applyNumberFormat="1"/>
    <xf numFmtId="43" fontId="0" fillId="0" borderId="0" xfId="0" applyNumberFormat="1"/>
    <xf numFmtId="0" fontId="0" fillId="0" borderId="0" xfId="0" applyFill="1"/>
    <xf numFmtId="0" fontId="1" fillId="0" borderId="1" xfId="0" applyFont="1" applyFill="1" applyBorder="1" applyAlignment="1">
      <alignment horizontal="center" vertical="top"/>
    </xf>
    <xf numFmtId="43" fontId="0" fillId="0" borderId="0" xfId="1" applyFont="1" applyFill="1"/>
    <xf numFmtId="164" fontId="0" fillId="0" borderId="0" xfId="0" applyNumberFormat="1" applyFill="1"/>
  </cellXfs>
  <cellStyles count="2">
    <cellStyle name="Normal" xfId="0" builtinId="0"/>
    <cellStyle name="Vírgula" xfId="1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74"/>
  <sheetViews>
    <sheetView tabSelected="1" topLeftCell="E1" zoomScale="94" zoomScaleNormal="94" workbookViewId="0">
      <selection activeCell="E426" sqref="A426:XFD426"/>
    </sheetView>
  </sheetViews>
  <sheetFormatPr defaultRowHeight="14.4" outlineLevelCol="1" x14ac:dyDescent="0.3"/>
  <cols>
    <col min="1" max="1" width="15.44140625" bestFit="1" customWidth="1"/>
    <col min="2" max="2" width="23.77734375" bestFit="1" customWidth="1"/>
    <col min="3" max="3" width="10" bestFit="1" customWidth="1"/>
    <col min="4" max="4" width="22.33203125" bestFit="1" customWidth="1"/>
    <col min="5" max="5" width="13.44140625" bestFit="1" customWidth="1"/>
    <col min="6" max="6" width="39.6640625" style="6" bestFit="1" customWidth="1"/>
    <col min="7" max="7" width="34.33203125" style="6" bestFit="1" customWidth="1"/>
    <col min="8" max="8" width="19" style="6" customWidth="1"/>
    <col min="9" max="9" width="19" customWidth="1"/>
    <col min="10" max="10" width="11" style="6" customWidth="1"/>
    <col min="11" max="11" width="13.44140625" style="6" customWidth="1"/>
    <col min="12" max="12" width="22.77734375" style="6" customWidth="1"/>
    <col min="13" max="13" width="22.77734375" customWidth="1"/>
    <col min="14" max="14" width="13.21875" customWidth="1" outlineLevel="1"/>
    <col min="15" max="15" width="19.33203125" customWidth="1" outlineLevel="1"/>
    <col min="16" max="16" width="19.77734375" customWidth="1" outlineLevel="1"/>
    <col min="17" max="17" width="18.88671875" customWidth="1" outlineLevel="1"/>
    <col min="18" max="18" width="25.77734375" customWidth="1" outlineLevel="1"/>
    <col min="19" max="19" width="15" bestFit="1" customWidth="1" outlineLevel="1"/>
    <col min="20" max="20" width="17.21875" customWidth="1"/>
    <col min="21" max="21" width="16.88671875" customWidth="1"/>
    <col min="22" max="22" width="16" customWidth="1"/>
    <col min="23" max="23" width="16.5546875" customWidth="1"/>
    <col min="24" max="24" width="9.88671875" customWidth="1"/>
    <col min="25" max="25" width="16.5546875" style="6" customWidth="1"/>
    <col min="26" max="26" width="16.88671875" customWidth="1"/>
    <col min="27" max="27" width="12.33203125" customWidth="1"/>
    <col min="28" max="28" width="12.6640625" customWidth="1"/>
    <col min="29" max="29" width="18.5546875" customWidth="1"/>
    <col min="30" max="30" width="21.77734375" customWidth="1"/>
    <col min="31" max="31" width="17.6640625" customWidth="1"/>
    <col min="32" max="32" width="15.109375" customWidth="1"/>
    <col min="33" max="33" width="15" customWidth="1"/>
    <col min="34" max="34" width="13.77734375" customWidth="1"/>
    <col min="35" max="35" width="9.6640625" bestFit="1" customWidth="1"/>
  </cols>
  <sheetData>
    <row r="1" spans="1:35" x14ac:dyDescent="0.3">
      <c r="M1" s="3">
        <f t="shared" ref="M1:V1" si="0">SUBTOTAL(9,M3:M475)</f>
        <v>2708562.5998849981</v>
      </c>
      <c r="N1" s="3">
        <f t="shared" si="0"/>
        <v>1829302.5598849989</v>
      </c>
      <c r="O1" s="3">
        <f t="shared" si="0"/>
        <v>434667.39000000042</v>
      </c>
      <c r="P1" s="3">
        <f t="shared" si="0"/>
        <v>284892.7100000002</v>
      </c>
      <c r="Q1" s="3">
        <f t="shared" si="0"/>
        <v>157549.94</v>
      </c>
      <c r="R1" s="3">
        <f t="shared" si="0"/>
        <v>254532.09267719998</v>
      </c>
      <c r="S1" s="3">
        <f t="shared" si="0"/>
        <v>254532.09267719998</v>
      </c>
      <c r="T1" s="3">
        <f t="shared" si="0"/>
        <v>210012</v>
      </c>
      <c r="U1" s="3">
        <f t="shared" si="0"/>
        <v>81087.009999999995</v>
      </c>
      <c r="V1" s="3">
        <f t="shared" si="0"/>
        <v>48800</v>
      </c>
      <c r="Y1" s="8">
        <f>SUBTOTAL(9,Y3:Y475)</f>
        <v>1098400</v>
      </c>
      <c r="Z1" s="5"/>
      <c r="AE1" s="3">
        <f>SUBTOTAL(9,AE3:AE475)</f>
        <v>2967374.5998849971</v>
      </c>
      <c r="AF1" s="3">
        <f>SUBTOTAL(9,AF3:AF475)</f>
        <v>1179487.01</v>
      </c>
      <c r="AG1" s="3">
        <f>SUBTOTAL(9,AG3:AG475)</f>
        <v>4146861.6098849988</v>
      </c>
    </row>
    <row r="2" spans="1:35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7" t="s">
        <v>5</v>
      </c>
      <c r="G2" s="7" t="s">
        <v>6</v>
      </c>
      <c r="H2" s="7" t="s">
        <v>7</v>
      </c>
      <c r="I2" s="1" t="s">
        <v>8</v>
      </c>
      <c r="J2" s="7" t="s">
        <v>9</v>
      </c>
      <c r="K2" s="7" t="s">
        <v>10</v>
      </c>
      <c r="L2" s="7" t="s">
        <v>11</v>
      </c>
      <c r="M2" s="1" t="s">
        <v>746</v>
      </c>
      <c r="N2" s="1" t="s">
        <v>12</v>
      </c>
      <c r="O2" s="1" t="s">
        <v>742</v>
      </c>
      <c r="P2" s="1" t="s">
        <v>743</v>
      </c>
      <c r="Q2" s="1" t="s">
        <v>744</v>
      </c>
      <c r="R2" s="1" t="s">
        <v>751</v>
      </c>
      <c r="S2" s="1" t="s">
        <v>745</v>
      </c>
      <c r="T2" s="1" t="s">
        <v>13</v>
      </c>
      <c r="U2" s="1" t="s">
        <v>14</v>
      </c>
      <c r="V2" s="1" t="s">
        <v>15</v>
      </c>
      <c r="W2" s="1" t="s">
        <v>16</v>
      </c>
      <c r="X2" s="1" t="s">
        <v>17</v>
      </c>
      <c r="Y2" s="7" t="s">
        <v>18</v>
      </c>
      <c r="Z2" s="1" t="s">
        <v>19</v>
      </c>
      <c r="AA2" s="1" t="s">
        <v>20</v>
      </c>
      <c r="AB2" s="1" t="s">
        <v>21</v>
      </c>
      <c r="AC2" s="1" t="s">
        <v>22</v>
      </c>
      <c r="AD2" s="1" t="s">
        <v>23</v>
      </c>
      <c r="AE2" s="1" t="s">
        <v>24</v>
      </c>
      <c r="AF2" s="1" t="s">
        <v>25</v>
      </c>
      <c r="AG2" s="1" t="s">
        <v>26</v>
      </c>
      <c r="AH2" s="1" t="s">
        <v>27</v>
      </c>
      <c r="AI2" s="1" t="s">
        <v>28</v>
      </c>
    </row>
    <row r="3" spans="1:35" x14ac:dyDescent="0.3">
      <c r="A3" t="s">
        <v>29</v>
      </c>
      <c r="B3" t="s">
        <v>29</v>
      </c>
      <c r="C3" t="s">
        <v>30</v>
      </c>
      <c r="E3">
        <v>1</v>
      </c>
      <c r="F3" s="6" t="s">
        <v>31</v>
      </c>
      <c r="G3" s="6" t="s">
        <v>32</v>
      </c>
      <c r="H3" s="9">
        <v>45693</v>
      </c>
      <c r="I3" s="2">
        <v>45705</v>
      </c>
      <c r="J3" s="6" t="s">
        <v>33</v>
      </c>
      <c r="K3" s="6" t="s">
        <v>34</v>
      </c>
      <c r="L3" s="6" t="s">
        <v>35</v>
      </c>
      <c r="M3" s="4">
        <f>N3+O3+P3+Q3-S3+R3</f>
        <v>2867</v>
      </c>
      <c r="N3" s="4">
        <v>2867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>
        <v>0</v>
      </c>
      <c r="U3">
        <v>0</v>
      </c>
      <c r="W3">
        <v>0</v>
      </c>
      <c r="X3" t="s">
        <v>36</v>
      </c>
      <c r="AC3" t="s">
        <v>37</v>
      </c>
      <c r="AD3" t="s">
        <v>38</v>
      </c>
      <c r="AE3" s="4">
        <f>M3+T3+V3</f>
        <v>2867</v>
      </c>
      <c r="AF3">
        <f t="shared" ref="AF3:AF66" si="1">U3+Y3</f>
        <v>0</v>
      </c>
      <c r="AG3" s="4">
        <f t="shared" ref="AG3:AG66" si="2">AF3+AE3</f>
        <v>2867</v>
      </c>
      <c r="AI3" t="s">
        <v>39</v>
      </c>
    </row>
    <row r="4" spans="1:35" x14ac:dyDescent="0.3">
      <c r="A4" t="s">
        <v>29</v>
      </c>
      <c r="B4" t="s">
        <v>40</v>
      </c>
      <c r="C4" t="s">
        <v>30</v>
      </c>
      <c r="E4">
        <v>2</v>
      </c>
      <c r="F4" s="6" t="s">
        <v>41</v>
      </c>
      <c r="G4" s="6" t="s">
        <v>42</v>
      </c>
      <c r="H4" s="9">
        <v>45693</v>
      </c>
      <c r="I4" s="2">
        <v>45853</v>
      </c>
      <c r="J4" s="6" t="s">
        <v>33</v>
      </c>
      <c r="K4" s="6" t="s">
        <v>34</v>
      </c>
      <c r="L4" s="6" t="s">
        <v>35</v>
      </c>
      <c r="M4" s="4">
        <f t="shared" ref="M4:M67" si="3">N4+O4+P4+Q4-S4+R4</f>
        <v>4240</v>
      </c>
      <c r="N4" s="4">
        <v>4240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>
        <v>0</v>
      </c>
      <c r="U4">
        <v>0</v>
      </c>
      <c r="W4">
        <v>0</v>
      </c>
      <c r="X4" t="s">
        <v>36</v>
      </c>
      <c r="AC4" t="s">
        <v>37</v>
      </c>
      <c r="AD4" t="s">
        <v>38</v>
      </c>
      <c r="AE4" s="4">
        <f t="shared" ref="AE4:AE67" si="4">M4+T4+V4</f>
        <v>4240</v>
      </c>
      <c r="AF4">
        <f t="shared" si="1"/>
        <v>0</v>
      </c>
      <c r="AG4" s="4">
        <f t="shared" si="2"/>
        <v>4240</v>
      </c>
      <c r="AI4" t="s">
        <v>39</v>
      </c>
    </row>
    <row r="5" spans="1:35" x14ac:dyDescent="0.3">
      <c r="A5" t="s">
        <v>40</v>
      </c>
      <c r="B5" t="s">
        <v>750</v>
      </c>
      <c r="C5" t="s">
        <v>30</v>
      </c>
      <c r="E5">
        <v>3</v>
      </c>
      <c r="F5" s="6" t="s">
        <v>45</v>
      </c>
      <c r="G5" s="6" t="s">
        <v>46</v>
      </c>
      <c r="H5" s="9">
        <v>45698</v>
      </c>
      <c r="I5" s="2">
        <v>46041</v>
      </c>
      <c r="J5" s="6" t="s">
        <v>33</v>
      </c>
      <c r="K5" s="6" t="s">
        <v>34</v>
      </c>
      <c r="L5" s="6" t="s">
        <v>35</v>
      </c>
      <c r="M5" s="4">
        <f t="shared" si="3"/>
        <v>3922</v>
      </c>
      <c r="N5" s="4">
        <v>3922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>
        <v>0</v>
      </c>
      <c r="U5">
        <v>0</v>
      </c>
      <c r="W5" t="s">
        <v>36</v>
      </c>
      <c r="X5" t="s">
        <v>36</v>
      </c>
      <c r="AC5" t="s">
        <v>37</v>
      </c>
      <c r="AD5" t="s">
        <v>38</v>
      </c>
      <c r="AE5" s="4">
        <f t="shared" si="4"/>
        <v>3922</v>
      </c>
      <c r="AF5">
        <f t="shared" si="1"/>
        <v>0</v>
      </c>
      <c r="AG5" s="4">
        <f t="shared" si="2"/>
        <v>3922</v>
      </c>
      <c r="AI5" t="s">
        <v>47</v>
      </c>
    </row>
    <row r="6" spans="1:35" x14ac:dyDescent="0.3">
      <c r="A6" t="s">
        <v>43</v>
      </c>
      <c r="B6" t="s">
        <v>43</v>
      </c>
      <c r="C6" t="s">
        <v>44</v>
      </c>
      <c r="D6" t="s">
        <v>54</v>
      </c>
      <c r="E6">
        <v>4</v>
      </c>
      <c r="F6" s="6" t="s">
        <v>580</v>
      </c>
      <c r="G6" s="6" t="s">
        <v>136</v>
      </c>
      <c r="H6" s="9">
        <v>45698</v>
      </c>
      <c r="J6" s="6" t="s">
        <v>52</v>
      </c>
      <c r="K6" s="6" t="s">
        <v>34</v>
      </c>
      <c r="L6" s="6" t="s">
        <v>35</v>
      </c>
      <c r="M6" s="4">
        <f t="shared" si="3"/>
        <v>6726.74</v>
      </c>
      <c r="N6" s="4">
        <v>2801.97</v>
      </c>
      <c r="O6" s="4">
        <v>1355.69</v>
      </c>
      <c r="P6" s="4">
        <v>2156.66</v>
      </c>
      <c r="Q6" s="4">
        <v>412.42</v>
      </c>
      <c r="R6" s="4">
        <v>1000.2235905</v>
      </c>
      <c r="S6" s="4">
        <v>1000.2235905</v>
      </c>
      <c r="T6">
        <v>912</v>
      </c>
      <c r="U6">
        <v>0</v>
      </c>
      <c r="W6" t="s">
        <v>36</v>
      </c>
      <c r="X6" t="s">
        <v>36</v>
      </c>
      <c r="AC6" t="s">
        <v>37</v>
      </c>
      <c r="AD6" t="s">
        <v>38</v>
      </c>
      <c r="AE6" s="4">
        <f t="shared" si="4"/>
        <v>7638.74</v>
      </c>
      <c r="AF6">
        <f t="shared" si="1"/>
        <v>0</v>
      </c>
      <c r="AG6" s="4">
        <f t="shared" si="2"/>
        <v>7638.74</v>
      </c>
      <c r="AI6" t="s">
        <v>47</v>
      </c>
    </row>
    <row r="7" spans="1:35" x14ac:dyDescent="0.3">
      <c r="A7" t="s">
        <v>43</v>
      </c>
      <c r="B7" t="s">
        <v>365</v>
      </c>
      <c r="C7" t="s">
        <v>44</v>
      </c>
      <c r="D7" t="s">
        <v>54</v>
      </c>
      <c r="E7">
        <v>5</v>
      </c>
      <c r="F7" s="6" t="s">
        <v>366</v>
      </c>
      <c r="G7" s="6" t="s">
        <v>267</v>
      </c>
      <c r="H7" s="9">
        <v>45698</v>
      </c>
      <c r="J7" s="6" t="s">
        <v>52</v>
      </c>
      <c r="K7" s="6" t="s">
        <v>34</v>
      </c>
      <c r="L7" s="6" t="s">
        <v>35</v>
      </c>
      <c r="M7" s="4">
        <f t="shared" si="3"/>
        <v>5274.61</v>
      </c>
      <c r="N7" s="4">
        <v>3049.35</v>
      </c>
      <c r="O7" s="4">
        <v>1506.7999999999997</v>
      </c>
      <c r="P7" s="4">
        <v>300</v>
      </c>
      <c r="Q7" s="4">
        <v>418.46</v>
      </c>
      <c r="R7" s="4">
        <v>988.28679599999998</v>
      </c>
      <c r="S7" s="4">
        <v>988.28679599999998</v>
      </c>
      <c r="T7">
        <v>988</v>
      </c>
      <c r="U7">
        <v>0</v>
      </c>
      <c r="W7" t="s">
        <v>36</v>
      </c>
      <c r="X7" t="s">
        <v>36</v>
      </c>
      <c r="Y7" s="6">
        <v>3500</v>
      </c>
      <c r="AC7" t="s">
        <v>37</v>
      </c>
      <c r="AD7" t="s">
        <v>38</v>
      </c>
      <c r="AE7" s="4">
        <f t="shared" si="4"/>
        <v>6262.61</v>
      </c>
      <c r="AF7">
        <f t="shared" si="1"/>
        <v>3500</v>
      </c>
      <c r="AG7" s="4">
        <f t="shared" si="2"/>
        <v>9762.61</v>
      </c>
      <c r="AI7" t="s">
        <v>47</v>
      </c>
    </row>
    <row r="8" spans="1:35" x14ac:dyDescent="0.3">
      <c r="A8" t="s">
        <v>43</v>
      </c>
      <c r="B8" t="s">
        <v>43</v>
      </c>
      <c r="C8" t="s">
        <v>44</v>
      </c>
      <c r="D8" t="s">
        <v>54</v>
      </c>
      <c r="E8">
        <v>6</v>
      </c>
      <c r="F8" s="6" t="s">
        <v>180</v>
      </c>
      <c r="G8" s="6" t="s">
        <v>90</v>
      </c>
      <c r="H8" s="9">
        <v>45698</v>
      </c>
      <c r="J8" s="6" t="s">
        <v>52</v>
      </c>
      <c r="K8" s="6" t="s">
        <v>34</v>
      </c>
      <c r="L8" s="6" t="s">
        <v>35</v>
      </c>
      <c r="M8" s="4">
        <f t="shared" si="3"/>
        <v>6122.2300000000005</v>
      </c>
      <c r="N8" s="4">
        <v>2801.97</v>
      </c>
      <c r="O8" s="4">
        <v>1552.95</v>
      </c>
      <c r="P8" s="4">
        <v>1372.59</v>
      </c>
      <c r="Q8" s="4">
        <v>394.72</v>
      </c>
      <c r="R8" s="4">
        <v>990.57336929999997</v>
      </c>
      <c r="S8" s="4">
        <v>990.57336929999997</v>
      </c>
      <c r="T8">
        <v>988</v>
      </c>
      <c r="U8">
        <v>0</v>
      </c>
      <c r="W8" t="s">
        <v>36</v>
      </c>
      <c r="X8" t="s">
        <v>36</v>
      </c>
      <c r="AC8" t="s">
        <v>37</v>
      </c>
      <c r="AD8" t="s">
        <v>38</v>
      </c>
      <c r="AE8" s="4">
        <f t="shared" si="4"/>
        <v>7110.2300000000005</v>
      </c>
      <c r="AF8">
        <f t="shared" si="1"/>
        <v>0</v>
      </c>
      <c r="AG8" s="4">
        <f t="shared" si="2"/>
        <v>7110.2300000000005</v>
      </c>
      <c r="AI8" t="s">
        <v>47</v>
      </c>
    </row>
    <row r="9" spans="1:35" x14ac:dyDescent="0.3">
      <c r="A9" t="s">
        <v>29</v>
      </c>
      <c r="B9" t="s">
        <v>29</v>
      </c>
      <c r="C9" t="s">
        <v>30</v>
      </c>
      <c r="D9" t="s">
        <v>320</v>
      </c>
      <c r="E9">
        <v>7</v>
      </c>
      <c r="F9" s="6" t="s">
        <v>585</v>
      </c>
      <c r="G9" s="6" t="s">
        <v>586</v>
      </c>
      <c r="H9" s="9">
        <v>45705</v>
      </c>
      <c r="J9" s="6" t="s">
        <v>52</v>
      </c>
      <c r="K9" s="6" t="s">
        <v>34</v>
      </c>
      <c r="L9" s="6" t="s">
        <v>35</v>
      </c>
      <c r="M9" s="4">
        <f t="shared" si="3"/>
        <v>5536.9899999999989</v>
      </c>
      <c r="N9" s="4">
        <v>4458.3599999999997</v>
      </c>
      <c r="O9" s="4">
        <v>160.97999999999999</v>
      </c>
      <c r="P9" s="4">
        <v>500</v>
      </c>
      <c r="Q9" s="4">
        <v>417.65</v>
      </c>
      <c r="R9" s="4">
        <v>1029.0587705999999</v>
      </c>
      <c r="S9" s="4">
        <v>1029.0587705999999</v>
      </c>
      <c r="T9">
        <v>836</v>
      </c>
      <c r="U9">
        <v>0</v>
      </c>
      <c r="W9" t="s">
        <v>36</v>
      </c>
      <c r="X9" t="s">
        <v>36</v>
      </c>
      <c r="AC9" t="s">
        <v>37</v>
      </c>
      <c r="AD9" t="s">
        <v>38</v>
      </c>
      <c r="AE9" s="4">
        <f t="shared" si="4"/>
        <v>6372.9899999999989</v>
      </c>
      <c r="AF9">
        <f t="shared" si="1"/>
        <v>0</v>
      </c>
      <c r="AG9" s="4">
        <f t="shared" si="2"/>
        <v>6372.9899999999989</v>
      </c>
      <c r="AI9" t="s">
        <v>39</v>
      </c>
    </row>
    <row r="10" spans="1:35" x14ac:dyDescent="0.3">
      <c r="A10" t="s">
        <v>29</v>
      </c>
      <c r="B10" t="s">
        <v>29</v>
      </c>
      <c r="C10" t="s">
        <v>30</v>
      </c>
      <c r="E10">
        <v>8</v>
      </c>
      <c r="F10" s="6" t="s">
        <v>61</v>
      </c>
      <c r="G10" s="6" t="s">
        <v>62</v>
      </c>
      <c r="H10" s="9">
        <v>45707</v>
      </c>
      <c r="I10" s="2">
        <v>45796</v>
      </c>
      <c r="J10" s="6" t="s">
        <v>33</v>
      </c>
      <c r="K10" s="6" t="s">
        <v>34</v>
      </c>
      <c r="L10" s="6" t="s">
        <v>35</v>
      </c>
      <c r="M10" s="4">
        <f t="shared" si="3"/>
        <v>3039.02</v>
      </c>
      <c r="N10" s="4">
        <v>3039.02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>
        <v>0</v>
      </c>
      <c r="U10">
        <v>0</v>
      </c>
      <c r="W10">
        <v>0</v>
      </c>
      <c r="X10" t="s">
        <v>36</v>
      </c>
      <c r="AC10" t="s">
        <v>37</v>
      </c>
      <c r="AD10" t="s">
        <v>38</v>
      </c>
      <c r="AE10" s="4">
        <f t="shared" si="4"/>
        <v>3039.02</v>
      </c>
      <c r="AF10">
        <f t="shared" si="1"/>
        <v>0</v>
      </c>
      <c r="AG10" s="4">
        <f t="shared" si="2"/>
        <v>3039.02</v>
      </c>
      <c r="AI10" t="s">
        <v>39</v>
      </c>
    </row>
    <row r="11" spans="1:35" x14ac:dyDescent="0.3">
      <c r="A11" t="s">
        <v>29</v>
      </c>
      <c r="B11" t="s">
        <v>29</v>
      </c>
      <c r="C11" t="s">
        <v>30</v>
      </c>
      <c r="E11">
        <v>9</v>
      </c>
      <c r="F11" s="6" t="s">
        <v>63</v>
      </c>
      <c r="G11" s="6" t="s">
        <v>64</v>
      </c>
      <c r="H11" s="9">
        <v>45708</v>
      </c>
      <c r="I11" s="2">
        <v>45999</v>
      </c>
      <c r="J11" s="6" t="s">
        <v>33</v>
      </c>
      <c r="K11" s="6" t="s">
        <v>34</v>
      </c>
      <c r="L11" s="6" t="s">
        <v>35</v>
      </c>
      <c r="M11" s="4">
        <f t="shared" si="3"/>
        <v>7000</v>
      </c>
      <c r="N11" s="4">
        <v>7000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>
        <v>0</v>
      </c>
      <c r="U11">
        <v>0</v>
      </c>
      <c r="W11" t="s">
        <v>36</v>
      </c>
      <c r="X11" t="s">
        <v>36</v>
      </c>
      <c r="AC11" t="s">
        <v>37</v>
      </c>
      <c r="AD11" t="s">
        <v>38</v>
      </c>
      <c r="AE11" s="4">
        <f t="shared" si="4"/>
        <v>7000</v>
      </c>
      <c r="AF11">
        <f t="shared" si="1"/>
        <v>0</v>
      </c>
      <c r="AG11" s="4">
        <f t="shared" si="2"/>
        <v>7000</v>
      </c>
      <c r="AI11" t="s">
        <v>47</v>
      </c>
    </row>
    <row r="12" spans="1:35" x14ac:dyDescent="0.3">
      <c r="A12" t="s">
        <v>29</v>
      </c>
      <c r="B12" t="s">
        <v>319</v>
      </c>
      <c r="C12" t="s">
        <v>30</v>
      </c>
      <c r="D12" t="s">
        <v>320</v>
      </c>
      <c r="E12">
        <v>10</v>
      </c>
      <c r="F12" s="6" t="s">
        <v>321</v>
      </c>
      <c r="G12" s="6" t="s">
        <v>322</v>
      </c>
      <c r="H12" s="9">
        <v>45708</v>
      </c>
      <c r="J12" s="6" t="s">
        <v>52</v>
      </c>
      <c r="K12" s="6" t="s">
        <v>34</v>
      </c>
      <c r="L12" s="6" t="s">
        <v>35</v>
      </c>
      <c r="M12" s="4">
        <f t="shared" si="3"/>
        <v>4747.9799999999996</v>
      </c>
      <c r="N12" s="4">
        <v>2801.97</v>
      </c>
      <c r="O12" s="4">
        <v>90.3</v>
      </c>
      <c r="P12" s="4">
        <v>1597.72</v>
      </c>
      <c r="Q12" s="4">
        <v>257.99</v>
      </c>
      <c r="R12" s="4">
        <v>709.5390228</v>
      </c>
      <c r="S12" s="4">
        <v>709.5390228</v>
      </c>
      <c r="T12">
        <v>874</v>
      </c>
      <c r="U12">
        <v>0</v>
      </c>
      <c r="W12" t="s">
        <v>36</v>
      </c>
      <c r="X12" t="s">
        <v>36</v>
      </c>
      <c r="AC12" t="s">
        <v>37</v>
      </c>
      <c r="AD12" t="s">
        <v>38</v>
      </c>
      <c r="AE12" s="4">
        <f t="shared" si="4"/>
        <v>5621.98</v>
      </c>
      <c r="AF12">
        <f t="shared" si="1"/>
        <v>0</v>
      </c>
      <c r="AG12" s="4">
        <f t="shared" si="2"/>
        <v>5621.98</v>
      </c>
      <c r="AI12" t="s">
        <v>39</v>
      </c>
    </row>
    <row r="13" spans="1:35" x14ac:dyDescent="0.3">
      <c r="A13" t="s">
        <v>43</v>
      </c>
      <c r="B13" t="s">
        <v>43</v>
      </c>
      <c r="C13" t="s">
        <v>44</v>
      </c>
      <c r="E13">
        <v>11</v>
      </c>
      <c r="F13" s="6" t="s">
        <v>66</v>
      </c>
      <c r="G13" s="6" t="s">
        <v>67</v>
      </c>
      <c r="H13" s="9">
        <v>45709</v>
      </c>
      <c r="I13" s="2">
        <v>45798</v>
      </c>
      <c r="J13" s="6" t="s">
        <v>33</v>
      </c>
      <c r="K13" s="6" t="s">
        <v>34</v>
      </c>
      <c r="L13" s="6" t="s">
        <v>35</v>
      </c>
      <c r="M13" s="4">
        <f t="shared" si="3"/>
        <v>2664.75</v>
      </c>
      <c r="N13" s="4">
        <v>2664.75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>
        <v>0</v>
      </c>
      <c r="U13">
        <v>0</v>
      </c>
      <c r="W13">
        <v>0</v>
      </c>
      <c r="X13" t="s">
        <v>36</v>
      </c>
      <c r="AC13" t="s">
        <v>37</v>
      </c>
      <c r="AD13" t="s">
        <v>38</v>
      </c>
      <c r="AE13" s="4">
        <f t="shared" si="4"/>
        <v>2664.75</v>
      </c>
      <c r="AF13">
        <f t="shared" si="1"/>
        <v>0</v>
      </c>
      <c r="AG13" s="4">
        <f t="shared" si="2"/>
        <v>2664.75</v>
      </c>
      <c r="AI13" t="s">
        <v>47</v>
      </c>
    </row>
    <row r="14" spans="1:35" x14ac:dyDescent="0.3">
      <c r="A14" t="s">
        <v>43</v>
      </c>
      <c r="B14" t="s">
        <v>43</v>
      </c>
      <c r="C14" t="s">
        <v>44</v>
      </c>
      <c r="E14">
        <v>12</v>
      </c>
      <c r="F14" s="6" t="s">
        <v>68</v>
      </c>
      <c r="G14" s="6" t="s">
        <v>60</v>
      </c>
      <c r="H14" s="9">
        <v>45709</v>
      </c>
      <c r="I14" s="2">
        <v>45734</v>
      </c>
      <c r="J14" s="6" t="s">
        <v>33</v>
      </c>
      <c r="K14" s="6" t="s">
        <v>34</v>
      </c>
      <c r="L14" s="6" t="s">
        <v>35</v>
      </c>
      <c r="M14" s="4">
        <f t="shared" si="3"/>
        <v>2066.0100000000002</v>
      </c>
      <c r="N14" s="4">
        <v>2066.0100000000002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>
        <v>0</v>
      </c>
      <c r="U14">
        <v>0</v>
      </c>
      <c r="W14">
        <v>0</v>
      </c>
      <c r="X14" t="s">
        <v>36</v>
      </c>
      <c r="AC14" t="s">
        <v>37</v>
      </c>
      <c r="AD14" t="s">
        <v>38</v>
      </c>
      <c r="AE14" s="4">
        <f t="shared" si="4"/>
        <v>2066.0100000000002</v>
      </c>
      <c r="AF14">
        <f t="shared" si="1"/>
        <v>0</v>
      </c>
      <c r="AG14" s="4">
        <f t="shared" si="2"/>
        <v>2066.0100000000002</v>
      </c>
      <c r="AI14" t="s">
        <v>47</v>
      </c>
    </row>
    <row r="15" spans="1:35" x14ac:dyDescent="0.3">
      <c r="A15" t="s">
        <v>43</v>
      </c>
      <c r="B15" t="s">
        <v>43</v>
      </c>
      <c r="C15" t="s">
        <v>44</v>
      </c>
      <c r="D15" t="s">
        <v>81</v>
      </c>
      <c r="E15">
        <v>13</v>
      </c>
      <c r="F15" s="6" t="s">
        <v>183</v>
      </c>
      <c r="G15" s="6" t="s">
        <v>67</v>
      </c>
      <c r="H15" s="9">
        <v>45709</v>
      </c>
      <c r="J15" s="6" t="s">
        <v>33</v>
      </c>
      <c r="K15" s="6" t="s">
        <v>34</v>
      </c>
      <c r="L15" s="6" t="s">
        <v>35</v>
      </c>
      <c r="M15" s="4">
        <f t="shared" si="3"/>
        <v>6776.5599999999995</v>
      </c>
      <c r="N15" s="4">
        <v>2801.97</v>
      </c>
      <c r="O15" s="4">
        <v>1356.23</v>
      </c>
      <c r="P15" s="4">
        <v>2205.8599999999997</v>
      </c>
      <c r="Q15" s="4">
        <v>412.5</v>
      </c>
      <c r="R15" s="4">
        <v>1021.3339742999999</v>
      </c>
      <c r="S15" s="4">
        <v>1021.3339742999999</v>
      </c>
      <c r="T15">
        <v>0</v>
      </c>
      <c r="U15">
        <v>0</v>
      </c>
      <c r="W15">
        <v>0</v>
      </c>
      <c r="X15">
        <v>0</v>
      </c>
      <c r="AC15" t="s">
        <v>37</v>
      </c>
      <c r="AD15" t="s">
        <v>38</v>
      </c>
      <c r="AE15" s="4">
        <f t="shared" si="4"/>
        <v>6776.5599999999995</v>
      </c>
      <c r="AF15">
        <f t="shared" si="1"/>
        <v>0</v>
      </c>
      <c r="AG15" s="4">
        <f t="shared" si="2"/>
        <v>6776.5599999999995</v>
      </c>
      <c r="AI15" t="s">
        <v>47</v>
      </c>
    </row>
    <row r="16" spans="1:35" x14ac:dyDescent="0.3">
      <c r="A16" t="s">
        <v>43</v>
      </c>
      <c r="B16" t="s">
        <v>603</v>
      </c>
      <c r="C16" t="s">
        <v>44</v>
      </c>
      <c r="D16" t="s">
        <v>54</v>
      </c>
      <c r="E16">
        <v>14</v>
      </c>
      <c r="F16" s="6" t="s">
        <v>604</v>
      </c>
      <c r="G16" s="6" t="s">
        <v>51</v>
      </c>
      <c r="H16" s="9">
        <v>45709</v>
      </c>
      <c r="J16" s="6" t="s">
        <v>52</v>
      </c>
      <c r="K16" s="6" t="s">
        <v>34</v>
      </c>
      <c r="L16" s="6" t="s">
        <v>35</v>
      </c>
      <c r="M16" s="4">
        <f t="shared" si="3"/>
        <v>8318.09</v>
      </c>
      <c r="N16" s="4">
        <v>4942.05</v>
      </c>
      <c r="O16" s="4">
        <v>1803.6499999999999</v>
      </c>
      <c r="P16" s="4">
        <v>724.2</v>
      </c>
      <c r="Q16" s="4">
        <v>848.18999999999994</v>
      </c>
      <c r="R16" s="4">
        <v>1517.6316645000002</v>
      </c>
      <c r="S16" s="4">
        <v>1517.6316645000002</v>
      </c>
      <c r="T16">
        <v>950</v>
      </c>
      <c r="U16">
        <v>0</v>
      </c>
      <c r="W16" t="s">
        <v>36</v>
      </c>
      <c r="X16" t="s">
        <v>36</v>
      </c>
      <c r="AC16" t="s">
        <v>53</v>
      </c>
      <c r="AD16" t="s">
        <v>38</v>
      </c>
      <c r="AE16" s="4">
        <f t="shared" si="4"/>
        <v>9268.09</v>
      </c>
      <c r="AF16">
        <f t="shared" si="1"/>
        <v>0</v>
      </c>
      <c r="AG16" s="4">
        <f t="shared" si="2"/>
        <v>9268.09</v>
      </c>
      <c r="AI16" t="s">
        <v>47</v>
      </c>
    </row>
    <row r="17" spans="1:35" x14ac:dyDescent="0.3">
      <c r="A17" t="s">
        <v>77</v>
      </c>
      <c r="B17" t="s">
        <v>78</v>
      </c>
      <c r="C17" t="s">
        <v>30</v>
      </c>
      <c r="E17">
        <v>15</v>
      </c>
      <c r="F17" s="6" t="s">
        <v>79</v>
      </c>
      <c r="G17" s="6" t="s">
        <v>80</v>
      </c>
      <c r="H17" s="9">
        <v>45709</v>
      </c>
      <c r="I17" s="2">
        <v>45799</v>
      </c>
      <c r="J17" s="6" t="s">
        <v>33</v>
      </c>
      <c r="K17" s="6" t="s">
        <v>34</v>
      </c>
      <c r="L17" s="6" t="s">
        <v>35</v>
      </c>
      <c r="M17" s="4">
        <f t="shared" si="3"/>
        <v>6360</v>
      </c>
      <c r="N17" s="4">
        <v>6360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>
        <v>0</v>
      </c>
      <c r="U17">
        <v>0</v>
      </c>
      <c r="W17" t="s">
        <v>36</v>
      </c>
      <c r="X17" t="s">
        <v>36</v>
      </c>
      <c r="AC17" t="s">
        <v>37</v>
      </c>
      <c r="AD17" t="s">
        <v>38</v>
      </c>
      <c r="AE17" s="4">
        <f t="shared" si="4"/>
        <v>6360</v>
      </c>
      <c r="AF17">
        <f t="shared" si="1"/>
        <v>0</v>
      </c>
      <c r="AG17" s="4">
        <f t="shared" si="2"/>
        <v>6360</v>
      </c>
      <c r="AI17" t="s">
        <v>47</v>
      </c>
    </row>
    <row r="18" spans="1:35" x14ac:dyDescent="0.3">
      <c r="A18" t="s">
        <v>43</v>
      </c>
      <c r="B18" t="s">
        <v>43</v>
      </c>
      <c r="C18" t="s">
        <v>44</v>
      </c>
      <c r="D18" t="s">
        <v>222</v>
      </c>
      <c r="E18">
        <v>16</v>
      </c>
      <c r="F18" s="6" t="s">
        <v>223</v>
      </c>
      <c r="G18" s="6" t="s">
        <v>136</v>
      </c>
      <c r="H18" s="9">
        <v>45719</v>
      </c>
      <c r="J18" s="6" t="s">
        <v>52</v>
      </c>
      <c r="K18" s="6" t="s">
        <v>34</v>
      </c>
      <c r="L18" s="6" t="s">
        <v>35</v>
      </c>
      <c r="M18" s="4">
        <f t="shared" si="3"/>
        <v>7614.7799999999988</v>
      </c>
      <c r="N18" s="4">
        <v>2801.97</v>
      </c>
      <c r="O18" s="4">
        <v>2149.92</v>
      </c>
      <c r="P18" s="4">
        <v>2144.48</v>
      </c>
      <c r="Q18" s="4">
        <v>518.41</v>
      </c>
      <c r="R18" s="4">
        <v>1144.3134032999997</v>
      </c>
      <c r="S18" s="4">
        <v>1144.3134032999997</v>
      </c>
      <c r="T18">
        <v>912</v>
      </c>
      <c r="U18">
        <v>0</v>
      </c>
      <c r="W18" t="s">
        <v>36</v>
      </c>
      <c r="X18" t="s">
        <v>36</v>
      </c>
      <c r="AC18" t="s">
        <v>37</v>
      </c>
      <c r="AD18" t="s">
        <v>38</v>
      </c>
      <c r="AE18" s="4">
        <f t="shared" si="4"/>
        <v>8526.7799999999988</v>
      </c>
      <c r="AF18">
        <f t="shared" si="1"/>
        <v>0</v>
      </c>
      <c r="AG18" s="4">
        <f t="shared" si="2"/>
        <v>8526.7799999999988</v>
      </c>
      <c r="AI18" t="s">
        <v>47</v>
      </c>
    </row>
    <row r="19" spans="1:35" x14ac:dyDescent="0.3">
      <c r="A19" t="s">
        <v>43</v>
      </c>
      <c r="B19" t="s">
        <v>43</v>
      </c>
      <c r="C19" t="s">
        <v>44</v>
      </c>
      <c r="E19">
        <v>17</v>
      </c>
      <c r="F19" s="6" t="s">
        <v>83</v>
      </c>
      <c r="G19" s="6" t="s">
        <v>60</v>
      </c>
      <c r="H19" s="9">
        <v>45719</v>
      </c>
      <c r="I19" s="2">
        <v>45852</v>
      </c>
      <c r="J19" s="6" t="s">
        <v>33</v>
      </c>
      <c r="K19" s="6" t="s">
        <v>34</v>
      </c>
      <c r="L19" s="6" t="s">
        <v>35</v>
      </c>
      <c r="M19" s="4">
        <f t="shared" si="3"/>
        <v>2189.9699999999998</v>
      </c>
      <c r="N19" s="4">
        <v>2189.9699999999998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>
        <v>0</v>
      </c>
      <c r="U19">
        <v>0</v>
      </c>
      <c r="W19">
        <v>0</v>
      </c>
      <c r="X19" t="s">
        <v>36</v>
      </c>
      <c r="AC19" t="s">
        <v>37</v>
      </c>
      <c r="AD19" t="s">
        <v>38</v>
      </c>
      <c r="AE19" s="4">
        <f t="shared" si="4"/>
        <v>2189.9699999999998</v>
      </c>
      <c r="AF19">
        <f t="shared" si="1"/>
        <v>0</v>
      </c>
      <c r="AG19" s="4">
        <f t="shared" si="2"/>
        <v>2189.9699999999998</v>
      </c>
      <c r="AI19" t="s">
        <v>47</v>
      </c>
    </row>
    <row r="20" spans="1:35" x14ac:dyDescent="0.3">
      <c r="A20" t="s">
        <v>77</v>
      </c>
      <c r="B20" t="s">
        <v>78</v>
      </c>
      <c r="C20" t="s">
        <v>30</v>
      </c>
      <c r="E20">
        <v>18</v>
      </c>
      <c r="F20" s="6" t="s">
        <v>84</v>
      </c>
      <c r="G20" s="6" t="s">
        <v>80</v>
      </c>
      <c r="H20" s="9">
        <v>45719</v>
      </c>
      <c r="I20" s="2">
        <v>45904</v>
      </c>
      <c r="J20" s="6" t="s">
        <v>33</v>
      </c>
      <c r="K20" s="6" t="s">
        <v>34</v>
      </c>
      <c r="L20" s="6" t="s">
        <v>35</v>
      </c>
      <c r="M20" s="4">
        <f t="shared" si="3"/>
        <v>6360</v>
      </c>
      <c r="N20" s="4">
        <v>6360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>
        <v>0</v>
      </c>
      <c r="U20">
        <v>0</v>
      </c>
      <c r="W20" t="s">
        <v>36</v>
      </c>
      <c r="X20" t="s">
        <v>36</v>
      </c>
      <c r="AC20" t="s">
        <v>37</v>
      </c>
      <c r="AD20" t="s">
        <v>38</v>
      </c>
      <c r="AE20" s="4">
        <f t="shared" si="4"/>
        <v>6360</v>
      </c>
      <c r="AF20">
        <f t="shared" si="1"/>
        <v>0</v>
      </c>
      <c r="AG20" s="4">
        <f t="shared" si="2"/>
        <v>6360</v>
      </c>
      <c r="AI20" t="s">
        <v>47</v>
      </c>
    </row>
    <row r="21" spans="1:35" x14ac:dyDescent="0.3">
      <c r="A21" t="s">
        <v>43</v>
      </c>
      <c r="B21" t="s">
        <v>43</v>
      </c>
      <c r="C21" t="s">
        <v>44</v>
      </c>
      <c r="E21">
        <v>19</v>
      </c>
      <c r="F21" s="6" t="s">
        <v>85</v>
      </c>
      <c r="G21" s="6" t="s">
        <v>86</v>
      </c>
      <c r="H21" s="9">
        <v>45719</v>
      </c>
      <c r="I21" s="2">
        <v>45749</v>
      </c>
      <c r="J21" s="6" t="s">
        <v>33</v>
      </c>
      <c r="K21" s="6" t="s">
        <v>34</v>
      </c>
      <c r="L21" s="6" t="s">
        <v>35</v>
      </c>
      <c r="M21" s="4">
        <f t="shared" si="3"/>
        <v>6500</v>
      </c>
      <c r="N21" s="4">
        <v>6500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>
        <v>0</v>
      </c>
      <c r="U21">
        <v>0</v>
      </c>
      <c r="W21">
        <v>0</v>
      </c>
      <c r="X21" t="s">
        <v>36</v>
      </c>
      <c r="AC21" t="s">
        <v>37</v>
      </c>
      <c r="AD21" t="s">
        <v>38</v>
      </c>
      <c r="AE21" s="4">
        <f t="shared" si="4"/>
        <v>6500</v>
      </c>
      <c r="AF21">
        <f t="shared" si="1"/>
        <v>0</v>
      </c>
      <c r="AG21" s="4">
        <f t="shared" si="2"/>
        <v>6500</v>
      </c>
      <c r="AI21" t="s">
        <v>47</v>
      </c>
    </row>
    <row r="22" spans="1:35" x14ac:dyDescent="0.3">
      <c r="A22" t="s">
        <v>43</v>
      </c>
      <c r="B22" t="s">
        <v>43</v>
      </c>
      <c r="C22" t="s">
        <v>44</v>
      </c>
      <c r="E22">
        <v>20</v>
      </c>
      <c r="F22" s="6" t="s">
        <v>87</v>
      </c>
      <c r="G22" s="6" t="s">
        <v>60</v>
      </c>
      <c r="H22" s="9">
        <v>45719</v>
      </c>
      <c r="I22" s="2">
        <v>45887</v>
      </c>
      <c r="J22" s="6" t="s">
        <v>33</v>
      </c>
      <c r="K22" s="6" t="s">
        <v>34</v>
      </c>
      <c r="L22" s="6" t="s">
        <v>35</v>
      </c>
      <c r="M22" s="4">
        <f t="shared" si="3"/>
        <v>2189.9699999999998</v>
      </c>
      <c r="N22" s="4">
        <v>2189.9699999999998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>
        <v>0</v>
      </c>
      <c r="U22">
        <v>0</v>
      </c>
      <c r="W22">
        <v>0</v>
      </c>
      <c r="X22" t="s">
        <v>36</v>
      </c>
      <c r="AC22" t="s">
        <v>37</v>
      </c>
      <c r="AD22" t="s">
        <v>38</v>
      </c>
      <c r="AE22" s="4">
        <f t="shared" si="4"/>
        <v>2189.9699999999998</v>
      </c>
      <c r="AF22">
        <f t="shared" si="1"/>
        <v>0</v>
      </c>
      <c r="AG22" s="4">
        <f t="shared" si="2"/>
        <v>2189.9699999999998</v>
      </c>
      <c r="AI22" t="s">
        <v>47</v>
      </c>
    </row>
    <row r="23" spans="1:35" x14ac:dyDescent="0.3">
      <c r="A23" t="s">
        <v>43</v>
      </c>
      <c r="B23" t="s">
        <v>43</v>
      </c>
      <c r="C23" t="s">
        <v>44</v>
      </c>
      <c r="E23">
        <v>21</v>
      </c>
      <c r="F23" s="6" t="s">
        <v>88</v>
      </c>
      <c r="G23" s="6" t="s">
        <v>60</v>
      </c>
      <c r="H23" s="9">
        <v>45720</v>
      </c>
      <c r="I23" s="2">
        <v>45809</v>
      </c>
      <c r="J23" s="6" t="s">
        <v>33</v>
      </c>
      <c r="K23" s="6" t="s">
        <v>34</v>
      </c>
      <c r="L23" s="6" t="s">
        <v>35</v>
      </c>
      <c r="M23" s="4">
        <f t="shared" si="3"/>
        <v>2189.9699999999998</v>
      </c>
      <c r="N23" s="4">
        <v>2189.9699999999998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>
        <v>0</v>
      </c>
      <c r="U23">
        <v>0</v>
      </c>
      <c r="W23">
        <v>0</v>
      </c>
      <c r="X23" t="s">
        <v>36</v>
      </c>
      <c r="AC23" t="s">
        <v>37</v>
      </c>
      <c r="AD23" t="s">
        <v>38</v>
      </c>
      <c r="AE23" s="4">
        <f t="shared" si="4"/>
        <v>2189.9699999999998</v>
      </c>
      <c r="AF23">
        <f t="shared" si="1"/>
        <v>0</v>
      </c>
      <c r="AG23" s="4">
        <f t="shared" si="2"/>
        <v>2189.9699999999998</v>
      </c>
      <c r="AI23" t="s">
        <v>47</v>
      </c>
    </row>
    <row r="24" spans="1:35" x14ac:dyDescent="0.3">
      <c r="A24" t="s">
        <v>43</v>
      </c>
      <c r="B24" t="s">
        <v>43</v>
      </c>
      <c r="C24" t="s">
        <v>44</v>
      </c>
      <c r="D24" t="s">
        <v>54</v>
      </c>
      <c r="E24">
        <v>22</v>
      </c>
      <c r="F24" s="6" t="s">
        <v>89</v>
      </c>
      <c r="G24" s="6" t="s">
        <v>90</v>
      </c>
      <c r="H24" s="9">
        <v>45720</v>
      </c>
      <c r="I24" s="2">
        <v>45819</v>
      </c>
      <c r="J24" s="6" t="s">
        <v>33</v>
      </c>
      <c r="K24" s="6" t="s">
        <v>34</v>
      </c>
      <c r="L24" s="6" t="s">
        <v>35</v>
      </c>
      <c r="M24" s="4">
        <f t="shared" si="3"/>
        <v>2664.74</v>
      </c>
      <c r="N24" s="4">
        <v>2664.74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>
        <v>0</v>
      </c>
      <c r="U24">
        <v>0</v>
      </c>
      <c r="W24">
        <v>0</v>
      </c>
      <c r="X24" t="s">
        <v>36</v>
      </c>
      <c r="AC24" t="s">
        <v>37</v>
      </c>
      <c r="AD24" t="s">
        <v>38</v>
      </c>
      <c r="AE24" s="4">
        <f t="shared" si="4"/>
        <v>2664.74</v>
      </c>
      <c r="AF24">
        <f t="shared" si="1"/>
        <v>0</v>
      </c>
      <c r="AG24" s="4">
        <f t="shared" si="2"/>
        <v>2664.74</v>
      </c>
      <c r="AI24" t="s">
        <v>47</v>
      </c>
    </row>
    <row r="25" spans="1:35" x14ac:dyDescent="0.3">
      <c r="A25" t="s">
        <v>40</v>
      </c>
      <c r="B25" t="s">
        <v>750</v>
      </c>
      <c r="C25" t="s">
        <v>30</v>
      </c>
      <c r="D25" t="s">
        <v>91</v>
      </c>
      <c r="E25">
        <v>23</v>
      </c>
      <c r="F25" s="6" t="s">
        <v>92</v>
      </c>
      <c r="G25" s="6" t="s">
        <v>93</v>
      </c>
      <c r="H25" s="9">
        <v>45720</v>
      </c>
      <c r="I25" s="2">
        <v>45978</v>
      </c>
      <c r="J25" s="6" t="s">
        <v>33</v>
      </c>
      <c r="K25" s="6" t="s">
        <v>34</v>
      </c>
      <c r="L25" s="6" t="s">
        <v>35</v>
      </c>
      <c r="M25" s="4">
        <f t="shared" si="3"/>
        <v>2681.8</v>
      </c>
      <c r="N25" s="4">
        <v>2681.8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>
        <v>0</v>
      </c>
      <c r="U25">
        <v>0</v>
      </c>
      <c r="W25">
        <v>0</v>
      </c>
      <c r="X25" t="s">
        <v>36</v>
      </c>
      <c r="AC25" t="s">
        <v>37</v>
      </c>
      <c r="AD25" t="s">
        <v>38</v>
      </c>
      <c r="AE25" s="4">
        <f t="shared" si="4"/>
        <v>2681.8</v>
      </c>
      <c r="AF25">
        <f t="shared" si="1"/>
        <v>0</v>
      </c>
      <c r="AG25" s="4">
        <f t="shared" si="2"/>
        <v>2681.8</v>
      </c>
      <c r="AI25" t="s">
        <v>47</v>
      </c>
    </row>
    <row r="26" spans="1:35" x14ac:dyDescent="0.3">
      <c r="A26" t="s">
        <v>43</v>
      </c>
      <c r="B26" t="s">
        <v>43</v>
      </c>
      <c r="C26" t="s">
        <v>44</v>
      </c>
      <c r="D26" t="s">
        <v>54</v>
      </c>
      <c r="E26">
        <v>24</v>
      </c>
      <c r="F26" s="6" t="s">
        <v>94</v>
      </c>
      <c r="G26" s="6" t="s">
        <v>56</v>
      </c>
      <c r="H26" s="9">
        <v>45720</v>
      </c>
      <c r="I26" s="2">
        <v>45887</v>
      </c>
      <c r="J26" s="6" t="s">
        <v>33</v>
      </c>
      <c r="K26" s="6" t="s">
        <v>34</v>
      </c>
      <c r="L26" s="6" t="s">
        <v>35</v>
      </c>
      <c r="M26" s="4">
        <f t="shared" si="3"/>
        <v>5114.5</v>
      </c>
      <c r="N26" s="4">
        <v>5114.5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>
        <v>0</v>
      </c>
      <c r="U26">
        <v>0</v>
      </c>
      <c r="W26">
        <v>0</v>
      </c>
      <c r="X26" t="s">
        <v>36</v>
      </c>
      <c r="AC26" t="s">
        <v>37</v>
      </c>
      <c r="AD26" t="s">
        <v>38</v>
      </c>
      <c r="AE26" s="4">
        <f t="shared" si="4"/>
        <v>5114.5</v>
      </c>
      <c r="AF26">
        <f t="shared" si="1"/>
        <v>0</v>
      </c>
      <c r="AG26" s="4">
        <f t="shared" si="2"/>
        <v>5114.5</v>
      </c>
      <c r="AI26" t="s">
        <v>47</v>
      </c>
    </row>
    <row r="27" spans="1:35" x14ac:dyDescent="0.3">
      <c r="A27" t="s">
        <v>43</v>
      </c>
      <c r="B27" t="s">
        <v>43</v>
      </c>
      <c r="C27" t="s">
        <v>44</v>
      </c>
      <c r="E27">
        <v>25</v>
      </c>
      <c r="F27" s="6" t="s">
        <v>95</v>
      </c>
      <c r="G27" s="6" t="s">
        <v>96</v>
      </c>
      <c r="H27" s="9">
        <v>45720</v>
      </c>
      <c r="I27" s="2">
        <v>45975</v>
      </c>
      <c r="J27" s="6" t="s">
        <v>33</v>
      </c>
      <c r="K27" s="6" t="s">
        <v>34</v>
      </c>
      <c r="L27" s="6" t="s">
        <v>35</v>
      </c>
      <c r="M27" s="4">
        <f t="shared" si="3"/>
        <v>3353.12</v>
      </c>
      <c r="N27" s="4">
        <v>3353.12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>
        <v>0</v>
      </c>
      <c r="U27">
        <v>0</v>
      </c>
      <c r="W27">
        <v>0</v>
      </c>
      <c r="X27" t="s">
        <v>36</v>
      </c>
      <c r="AC27" t="s">
        <v>37</v>
      </c>
      <c r="AD27" t="s">
        <v>38</v>
      </c>
      <c r="AE27" s="4">
        <f t="shared" si="4"/>
        <v>3353.12</v>
      </c>
      <c r="AF27">
        <f t="shared" si="1"/>
        <v>0</v>
      </c>
      <c r="AG27" s="4">
        <f t="shared" si="2"/>
        <v>3353.12</v>
      </c>
      <c r="AI27" t="s">
        <v>47</v>
      </c>
    </row>
    <row r="28" spans="1:35" x14ac:dyDescent="0.3">
      <c r="A28" t="s">
        <v>43</v>
      </c>
      <c r="B28" t="s">
        <v>43</v>
      </c>
      <c r="C28" t="s">
        <v>44</v>
      </c>
      <c r="E28">
        <v>26</v>
      </c>
      <c r="F28" s="6" t="s">
        <v>97</v>
      </c>
      <c r="G28" s="6" t="s">
        <v>60</v>
      </c>
      <c r="H28" s="9">
        <v>45726</v>
      </c>
      <c r="I28" s="2">
        <v>45840</v>
      </c>
      <c r="J28" s="6" t="s">
        <v>33</v>
      </c>
      <c r="K28" s="6" t="s">
        <v>34</v>
      </c>
      <c r="L28" s="6" t="s">
        <v>35</v>
      </c>
      <c r="M28" s="4">
        <f t="shared" si="3"/>
        <v>2189.9699999999998</v>
      </c>
      <c r="N28" s="4">
        <v>2189.9699999999998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>
        <v>0</v>
      </c>
      <c r="U28">
        <v>0</v>
      </c>
      <c r="W28">
        <v>0</v>
      </c>
      <c r="X28" t="s">
        <v>36</v>
      </c>
      <c r="AC28" t="s">
        <v>37</v>
      </c>
      <c r="AD28" t="s">
        <v>38</v>
      </c>
      <c r="AE28" s="4">
        <f t="shared" si="4"/>
        <v>2189.9699999999998</v>
      </c>
      <c r="AF28">
        <f t="shared" si="1"/>
        <v>0</v>
      </c>
      <c r="AG28" s="4">
        <f t="shared" si="2"/>
        <v>2189.9699999999998</v>
      </c>
      <c r="AI28" t="s">
        <v>47</v>
      </c>
    </row>
    <row r="29" spans="1:35" x14ac:dyDescent="0.3">
      <c r="A29" t="s">
        <v>43</v>
      </c>
      <c r="B29" t="s">
        <v>43</v>
      </c>
      <c r="C29" t="s">
        <v>44</v>
      </c>
      <c r="E29">
        <v>27</v>
      </c>
      <c r="F29" s="6" t="s">
        <v>98</v>
      </c>
      <c r="G29" s="6" t="s">
        <v>60</v>
      </c>
      <c r="H29" s="9">
        <v>45726</v>
      </c>
      <c r="I29" s="2">
        <v>45810</v>
      </c>
      <c r="J29" s="6" t="s">
        <v>33</v>
      </c>
      <c r="K29" s="6" t="s">
        <v>34</v>
      </c>
      <c r="L29" s="6" t="s">
        <v>35</v>
      </c>
      <c r="M29" s="4">
        <f t="shared" si="3"/>
        <v>2066.0100000000002</v>
      </c>
      <c r="N29" s="4">
        <v>2066.0100000000002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>
        <v>0</v>
      </c>
      <c r="U29">
        <v>0</v>
      </c>
      <c r="W29">
        <v>0</v>
      </c>
      <c r="X29" t="s">
        <v>36</v>
      </c>
      <c r="AC29" t="s">
        <v>37</v>
      </c>
      <c r="AD29" t="s">
        <v>38</v>
      </c>
      <c r="AE29" s="4">
        <f t="shared" si="4"/>
        <v>2066.0100000000002</v>
      </c>
      <c r="AF29">
        <f t="shared" si="1"/>
        <v>0</v>
      </c>
      <c r="AG29" s="4">
        <f t="shared" si="2"/>
        <v>2066.0100000000002</v>
      </c>
      <c r="AI29" t="s">
        <v>47</v>
      </c>
    </row>
    <row r="30" spans="1:35" x14ac:dyDescent="0.3">
      <c r="A30" t="s">
        <v>43</v>
      </c>
      <c r="B30" t="s">
        <v>43</v>
      </c>
      <c r="C30" t="s">
        <v>44</v>
      </c>
      <c r="E30">
        <v>28</v>
      </c>
      <c r="F30" s="6" t="s">
        <v>99</v>
      </c>
      <c r="G30" s="6" t="s">
        <v>60</v>
      </c>
      <c r="H30" s="9">
        <v>45726</v>
      </c>
      <c r="I30" s="2">
        <v>45971</v>
      </c>
      <c r="J30" s="6" t="s">
        <v>33</v>
      </c>
      <c r="K30" s="6" t="s">
        <v>34</v>
      </c>
      <c r="L30" s="6" t="s">
        <v>35</v>
      </c>
      <c r="M30" s="4">
        <f t="shared" si="3"/>
        <v>2189.9699999999998</v>
      </c>
      <c r="N30" s="4">
        <v>2189.9699999999998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>
        <v>0</v>
      </c>
      <c r="U30">
        <v>0</v>
      </c>
      <c r="W30">
        <v>0</v>
      </c>
      <c r="X30" t="s">
        <v>36</v>
      </c>
      <c r="AC30" t="s">
        <v>37</v>
      </c>
      <c r="AD30" t="s">
        <v>38</v>
      </c>
      <c r="AE30" s="4">
        <f t="shared" si="4"/>
        <v>2189.9699999999998</v>
      </c>
      <c r="AF30">
        <f t="shared" si="1"/>
        <v>0</v>
      </c>
      <c r="AG30" s="4">
        <f t="shared" si="2"/>
        <v>2189.9699999999998</v>
      </c>
      <c r="AI30" t="s">
        <v>47</v>
      </c>
    </row>
    <row r="31" spans="1:35" x14ac:dyDescent="0.3">
      <c r="A31" t="s">
        <v>43</v>
      </c>
      <c r="B31" t="s">
        <v>43</v>
      </c>
      <c r="C31" t="s">
        <v>44</v>
      </c>
      <c r="D31" t="s">
        <v>54</v>
      </c>
      <c r="E31">
        <v>29</v>
      </c>
      <c r="F31" s="6" t="s">
        <v>100</v>
      </c>
      <c r="G31" s="6" t="s">
        <v>101</v>
      </c>
      <c r="H31" s="9">
        <v>45726</v>
      </c>
      <c r="I31" s="2">
        <v>45755</v>
      </c>
      <c r="J31" s="6" t="s">
        <v>33</v>
      </c>
      <c r="K31" s="6" t="s">
        <v>34</v>
      </c>
      <c r="L31" s="6" t="s">
        <v>35</v>
      </c>
      <c r="M31" s="4">
        <f t="shared" si="3"/>
        <v>3163</v>
      </c>
      <c r="N31" s="4">
        <v>3163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>
        <v>0</v>
      </c>
      <c r="U31">
        <v>0</v>
      </c>
      <c r="W31">
        <v>0</v>
      </c>
      <c r="X31" t="s">
        <v>36</v>
      </c>
      <c r="AC31" t="s">
        <v>37</v>
      </c>
      <c r="AD31" t="s">
        <v>38</v>
      </c>
      <c r="AE31" s="4">
        <f t="shared" si="4"/>
        <v>3163</v>
      </c>
      <c r="AF31">
        <f t="shared" si="1"/>
        <v>0</v>
      </c>
      <c r="AG31" s="4">
        <f t="shared" si="2"/>
        <v>3163</v>
      </c>
      <c r="AI31" t="s">
        <v>47</v>
      </c>
    </row>
    <row r="32" spans="1:35" x14ac:dyDescent="0.3">
      <c r="A32" t="s">
        <v>43</v>
      </c>
      <c r="B32" t="s">
        <v>43</v>
      </c>
      <c r="C32" t="s">
        <v>44</v>
      </c>
      <c r="E32">
        <v>30</v>
      </c>
      <c r="F32" s="6" t="s">
        <v>102</v>
      </c>
      <c r="G32" s="6" t="s">
        <v>67</v>
      </c>
      <c r="H32" s="9">
        <v>45726</v>
      </c>
      <c r="I32" s="2">
        <v>45848</v>
      </c>
      <c r="J32" s="6" t="s">
        <v>33</v>
      </c>
      <c r="K32" s="6" t="s">
        <v>34</v>
      </c>
      <c r="L32" s="6" t="s">
        <v>35</v>
      </c>
      <c r="M32" s="4">
        <f t="shared" si="3"/>
        <v>2664.74</v>
      </c>
      <c r="N32" s="4">
        <v>2664.74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>
        <v>0</v>
      </c>
      <c r="U32">
        <v>0</v>
      </c>
      <c r="W32">
        <v>0</v>
      </c>
      <c r="X32" t="s">
        <v>36</v>
      </c>
      <c r="AC32" t="s">
        <v>37</v>
      </c>
      <c r="AD32" t="s">
        <v>38</v>
      </c>
      <c r="AE32" s="4">
        <f t="shared" si="4"/>
        <v>2664.74</v>
      </c>
      <c r="AF32">
        <f t="shared" si="1"/>
        <v>0</v>
      </c>
      <c r="AG32" s="4">
        <f t="shared" si="2"/>
        <v>2664.74</v>
      </c>
      <c r="AI32" t="s">
        <v>47</v>
      </c>
    </row>
    <row r="33" spans="1:35" x14ac:dyDescent="0.3">
      <c r="A33" t="s">
        <v>43</v>
      </c>
      <c r="B33" t="s">
        <v>43</v>
      </c>
      <c r="C33" t="s">
        <v>44</v>
      </c>
      <c r="E33">
        <v>31</v>
      </c>
      <c r="F33" s="6" t="s">
        <v>103</v>
      </c>
      <c r="G33" s="6" t="s">
        <v>104</v>
      </c>
      <c r="H33" s="9">
        <v>45729</v>
      </c>
      <c r="I33" s="2">
        <v>45849</v>
      </c>
      <c r="J33" s="6" t="s">
        <v>33</v>
      </c>
      <c r="K33" s="6" t="s">
        <v>34</v>
      </c>
      <c r="L33" s="6" t="s">
        <v>35</v>
      </c>
      <c r="M33" s="4">
        <f t="shared" si="3"/>
        <v>5406</v>
      </c>
      <c r="N33" s="4">
        <v>5406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>
        <v>0</v>
      </c>
      <c r="U33">
        <v>0</v>
      </c>
      <c r="W33">
        <v>0</v>
      </c>
      <c r="X33" t="s">
        <v>36</v>
      </c>
      <c r="AC33" t="s">
        <v>37</v>
      </c>
      <c r="AD33" t="s">
        <v>38</v>
      </c>
      <c r="AE33" s="4">
        <f t="shared" si="4"/>
        <v>5406</v>
      </c>
      <c r="AF33">
        <f t="shared" si="1"/>
        <v>0</v>
      </c>
      <c r="AG33" s="4">
        <f t="shared" si="2"/>
        <v>5406</v>
      </c>
      <c r="AI33" t="s">
        <v>47</v>
      </c>
    </row>
    <row r="34" spans="1:35" x14ac:dyDescent="0.3">
      <c r="A34" t="s">
        <v>43</v>
      </c>
      <c r="B34" t="s">
        <v>43</v>
      </c>
      <c r="C34" t="s">
        <v>44</v>
      </c>
      <c r="D34" t="s">
        <v>73</v>
      </c>
      <c r="E34">
        <v>32</v>
      </c>
      <c r="F34" s="6" t="s">
        <v>199</v>
      </c>
      <c r="G34" s="6" t="s">
        <v>343</v>
      </c>
      <c r="H34" s="9">
        <v>45726</v>
      </c>
      <c r="I34" s="2">
        <v>45853</v>
      </c>
      <c r="J34" s="6" t="s">
        <v>33</v>
      </c>
      <c r="K34" s="6" t="s">
        <v>34</v>
      </c>
      <c r="L34" s="6" t="s">
        <v>35</v>
      </c>
      <c r="M34" s="4">
        <f t="shared" si="3"/>
        <v>9540</v>
      </c>
      <c r="N34" s="4">
        <v>9540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>
        <v>0</v>
      </c>
      <c r="U34">
        <v>0</v>
      </c>
      <c r="W34" t="s">
        <v>36</v>
      </c>
      <c r="X34" t="s">
        <v>36</v>
      </c>
      <c r="AC34" t="s">
        <v>37</v>
      </c>
      <c r="AD34" t="s">
        <v>38</v>
      </c>
      <c r="AE34" s="4">
        <f t="shared" si="4"/>
        <v>9540</v>
      </c>
      <c r="AF34">
        <f t="shared" si="1"/>
        <v>0</v>
      </c>
      <c r="AG34" s="4">
        <f t="shared" si="2"/>
        <v>9540</v>
      </c>
      <c r="AI34" t="s">
        <v>39</v>
      </c>
    </row>
    <row r="35" spans="1:35" x14ac:dyDescent="0.3">
      <c r="A35" t="s">
        <v>43</v>
      </c>
      <c r="B35" t="s">
        <v>43</v>
      </c>
      <c r="C35" t="s">
        <v>44</v>
      </c>
      <c r="E35">
        <v>33</v>
      </c>
      <c r="F35" s="6" t="s">
        <v>107</v>
      </c>
      <c r="G35" s="6" t="s">
        <v>108</v>
      </c>
      <c r="H35" s="9">
        <v>45728</v>
      </c>
      <c r="I35" s="2">
        <v>46034</v>
      </c>
      <c r="J35" s="6" t="s">
        <v>33</v>
      </c>
      <c r="K35" s="6" t="s">
        <v>34</v>
      </c>
      <c r="L35" s="6" t="s">
        <v>35</v>
      </c>
      <c r="M35" s="4">
        <f t="shared" si="3"/>
        <v>2664.74</v>
      </c>
      <c r="N35" s="4">
        <v>2664.74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>
        <v>0</v>
      </c>
      <c r="U35">
        <v>0</v>
      </c>
      <c r="W35">
        <v>0</v>
      </c>
      <c r="X35" t="s">
        <v>36</v>
      </c>
      <c r="AC35" t="s">
        <v>37</v>
      </c>
      <c r="AD35" t="s">
        <v>38</v>
      </c>
      <c r="AE35" s="4">
        <f t="shared" si="4"/>
        <v>2664.74</v>
      </c>
      <c r="AF35">
        <f t="shared" si="1"/>
        <v>0</v>
      </c>
      <c r="AG35" s="4">
        <f t="shared" si="2"/>
        <v>2664.74</v>
      </c>
      <c r="AI35" t="s">
        <v>47</v>
      </c>
    </row>
    <row r="36" spans="1:35" x14ac:dyDescent="0.3">
      <c r="A36" t="s">
        <v>43</v>
      </c>
      <c r="B36" t="s">
        <v>43</v>
      </c>
      <c r="C36" t="s">
        <v>44</v>
      </c>
      <c r="E36">
        <v>34</v>
      </c>
      <c r="F36" s="6" t="s">
        <v>109</v>
      </c>
      <c r="G36" s="6" t="s">
        <v>60</v>
      </c>
      <c r="H36" s="9">
        <v>45728</v>
      </c>
      <c r="I36" s="2">
        <v>45887</v>
      </c>
      <c r="J36" s="6" t="s">
        <v>33</v>
      </c>
      <c r="K36" s="6" t="s">
        <v>34</v>
      </c>
      <c r="L36" s="6" t="s">
        <v>35</v>
      </c>
      <c r="M36" s="4">
        <f t="shared" si="3"/>
        <v>2189.9699999999998</v>
      </c>
      <c r="N36" s="4">
        <v>2189.9699999999998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>
        <v>0</v>
      </c>
      <c r="U36">
        <v>0</v>
      </c>
      <c r="W36">
        <v>0</v>
      </c>
      <c r="X36" t="s">
        <v>36</v>
      </c>
      <c r="AC36" t="s">
        <v>37</v>
      </c>
      <c r="AD36" t="s">
        <v>38</v>
      </c>
      <c r="AE36" s="4">
        <f t="shared" si="4"/>
        <v>2189.9699999999998</v>
      </c>
      <c r="AF36">
        <f t="shared" si="1"/>
        <v>0</v>
      </c>
      <c r="AG36" s="4">
        <f t="shared" si="2"/>
        <v>2189.9699999999998</v>
      </c>
      <c r="AI36" t="s">
        <v>47</v>
      </c>
    </row>
    <row r="37" spans="1:35" x14ac:dyDescent="0.3">
      <c r="A37" t="s">
        <v>43</v>
      </c>
      <c r="B37" t="s">
        <v>43</v>
      </c>
      <c r="C37" t="s">
        <v>44</v>
      </c>
      <c r="D37" t="s">
        <v>222</v>
      </c>
      <c r="E37">
        <v>35</v>
      </c>
      <c r="F37" s="6" t="s">
        <v>310</v>
      </c>
      <c r="G37" s="6" t="s">
        <v>51</v>
      </c>
      <c r="H37" s="9">
        <v>45728</v>
      </c>
      <c r="J37" s="6" t="s">
        <v>52</v>
      </c>
      <c r="K37" s="6" t="s">
        <v>34</v>
      </c>
      <c r="L37" s="6" t="s">
        <v>35</v>
      </c>
      <c r="M37" s="4">
        <f t="shared" si="3"/>
        <v>10402.07</v>
      </c>
      <c r="N37" s="4">
        <v>4942.05</v>
      </c>
      <c r="O37" s="4">
        <v>3316.8600000000006</v>
      </c>
      <c r="P37" s="4">
        <v>742.79</v>
      </c>
      <c r="Q37" s="4">
        <v>1400.3700000000001</v>
      </c>
      <c r="R37" s="4">
        <v>1839.2637105000003</v>
      </c>
      <c r="S37" s="4">
        <v>1839.2637105000003</v>
      </c>
      <c r="T37">
        <v>874</v>
      </c>
      <c r="U37">
        <v>0</v>
      </c>
      <c r="W37" t="s">
        <v>36</v>
      </c>
      <c r="X37" t="s">
        <v>36</v>
      </c>
      <c r="Y37" s="6">
        <f>18000+13000</f>
        <v>31000</v>
      </c>
      <c r="AC37" t="s">
        <v>53</v>
      </c>
      <c r="AD37" t="s">
        <v>38</v>
      </c>
      <c r="AE37" s="4">
        <f t="shared" si="4"/>
        <v>11276.07</v>
      </c>
      <c r="AF37">
        <f t="shared" si="1"/>
        <v>31000</v>
      </c>
      <c r="AG37" s="4">
        <f t="shared" si="2"/>
        <v>42276.07</v>
      </c>
      <c r="AI37" t="s">
        <v>47</v>
      </c>
    </row>
    <row r="38" spans="1:35" x14ac:dyDescent="0.3">
      <c r="A38" t="s">
        <v>43</v>
      </c>
      <c r="B38" t="s">
        <v>43</v>
      </c>
      <c r="C38" t="s">
        <v>44</v>
      </c>
      <c r="E38">
        <v>36</v>
      </c>
      <c r="F38" s="6" t="s">
        <v>114</v>
      </c>
      <c r="G38" s="6" t="s">
        <v>60</v>
      </c>
      <c r="H38" s="9">
        <v>45728</v>
      </c>
      <c r="I38" s="2">
        <v>45757</v>
      </c>
      <c r="J38" s="6" t="s">
        <v>33</v>
      </c>
      <c r="K38" s="6" t="s">
        <v>34</v>
      </c>
      <c r="L38" s="6" t="s">
        <v>35</v>
      </c>
      <c r="M38" s="4">
        <f t="shared" si="3"/>
        <v>2066.0100000000002</v>
      </c>
      <c r="N38" s="4">
        <v>2066.0100000000002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>
        <v>0</v>
      </c>
      <c r="U38">
        <v>0</v>
      </c>
      <c r="W38">
        <v>0</v>
      </c>
      <c r="X38" t="s">
        <v>36</v>
      </c>
      <c r="AC38" t="s">
        <v>37</v>
      </c>
      <c r="AD38" t="s">
        <v>38</v>
      </c>
      <c r="AE38" s="4">
        <f t="shared" si="4"/>
        <v>2066.0100000000002</v>
      </c>
      <c r="AF38">
        <f t="shared" si="1"/>
        <v>0</v>
      </c>
      <c r="AG38" s="4">
        <f t="shared" si="2"/>
        <v>2066.0100000000002</v>
      </c>
      <c r="AI38" t="s">
        <v>47</v>
      </c>
    </row>
    <row r="39" spans="1:35" x14ac:dyDescent="0.3">
      <c r="A39" t="s">
        <v>43</v>
      </c>
      <c r="B39" t="s">
        <v>234</v>
      </c>
      <c r="C39" t="s">
        <v>44</v>
      </c>
      <c r="D39" t="s">
        <v>116</v>
      </c>
      <c r="E39">
        <v>37</v>
      </c>
      <c r="F39" s="6" t="s">
        <v>374</v>
      </c>
      <c r="G39" s="6" t="s">
        <v>108</v>
      </c>
      <c r="H39" s="9">
        <v>45728</v>
      </c>
      <c r="J39" s="6" t="s">
        <v>52</v>
      </c>
      <c r="K39" s="6" t="s">
        <v>34</v>
      </c>
      <c r="L39" s="6" t="s">
        <v>35</v>
      </c>
      <c r="M39" s="4">
        <f t="shared" si="3"/>
        <v>4833.9699999999993</v>
      </c>
      <c r="N39" s="4">
        <v>2801.97</v>
      </c>
      <c r="O39" s="4">
        <v>1125.56</v>
      </c>
      <c r="P39" s="4">
        <v>524.20000000000005</v>
      </c>
      <c r="Q39" s="4">
        <v>382.24</v>
      </c>
      <c r="R39" s="4">
        <v>905.91556500000013</v>
      </c>
      <c r="S39" s="4">
        <v>905.91556500000013</v>
      </c>
      <c r="T39">
        <v>988</v>
      </c>
      <c r="U39">
        <v>0</v>
      </c>
      <c r="W39" t="s">
        <v>36</v>
      </c>
      <c r="X39" t="s">
        <v>36</v>
      </c>
      <c r="AC39" t="s">
        <v>37</v>
      </c>
      <c r="AD39" t="s">
        <v>38</v>
      </c>
      <c r="AE39" s="4">
        <f t="shared" si="4"/>
        <v>5821.9699999999993</v>
      </c>
      <c r="AF39">
        <f t="shared" si="1"/>
        <v>0</v>
      </c>
      <c r="AG39" s="4">
        <f t="shared" si="2"/>
        <v>5821.9699999999993</v>
      </c>
      <c r="AI39" t="s">
        <v>47</v>
      </c>
    </row>
    <row r="40" spans="1:35" x14ac:dyDescent="0.3">
      <c r="A40" t="s">
        <v>43</v>
      </c>
      <c r="B40" t="s">
        <v>43</v>
      </c>
      <c r="C40" t="s">
        <v>44</v>
      </c>
      <c r="D40" t="s">
        <v>69</v>
      </c>
      <c r="E40">
        <v>38</v>
      </c>
      <c r="F40" s="6" t="s">
        <v>591</v>
      </c>
      <c r="G40" s="6" t="s">
        <v>136</v>
      </c>
      <c r="H40" s="9">
        <v>45729</v>
      </c>
      <c r="J40" s="6" t="s">
        <v>52</v>
      </c>
      <c r="K40" s="6" t="s">
        <v>34</v>
      </c>
      <c r="L40" s="6" t="s">
        <v>35</v>
      </c>
      <c r="M40" s="4">
        <f t="shared" si="3"/>
        <v>5963.3099999999995</v>
      </c>
      <c r="N40" s="4">
        <v>2801.97</v>
      </c>
      <c r="O40" s="4">
        <v>1300.0300000000002</v>
      </c>
      <c r="P40" s="4">
        <v>1458.04</v>
      </c>
      <c r="Q40" s="4">
        <v>403.27</v>
      </c>
      <c r="R40" s="4">
        <v>928.59232500000007</v>
      </c>
      <c r="S40" s="4">
        <v>928.59232500000007</v>
      </c>
      <c r="T40">
        <v>760</v>
      </c>
      <c r="U40">
        <v>0</v>
      </c>
      <c r="W40" t="s">
        <v>36</v>
      </c>
      <c r="X40" t="s">
        <v>36</v>
      </c>
      <c r="AC40" t="s">
        <v>37</v>
      </c>
      <c r="AD40" t="s">
        <v>38</v>
      </c>
      <c r="AE40" s="4">
        <f t="shared" si="4"/>
        <v>6723.3099999999995</v>
      </c>
      <c r="AF40">
        <f t="shared" si="1"/>
        <v>0</v>
      </c>
      <c r="AG40" s="4">
        <f t="shared" si="2"/>
        <v>6723.3099999999995</v>
      </c>
      <c r="AI40" t="s">
        <v>47</v>
      </c>
    </row>
    <row r="41" spans="1:35" x14ac:dyDescent="0.3">
      <c r="A41" t="s">
        <v>43</v>
      </c>
      <c r="B41" t="s">
        <v>43</v>
      </c>
      <c r="C41" t="s">
        <v>44</v>
      </c>
      <c r="E41">
        <v>39</v>
      </c>
      <c r="F41" s="6" t="s">
        <v>118</v>
      </c>
      <c r="G41" s="6" t="s">
        <v>67</v>
      </c>
      <c r="H41" s="9">
        <v>45730</v>
      </c>
      <c r="I41" s="2">
        <v>45887</v>
      </c>
      <c r="J41" s="6" t="s">
        <v>33</v>
      </c>
      <c r="K41" s="6" t="s">
        <v>34</v>
      </c>
      <c r="L41" s="6" t="s">
        <v>35</v>
      </c>
      <c r="M41" s="4">
        <f t="shared" si="3"/>
        <v>2664.74</v>
      </c>
      <c r="N41" s="4">
        <v>2664.74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>
        <v>0</v>
      </c>
      <c r="U41">
        <v>0</v>
      </c>
      <c r="W41">
        <v>0</v>
      </c>
      <c r="X41" t="s">
        <v>36</v>
      </c>
      <c r="AC41" t="s">
        <v>37</v>
      </c>
      <c r="AD41" t="s">
        <v>38</v>
      </c>
      <c r="AE41" s="4">
        <f t="shared" si="4"/>
        <v>2664.74</v>
      </c>
      <c r="AF41">
        <f t="shared" si="1"/>
        <v>0</v>
      </c>
      <c r="AG41" s="4">
        <f t="shared" si="2"/>
        <v>2664.74</v>
      </c>
      <c r="AI41" t="s">
        <v>47</v>
      </c>
    </row>
    <row r="42" spans="1:35" x14ac:dyDescent="0.3">
      <c r="A42" t="s">
        <v>43</v>
      </c>
      <c r="B42" t="s">
        <v>43</v>
      </c>
      <c r="C42" t="s">
        <v>44</v>
      </c>
      <c r="D42" t="s">
        <v>69</v>
      </c>
      <c r="E42">
        <v>40</v>
      </c>
      <c r="F42" s="6" t="s">
        <v>550</v>
      </c>
      <c r="G42" s="6" t="s">
        <v>106</v>
      </c>
      <c r="H42" s="9">
        <v>45730</v>
      </c>
      <c r="J42" s="6" t="s">
        <v>52</v>
      </c>
      <c r="K42" s="6" t="s">
        <v>34</v>
      </c>
      <c r="L42" s="6" t="s">
        <v>35</v>
      </c>
      <c r="M42" s="4">
        <f t="shared" si="3"/>
        <v>8789.7799999999988</v>
      </c>
      <c r="N42" s="4">
        <v>4681.28</v>
      </c>
      <c r="O42" s="4">
        <v>2477.11</v>
      </c>
      <c r="P42" s="4">
        <v>624.20000000000005</v>
      </c>
      <c r="Q42" s="4">
        <v>1007.1899999999999</v>
      </c>
      <c r="R42" s="4">
        <v>1585.9685006999998</v>
      </c>
      <c r="S42" s="4">
        <v>1585.9685006999998</v>
      </c>
      <c r="T42">
        <v>912</v>
      </c>
      <c r="U42">
        <v>0</v>
      </c>
      <c r="W42" t="s">
        <v>36</v>
      </c>
      <c r="X42" t="s">
        <v>36</v>
      </c>
      <c r="AC42" t="s">
        <v>53</v>
      </c>
      <c r="AD42" t="s">
        <v>38</v>
      </c>
      <c r="AE42" s="4">
        <f t="shared" si="4"/>
        <v>9701.7799999999988</v>
      </c>
      <c r="AF42">
        <f t="shared" si="1"/>
        <v>0</v>
      </c>
      <c r="AG42" s="4">
        <f t="shared" si="2"/>
        <v>9701.7799999999988</v>
      </c>
      <c r="AI42" t="s">
        <v>47</v>
      </c>
    </row>
    <row r="43" spans="1:35" x14ac:dyDescent="0.3">
      <c r="A43" t="s">
        <v>43</v>
      </c>
      <c r="B43" t="s">
        <v>43</v>
      </c>
      <c r="C43" t="s">
        <v>44</v>
      </c>
      <c r="E43">
        <v>41</v>
      </c>
      <c r="F43" s="6" t="s">
        <v>120</v>
      </c>
      <c r="G43" s="6" t="s">
        <v>121</v>
      </c>
      <c r="H43" s="9">
        <v>45730</v>
      </c>
      <c r="I43" s="2">
        <v>45819</v>
      </c>
      <c r="J43" s="6" t="s">
        <v>33</v>
      </c>
      <c r="K43" s="6" t="s">
        <v>34</v>
      </c>
      <c r="L43" s="6" t="s">
        <v>35</v>
      </c>
      <c r="M43" s="4">
        <f t="shared" si="3"/>
        <v>6148</v>
      </c>
      <c r="N43" s="4">
        <v>6148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>
        <v>0</v>
      </c>
      <c r="U43">
        <v>0</v>
      </c>
      <c r="W43">
        <v>0</v>
      </c>
      <c r="X43" t="s">
        <v>36</v>
      </c>
      <c r="AC43" t="s">
        <v>37</v>
      </c>
      <c r="AD43" t="s">
        <v>38</v>
      </c>
      <c r="AE43" s="4">
        <f t="shared" si="4"/>
        <v>6148</v>
      </c>
      <c r="AF43">
        <f t="shared" si="1"/>
        <v>0</v>
      </c>
      <c r="AG43" s="4">
        <f t="shared" si="2"/>
        <v>6148</v>
      </c>
      <c r="AI43" t="s">
        <v>47</v>
      </c>
    </row>
    <row r="44" spans="1:35" x14ac:dyDescent="0.3">
      <c r="A44" t="s">
        <v>43</v>
      </c>
      <c r="B44" t="s">
        <v>43</v>
      </c>
      <c r="C44" t="s">
        <v>44</v>
      </c>
      <c r="E44">
        <v>42</v>
      </c>
      <c r="F44" s="6" t="s">
        <v>122</v>
      </c>
      <c r="G44" s="6" t="s">
        <v>60</v>
      </c>
      <c r="H44" s="9">
        <v>45733</v>
      </c>
      <c r="I44" s="2">
        <v>45919</v>
      </c>
      <c r="J44" s="6" t="s">
        <v>33</v>
      </c>
      <c r="K44" s="6" t="s">
        <v>34</v>
      </c>
      <c r="L44" s="6" t="s">
        <v>35</v>
      </c>
      <c r="M44" s="4">
        <f t="shared" si="3"/>
        <v>2189.9699999999998</v>
      </c>
      <c r="N44" s="4">
        <v>2189.9699999999998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>
        <v>0</v>
      </c>
      <c r="U44">
        <v>0</v>
      </c>
      <c r="W44">
        <v>0</v>
      </c>
      <c r="X44" t="s">
        <v>36</v>
      </c>
      <c r="AC44" t="s">
        <v>37</v>
      </c>
      <c r="AD44" t="s">
        <v>38</v>
      </c>
      <c r="AE44" s="4">
        <f t="shared" si="4"/>
        <v>2189.9699999999998</v>
      </c>
      <c r="AF44">
        <f t="shared" si="1"/>
        <v>0</v>
      </c>
      <c r="AG44" s="4">
        <f t="shared" si="2"/>
        <v>2189.9699999999998</v>
      </c>
      <c r="AI44" t="s">
        <v>47</v>
      </c>
    </row>
    <row r="45" spans="1:35" x14ac:dyDescent="0.3">
      <c r="A45" t="s">
        <v>43</v>
      </c>
      <c r="B45" t="s">
        <v>43</v>
      </c>
      <c r="C45" t="s">
        <v>44</v>
      </c>
      <c r="D45" t="s">
        <v>81</v>
      </c>
      <c r="E45">
        <v>43</v>
      </c>
      <c r="F45" s="6" t="s">
        <v>263</v>
      </c>
      <c r="G45" s="6" t="s">
        <v>51</v>
      </c>
      <c r="H45" s="9">
        <v>45733</v>
      </c>
      <c r="J45" s="6" t="s">
        <v>52</v>
      </c>
      <c r="K45" s="6" t="s">
        <v>34</v>
      </c>
      <c r="L45" s="6" t="s">
        <v>35</v>
      </c>
      <c r="M45" s="4">
        <f t="shared" si="3"/>
        <v>8824.8700000000008</v>
      </c>
      <c r="N45" s="4">
        <v>4942.05</v>
      </c>
      <c r="O45" s="4">
        <v>2141.88</v>
      </c>
      <c r="P45" s="4">
        <v>724.2</v>
      </c>
      <c r="Q45" s="4">
        <v>1016.74</v>
      </c>
      <c r="R45" s="4">
        <v>1588.6498176000002</v>
      </c>
      <c r="S45" s="4">
        <v>1588.6498176000002</v>
      </c>
      <c r="T45">
        <v>950</v>
      </c>
      <c r="U45">
        <v>0</v>
      </c>
      <c r="W45" t="s">
        <v>36</v>
      </c>
      <c r="X45" t="s">
        <v>36</v>
      </c>
      <c r="Y45" s="6">
        <v>15000</v>
      </c>
      <c r="AC45" t="s">
        <v>53</v>
      </c>
      <c r="AD45" t="s">
        <v>38</v>
      </c>
      <c r="AE45" s="4">
        <f t="shared" si="4"/>
        <v>9774.8700000000008</v>
      </c>
      <c r="AF45">
        <f t="shared" si="1"/>
        <v>15000</v>
      </c>
      <c r="AG45" s="4">
        <f t="shared" si="2"/>
        <v>24774.870000000003</v>
      </c>
      <c r="AI45" t="s">
        <v>47</v>
      </c>
    </row>
    <row r="46" spans="1:35" x14ac:dyDescent="0.3">
      <c r="A46" t="s">
        <v>43</v>
      </c>
      <c r="B46" t="s">
        <v>43</v>
      </c>
      <c r="C46" t="s">
        <v>44</v>
      </c>
      <c r="E46">
        <v>44</v>
      </c>
      <c r="F46" s="6" t="s">
        <v>123</v>
      </c>
      <c r="G46" s="6" t="s">
        <v>111</v>
      </c>
      <c r="H46" s="9">
        <v>45733</v>
      </c>
      <c r="I46" s="2">
        <v>45887</v>
      </c>
      <c r="J46" s="6" t="s">
        <v>33</v>
      </c>
      <c r="K46" s="6" t="s">
        <v>34</v>
      </c>
      <c r="L46" s="6" t="s">
        <v>35</v>
      </c>
      <c r="M46" s="4">
        <f t="shared" si="3"/>
        <v>3192.39</v>
      </c>
      <c r="N46" s="4">
        <v>3192.39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>
        <v>0</v>
      </c>
      <c r="U46">
        <v>0</v>
      </c>
      <c r="W46">
        <v>0</v>
      </c>
      <c r="X46" t="s">
        <v>36</v>
      </c>
      <c r="AC46" t="s">
        <v>37</v>
      </c>
      <c r="AD46" t="s">
        <v>38</v>
      </c>
      <c r="AE46" s="4">
        <f t="shared" si="4"/>
        <v>3192.39</v>
      </c>
      <c r="AF46">
        <f t="shared" si="1"/>
        <v>0</v>
      </c>
      <c r="AG46" s="4">
        <f t="shared" si="2"/>
        <v>3192.39</v>
      </c>
      <c r="AI46" t="s">
        <v>47</v>
      </c>
    </row>
    <row r="47" spans="1:35" x14ac:dyDescent="0.3">
      <c r="A47" t="s">
        <v>43</v>
      </c>
      <c r="B47" t="s">
        <v>43</v>
      </c>
      <c r="C47" t="s">
        <v>44</v>
      </c>
      <c r="E47">
        <v>45</v>
      </c>
      <c r="F47" s="6" t="s">
        <v>124</v>
      </c>
      <c r="G47" s="6" t="s">
        <v>111</v>
      </c>
      <c r="H47" s="9">
        <v>45733</v>
      </c>
      <c r="I47" s="2">
        <v>45883</v>
      </c>
      <c r="J47" s="6" t="s">
        <v>33</v>
      </c>
      <c r="K47" s="6" t="s">
        <v>34</v>
      </c>
      <c r="L47" s="6" t="s">
        <v>35</v>
      </c>
      <c r="M47" s="4">
        <f t="shared" si="3"/>
        <v>3192.39</v>
      </c>
      <c r="N47" s="4">
        <v>3192.39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>
        <v>0</v>
      </c>
      <c r="U47">
        <v>0</v>
      </c>
      <c r="W47">
        <v>0</v>
      </c>
      <c r="X47" t="s">
        <v>36</v>
      </c>
      <c r="AC47" t="s">
        <v>37</v>
      </c>
      <c r="AD47" t="s">
        <v>38</v>
      </c>
      <c r="AE47" s="4">
        <f t="shared" si="4"/>
        <v>3192.39</v>
      </c>
      <c r="AF47">
        <f t="shared" si="1"/>
        <v>0</v>
      </c>
      <c r="AG47" s="4">
        <f t="shared" si="2"/>
        <v>3192.39</v>
      </c>
      <c r="AI47" t="s">
        <v>47</v>
      </c>
    </row>
    <row r="48" spans="1:35" x14ac:dyDescent="0.3">
      <c r="A48" t="s">
        <v>43</v>
      </c>
      <c r="B48" t="s">
        <v>43</v>
      </c>
      <c r="C48" t="s">
        <v>44</v>
      </c>
      <c r="E48">
        <v>46</v>
      </c>
      <c r="F48" s="6" t="s">
        <v>125</v>
      </c>
      <c r="G48" s="6" t="s">
        <v>96</v>
      </c>
      <c r="H48" s="9">
        <v>45748</v>
      </c>
      <c r="I48" s="2">
        <v>45994</v>
      </c>
      <c r="J48" s="6" t="s">
        <v>33</v>
      </c>
      <c r="K48" s="6" t="s">
        <v>34</v>
      </c>
      <c r="L48" s="6" t="s">
        <v>35</v>
      </c>
      <c r="M48" s="4">
        <f t="shared" si="3"/>
        <v>3353.12</v>
      </c>
      <c r="N48" s="4">
        <v>3353.12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>
        <v>0</v>
      </c>
      <c r="U48">
        <v>0</v>
      </c>
      <c r="W48">
        <v>0</v>
      </c>
      <c r="X48" t="s">
        <v>36</v>
      </c>
      <c r="AC48" t="s">
        <v>37</v>
      </c>
      <c r="AD48" t="s">
        <v>38</v>
      </c>
      <c r="AE48" s="4">
        <f t="shared" si="4"/>
        <v>3353.12</v>
      </c>
      <c r="AF48">
        <f t="shared" si="1"/>
        <v>0</v>
      </c>
      <c r="AG48" s="4">
        <f t="shared" si="2"/>
        <v>3353.12</v>
      </c>
      <c r="AI48" t="s">
        <v>47</v>
      </c>
    </row>
    <row r="49" spans="1:35" x14ac:dyDescent="0.3">
      <c r="A49" t="s">
        <v>43</v>
      </c>
      <c r="B49" t="s">
        <v>43</v>
      </c>
      <c r="C49" t="s">
        <v>44</v>
      </c>
      <c r="E49">
        <v>47</v>
      </c>
      <c r="F49" s="6" t="s">
        <v>126</v>
      </c>
      <c r="G49" s="6" t="s">
        <v>67</v>
      </c>
      <c r="H49" s="9">
        <v>45748</v>
      </c>
      <c r="I49" s="2">
        <v>45975</v>
      </c>
      <c r="J49" s="6" t="s">
        <v>33</v>
      </c>
      <c r="K49" s="6" t="s">
        <v>34</v>
      </c>
      <c r="L49" s="6" t="s">
        <v>35</v>
      </c>
      <c r="M49" s="4">
        <f t="shared" si="3"/>
        <v>2664.74</v>
      </c>
      <c r="N49" s="4">
        <v>2664.74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>
        <v>0</v>
      </c>
      <c r="U49">
        <v>0</v>
      </c>
      <c r="W49">
        <v>0</v>
      </c>
      <c r="X49" t="s">
        <v>36</v>
      </c>
      <c r="AC49" t="s">
        <v>37</v>
      </c>
      <c r="AD49" t="s">
        <v>38</v>
      </c>
      <c r="AE49" s="4">
        <f t="shared" si="4"/>
        <v>2664.74</v>
      </c>
      <c r="AF49">
        <f t="shared" si="1"/>
        <v>0</v>
      </c>
      <c r="AG49" s="4">
        <f t="shared" si="2"/>
        <v>2664.74</v>
      </c>
      <c r="AI49" t="s">
        <v>47</v>
      </c>
    </row>
    <row r="50" spans="1:35" x14ac:dyDescent="0.3">
      <c r="A50" t="s">
        <v>77</v>
      </c>
      <c r="B50" t="s">
        <v>148</v>
      </c>
      <c r="C50" t="s">
        <v>30</v>
      </c>
      <c r="D50" t="s">
        <v>149</v>
      </c>
      <c r="E50">
        <v>48</v>
      </c>
      <c r="F50" s="6" t="s">
        <v>562</v>
      </c>
      <c r="G50" s="6" t="s">
        <v>140</v>
      </c>
      <c r="H50" s="9">
        <v>45748</v>
      </c>
      <c r="J50" s="6" t="s">
        <v>52</v>
      </c>
      <c r="K50" s="6" t="s">
        <v>34</v>
      </c>
      <c r="L50" s="6" t="s">
        <v>35</v>
      </c>
      <c r="M50" s="4">
        <f t="shared" si="3"/>
        <v>9030.85</v>
      </c>
      <c r="N50" s="4">
        <v>5572.95</v>
      </c>
      <c r="O50" s="4">
        <v>1974.12</v>
      </c>
      <c r="P50" s="4">
        <v>480</v>
      </c>
      <c r="Q50" s="4">
        <v>1003.78</v>
      </c>
      <c r="R50" s="4">
        <v>1628.1325764000001</v>
      </c>
      <c r="S50" s="4">
        <v>1628.1325764000001</v>
      </c>
      <c r="T50">
        <v>988</v>
      </c>
      <c r="U50">
        <v>2000</v>
      </c>
      <c r="V50">
        <v>1000</v>
      </c>
      <c r="W50" t="s">
        <v>563</v>
      </c>
      <c r="X50" t="s">
        <v>564</v>
      </c>
      <c r="AC50" t="s">
        <v>37</v>
      </c>
      <c r="AD50" t="s">
        <v>38</v>
      </c>
      <c r="AE50" s="4">
        <f t="shared" si="4"/>
        <v>11018.85</v>
      </c>
      <c r="AF50">
        <f t="shared" si="1"/>
        <v>2000</v>
      </c>
      <c r="AG50" s="4">
        <f t="shared" si="2"/>
        <v>13018.85</v>
      </c>
      <c r="AI50" t="s">
        <v>47</v>
      </c>
    </row>
    <row r="51" spans="1:35" x14ac:dyDescent="0.3">
      <c r="A51" t="s">
        <v>43</v>
      </c>
      <c r="B51" t="s">
        <v>43</v>
      </c>
      <c r="C51" t="s">
        <v>44</v>
      </c>
      <c r="E51">
        <v>49</v>
      </c>
      <c r="F51" s="6" t="s">
        <v>130</v>
      </c>
      <c r="G51" s="6" t="s">
        <v>108</v>
      </c>
      <c r="H51" s="9">
        <v>45748</v>
      </c>
      <c r="I51" s="2">
        <v>45833</v>
      </c>
      <c r="J51" s="6" t="s">
        <v>33</v>
      </c>
      <c r="K51" s="6" t="s">
        <v>34</v>
      </c>
      <c r="L51" s="6" t="s">
        <v>35</v>
      </c>
      <c r="M51" s="4">
        <f t="shared" si="3"/>
        <v>2664.74</v>
      </c>
      <c r="N51" s="4">
        <v>2664.74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>
        <v>0</v>
      </c>
      <c r="U51">
        <v>0</v>
      </c>
      <c r="W51">
        <v>0</v>
      </c>
      <c r="X51" t="s">
        <v>36</v>
      </c>
      <c r="AC51" t="s">
        <v>37</v>
      </c>
      <c r="AD51" t="s">
        <v>38</v>
      </c>
      <c r="AE51" s="4">
        <f t="shared" si="4"/>
        <v>2664.74</v>
      </c>
      <c r="AF51">
        <f t="shared" si="1"/>
        <v>0</v>
      </c>
      <c r="AG51" s="4">
        <f t="shared" si="2"/>
        <v>2664.74</v>
      </c>
      <c r="AI51" t="s">
        <v>47</v>
      </c>
    </row>
    <row r="52" spans="1:35" x14ac:dyDescent="0.3">
      <c r="A52" t="s">
        <v>43</v>
      </c>
      <c r="B52" t="s">
        <v>43</v>
      </c>
      <c r="C52" t="s">
        <v>44</v>
      </c>
      <c r="E52">
        <v>50</v>
      </c>
      <c r="F52" s="6" t="s">
        <v>131</v>
      </c>
      <c r="G52" s="6" t="s">
        <v>32</v>
      </c>
      <c r="H52" s="9">
        <v>45748</v>
      </c>
      <c r="I52" s="2">
        <v>45978</v>
      </c>
      <c r="J52" s="6" t="s">
        <v>33</v>
      </c>
      <c r="K52" s="6" t="s">
        <v>34</v>
      </c>
      <c r="L52" s="6" t="s">
        <v>35</v>
      </c>
      <c r="M52" s="4">
        <f t="shared" si="3"/>
        <v>3039.02</v>
      </c>
      <c r="N52" s="4">
        <v>3039.02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>
        <v>0</v>
      </c>
      <c r="U52">
        <v>0</v>
      </c>
      <c r="W52" t="s">
        <v>36</v>
      </c>
      <c r="X52" t="s">
        <v>36</v>
      </c>
      <c r="AC52" t="s">
        <v>37</v>
      </c>
      <c r="AD52" t="s">
        <v>38</v>
      </c>
      <c r="AE52" s="4">
        <f t="shared" si="4"/>
        <v>3039.02</v>
      </c>
      <c r="AF52">
        <f t="shared" si="1"/>
        <v>0</v>
      </c>
      <c r="AG52" s="4">
        <f t="shared" si="2"/>
        <v>3039.02</v>
      </c>
      <c r="AI52" t="s">
        <v>39</v>
      </c>
    </row>
    <row r="53" spans="1:35" x14ac:dyDescent="0.3">
      <c r="A53" t="s">
        <v>43</v>
      </c>
      <c r="B53" t="s">
        <v>544</v>
      </c>
      <c r="C53" t="s">
        <v>44</v>
      </c>
      <c r="E53">
        <v>51</v>
      </c>
      <c r="F53" s="6" t="s">
        <v>545</v>
      </c>
      <c r="G53" s="6" t="s">
        <v>111</v>
      </c>
      <c r="H53" s="9">
        <v>45748</v>
      </c>
      <c r="J53" s="6" t="s">
        <v>33</v>
      </c>
      <c r="K53" s="6" t="s">
        <v>34</v>
      </c>
      <c r="L53" s="6" t="s">
        <v>35</v>
      </c>
      <c r="M53" s="4">
        <f t="shared" si="3"/>
        <v>4069.8099999999995</v>
      </c>
      <c r="N53" s="4">
        <v>3192.39</v>
      </c>
      <c r="O53" s="4">
        <v>452.22</v>
      </c>
      <c r="P53" s="4">
        <v>100</v>
      </c>
      <c r="Q53" s="4">
        <v>325.2</v>
      </c>
      <c r="R53" s="4">
        <v>786.25576169999999</v>
      </c>
      <c r="S53" s="4">
        <v>786.25576169999999</v>
      </c>
      <c r="T53">
        <v>0</v>
      </c>
      <c r="U53">
        <v>0</v>
      </c>
      <c r="W53" t="s">
        <v>36</v>
      </c>
      <c r="X53" t="s">
        <v>36</v>
      </c>
      <c r="AC53" t="s">
        <v>113</v>
      </c>
      <c r="AD53" t="s">
        <v>38</v>
      </c>
      <c r="AE53" s="4">
        <f t="shared" si="4"/>
        <v>4069.8099999999995</v>
      </c>
      <c r="AF53">
        <f t="shared" si="1"/>
        <v>0</v>
      </c>
      <c r="AG53" s="4">
        <f t="shared" si="2"/>
        <v>4069.8099999999995</v>
      </c>
      <c r="AI53" t="s">
        <v>47</v>
      </c>
    </row>
    <row r="54" spans="1:35" x14ac:dyDescent="0.3">
      <c r="A54" t="s">
        <v>43</v>
      </c>
      <c r="B54" t="s">
        <v>43</v>
      </c>
      <c r="C54" t="s">
        <v>44</v>
      </c>
      <c r="E54">
        <v>52</v>
      </c>
      <c r="F54" s="6" t="s">
        <v>134</v>
      </c>
      <c r="G54" s="6" t="s">
        <v>108</v>
      </c>
      <c r="H54" s="9">
        <v>45749</v>
      </c>
      <c r="I54" s="2">
        <v>45812</v>
      </c>
      <c r="J54" s="6" t="s">
        <v>33</v>
      </c>
      <c r="K54" s="6" t="s">
        <v>34</v>
      </c>
      <c r="L54" s="6" t="s">
        <v>35</v>
      </c>
      <c r="M54" s="4">
        <f t="shared" si="3"/>
        <v>2664.74</v>
      </c>
      <c r="N54" s="4">
        <v>2664.74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>
        <v>0</v>
      </c>
      <c r="U54">
        <v>0</v>
      </c>
      <c r="W54">
        <v>0</v>
      </c>
      <c r="X54" t="s">
        <v>36</v>
      </c>
      <c r="AC54" t="s">
        <v>37</v>
      </c>
      <c r="AD54" t="s">
        <v>38</v>
      </c>
      <c r="AE54" s="4">
        <f t="shared" si="4"/>
        <v>2664.74</v>
      </c>
      <c r="AF54">
        <f t="shared" si="1"/>
        <v>0</v>
      </c>
      <c r="AG54" s="4">
        <f t="shared" si="2"/>
        <v>2664.74</v>
      </c>
      <c r="AI54" t="s">
        <v>47</v>
      </c>
    </row>
    <row r="55" spans="1:35" x14ac:dyDescent="0.3">
      <c r="A55" t="s">
        <v>43</v>
      </c>
      <c r="B55" t="s">
        <v>43</v>
      </c>
      <c r="C55" t="s">
        <v>44</v>
      </c>
      <c r="D55" t="s">
        <v>54</v>
      </c>
      <c r="E55">
        <v>53</v>
      </c>
      <c r="F55" s="6" t="s">
        <v>534</v>
      </c>
      <c r="G55" s="6" t="s">
        <v>56</v>
      </c>
      <c r="H55" s="9">
        <v>45763</v>
      </c>
      <c r="J55" s="6" t="s">
        <v>52</v>
      </c>
      <c r="K55" s="6" t="s">
        <v>34</v>
      </c>
      <c r="L55" s="6" t="s">
        <v>35</v>
      </c>
      <c r="M55" s="4">
        <f t="shared" si="3"/>
        <v>10122.14</v>
      </c>
      <c r="N55" s="4">
        <v>5377.9</v>
      </c>
      <c r="O55" s="4">
        <v>2827.25</v>
      </c>
      <c r="P55" s="4">
        <v>600</v>
      </c>
      <c r="Q55" s="4">
        <v>1316.99</v>
      </c>
      <c r="R55" s="4">
        <v>1757.7155619000002</v>
      </c>
      <c r="S55" s="4">
        <v>1757.7155619000002</v>
      </c>
      <c r="T55">
        <v>912</v>
      </c>
      <c r="U55">
        <v>0</v>
      </c>
      <c r="W55" t="s">
        <v>36</v>
      </c>
      <c r="X55" t="s">
        <v>36</v>
      </c>
      <c r="AC55" t="s">
        <v>37</v>
      </c>
      <c r="AD55" t="s">
        <v>38</v>
      </c>
      <c r="AE55" s="4">
        <f t="shared" si="4"/>
        <v>11034.14</v>
      </c>
      <c r="AF55">
        <f t="shared" si="1"/>
        <v>0</v>
      </c>
      <c r="AG55" s="4">
        <f t="shared" si="2"/>
        <v>11034.14</v>
      </c>
      <c r="AI55" t="s">
        <v>47</v>
      </c>
    </row>
    <row r="56" spans="1:35" x14ac:dyDescent="0.3">
      <c r="A56" t="s">
        <v>43</v>
      </c>
      <c r="B56" t="s">
        <v>340</v>
      </c>
      <c r="C56" t="s">
        <v>44</v>
      </c>
      <c r="D56" t="s">
        <v>341</v>
      </c>
      <c r="E56">
        <v>54</v>
      </c>
      <c r="F56" s="6" t="s">
        <v>342</v>
      </c>
      <c r="G56" s="6" t="s">
        <v>111</v>
      </c>
      <c r="H56" s="9">
        <v>45782</v>
      </c>
      <c r="J56" s="6" t="s">
        <v>52</v>
      </c>
      <c r="K56" s="6" t="s">
        <v>34</v>
      </c>
      <c r="L56" s="6" t="s">
        <v>35</v>
      </c>
      <c r="M56" s="4">
        <f t="shared" si="3"/>
        <v>6152.6900000000005</v>
      </c>
      <c r="N56" s="4">
        <v>3356.8</v>
      </c>
      <c r="O56" s="4">
        <v>1132.3699999999999</v>
      </c>
      <c r="P56" s="4">
        <v>1264.8</v>
      </c>
      <c r="Q56" s="4">
        <v>398.72</v>
      </c>
      <c r="R56" s="4">
        <v>971.06085720000021</v>
      </c>
      <c r="S56" s="4">
        <v>971.06085720000021</v>
      </c>
      <c r="T56">
        <v>912</v>
      </c>
      <c r="U56">
        <v>0</v>
      </c>
      <c r="W56" t="s">
        <v>36</v>
      </c>
      <c r="X56" t="s">
        <v>36</v>
      </c>
      <c r="Y56" s="6">
        <v>4500</v>
      </c>
      <c r="AC56" t="s">
        <v>37</v>
      </c>
      <c r="AD56" t="s">
        <v>38</v>
      </c>
      <c r="AE56" s="4">
        <f t="shared" si="4"/>
        <v>7064.6900000000005</v>
      </c>
      <c r="AF56">
        <f t="shared" si="1"/>
        <v>4500</v>
      </c>
      <c r="AG56" s="4">
        <f t="shared" si="2"/>
        <v>11564.69</v>
      </c>
      <c r="AI56" t="s">
        <v>47</v>
      </c>
    </row>
    <row r="57" spans="1:35" x14ac:dyDescent="0.3">
      <c r="A57" t="s">
        <v>43</v>
      </c>
      <c r="B57" t="s">
        <v>43</v>
      </c>
      <c r="C57" t="s">
        <v>44</v>
      </c>
      <c r="D57" t="s">
        <v>54</v>
      </c>
      <c r="E57">
        <v>55</v>
      </c>
      <c r="F57" s="6" t="s">
        <v>346</v>
      </c>
      <c r="G57" s="6" t="s">
        <v>86</v>
      </c>
      <c r="H57" s="9">
        <v>45785</v>
      </c>
      <c r="J57" s="6" t="s">
        <v>52</v>
      </c>
      <c r="K57" s="6" t="s">
        <v>34</v>
      </c>
      <c r="L57" s="6" t="s">
        <v>35</v>
      </c>
      <c r="M57" s="4">
        <f t="shared" si="3"/>
        <v>18851.39</v>
      </c>
      <c r="N57" s="4">
        <v>7244.84</v>
      </c>
      <c r="O57" s="4">
        <v>6986.48</v>
      </c>
      <c r="P57" s="4">
        <v>1502.25</v>
      </c>
      <c r="Q57" s="4">
        <v>3117.82</v>
      </c>
      <c r="R57" s="4">
        <v>3229.0719380999999</v>
      </c>
      <c r="S57" s="4">
        <v>3229.0719380999999</v>
      </c>
      <c r="T57">
        <v>950</v>
      </c>
      <c r="U57">
        <v>2000</v>
      </c>
      <c r="V57">
        <v>1000</v>
      </c>
      <c r="W57" t="s">
        <v>347</v>
      </c>
      <c r="X57" t="s">
        <v>348</v>
      </c>
      <c r="AC57" t="s">
        <v>37</v>
      </c>
      <c r="AD57" t="s">
        <v>38</v>
      </c>
      <c r="AE57" s="4">
        <f t="shared" si="4"/>
        <v>20801.39</v>
      </c>
      <c r="AF57">
        <f t="shared" si="1"/>
        <v>2000</v>
      </c>
      <c r="AG57" s="4">
        <f t="shared" si="2"/>
        <v>22801.39</v>
      </c>
      <c r="AI57" t="s">
        <v>47</v>
      </c>
    </row>
    <row r="58" spans="1:35" x14ac:dyDescent="0.3">
      <c r="A58" t="s">
        <v>77</v>
      </c>
      <c r="B58" t="s">
        <v>195</v>
      </c>
      <c r="C58" t="s">
        <v>30</v>
      </c>
      <c r="D58" t="s">
        <v>341</v>
      </c>
      <c r="E58">
        <v>56</v>
      </c>
      <c r="F58" s="6" t="s">
        <v>608</v>
      </c>
      <c r="G58" s="6" t="s">
        <v>609</v>
      </c>
      <c r="H58" s="9">
        <v>45782</v>
      </c>
      <c r="I58" s="2">
        <v>46127</v>
      </c>
      <c r="J58" s="6" t="s">
        <v>33</v>
      </c>
      <c r="K58" s="6" t="s">
        <v>34</v>
      </c>
      <c r="L58" s="6" t="s">
        <v>35</v>
      </c>
      <c r="M58" s="4">
        <f t="shared" si="3"/>
        <v>5300</v>
      </c>
      <c r="N58" s="4">
        <v>5300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>
        <v>0</v>
      </c>
      <c r="U58">
        <v>0</v>
      </c>
      <c r="W58">
        <v>0</v>
      </c>
      <c r="X58" t="s">
        <v>36</v>
      </c>
      <c r="AC58" t="s">
        <v>37</v>
      </c>
      <c r="AD58" t="s">
        <v>38</v>
      </c>
      <c r="AE58" s="4">
        <f t="shared" si="4"/>
        <v>5300</v>
      </c>
      <c r="AF58">
        <f t="shared" si="1"/>
        <v>0</v>
      </c>
      <c r="AG58" s="4">
        <f t="shared" si="2"/>
        <v>5300</v>
      </c>
      <c r="AI58" t="s">
        <v>39</v>
      </c>
    </row>
    <row r="59" spans="1:35" x14ac:dyDescent="0.3">
      <c r="A59" t="s">
        <v>77</v>
      </c>
      <c r="B59" t="s">
        <v>78</v>
      </c>
      <c r="C59" t="s">
        <v>30</v>
      </c>
      <c r="E59">
        <v>57</v>
      </c>
      <c r="F59" s="6" t="s">
        <v>605</v>
      </c>
      <c r="G59" s="6" t="s">
        <v>80</v>
      </c>
      <c r="H59" s="9">
        <v>45785</v>
      </c>
      <c r="J59" s="6" t="s">
        <v>52</v>
      </c>
      <c r="K59" s="6" t="s">
        <v>34</v>
      </c>
      <c r="L59" s="6" t="s">
        <v>35</v>
      </c>
      <c r="M59" s="4">
        <f t="shared" si="3"/>
        <v>8952.84</v>
      </c>
      <c r="N59" s="4">
        <v>5572.95</v>
      </c>
      <c r="O59" s="4">
        <v>1715.18</v>
      </c>
      <c r="P59" s="4">
        <v>800</v>
      </c>
      <c r="Q59" s="4">
        <v>864.71</v>
      </c>
      <c r="R59" s="4">
        <v>1640.9533446</v>
      </c>
      <c r="S59" s="4">
        <v>1640.9533446</v>
      </c>
      <c r="T59">
        <v>950</v>
      </c>
      <c r="U59">
        <v>2000</v>
      </c>
      <c r="V59">
        <v>1000</v>
      </c>
      <c r="W59" t="s">
        <v>606</v>
      </c>
      <c r="X59" t="s">
        <v>717</v>
      </c>
      <c r="AC59" t="s">
        <v>37</v>
      </c>
      <c r="AD59" t="s">
        <v>38</v>
      </c>
      <c r="AE59" s="4">
        <f t="shared" si="4"/>
        <v>10902.84</v>
      </c>
      <c r="AF59">
        <f t="shared" si="1"/>
        <v>2000</v>
      </c>
      <c r="AG59" s="4">
        <f t="shared" si="2"/>
        <v>12902.84</v>
      </c>
      <c r="AI59" t="s">
        <v>47</v>
      </c>
    </row>
    <row r="60" spans="1:35" x14ac:dyDescent="0.3">
      <c r="A60" t="s">
        <v>77</v>
      </c>
      <c r="B60" t="s">
        <v>78</v>
      </c>
      <c r="C60" t="s">
        <v>30</v>
      </c>
      <c r="E60">
        <v>58</v>
      </c>
      <c r="F60" s="6" t="s">
        <v>152</v>
      </c>
      <c r="G60" s="6" t="s">
        <v>80</v>
      </c>
      <c r="H60" s="9">
        <v>45785</v>
      </c>
      <c r="J60" s="6" t="s">
        <v>52</v>
      </c>
      <c r="K60" s="6" t="s">
        <v>34</v>
      </c>
      <c r="L60" s="6" t="s">
        <v>35</v>
      </c>
      <c r="M60" s="4">
        <f t="shared" si="3"/>
        <v>10935.369999999999</v>
      </c>
      <c r="N60" s="4">
        <v>5572.95</v>
      </c>
      <c r="O60" s="4">
        <v>3246.0800000000004</v>
      </c>
      <c r="P60" s="4">
        <v>508.96</v>
      </c>
      <c r="Q60" s="4">
        <v>1607.38</v>
      </c>
      <c r="R60" s="4">
        <v>1901.2867487999997</v>
      </c>
      <c r="S60" s="4">
        <v>1901.2867487999997</v>
      </c>
      <c r="T60">
        <v>988</v>
      </c>
      <c r="U60">
        <v>2000</v>
      </c>
      <c r="V60">
        <v>900</v>
      </c>
      <c r="W60" t="s">
        <v>153</v>
      </c>
      <c r="X60" t="s">
        <v>154</v>
      </c>
      <c r="AC60" t="s">
        <v>37</v>
      </c>
      <c r="AD60" t="s">
        <v>38</v>
      </c>
      <c r="AE60" s="4">
        <f t="shared" si="4"/>
        <v>12823.369999999999</v>
      </c>
      <c r="AF60">
        <f t="shared" si="1"/>
        <v>2000</v>
      </c>
      <c r="AG60" s="4">
        <f t="shared" si="2"/>
        <v>14823.369999999999</v>
      </c>
      <c r="AI60" t="s">
        <v>47</v>
      </c>
    </row>
    <row r="61" spans="1:35" x14ac:dyDescent="0.3">
      <c r="A61" t="s">
        <v>29</v>
      </c>
      <c r="B61" t="s">
        <v>29</v>
      </c>
      <c r="C61" t="s">
        <v>30</v>
      </c>
      <c r="E61">
        <v>59</v>
      </c>
      <c r="F61" s="6" t="s">
        <v>144</v>
      </c>
      <c r="G61" s="6" t="s">
        <v>145</v>
      </c>
      <c r="H61" s="9">
        <v>45792</v>
      </c>
      <c r="I61" s="2">
        <v>45839</v>
      </c>
      <c r="J61" s="6" t="s">
        <v>33</v>
      </c>
      <c r="K61" s="6" t="s">
        <v>34</v>
      </c>
      <c r="L61" s="6" t="s">
        <v>35</v>
      </c>
      <c r="M61" s="4">
        <f t="shared" si="3"/>
        <v>4521</v>
      </c>
      <c r="N61" s="4">
        <v>4521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>
        <v>0</v>
      </c>
      <c r="U61">
        <v>0</v>
      </c>
      <c r="W61">
        <v>0</v>
      </c>
      <c r="X61" t="s">
        <v>36</v>
      </c>
      <c r="AC61" t="s">
        <v>37</v>
      </c>
      <c r="AD61" t="s">
        <v>38</v>
      </c>
      <c r="AE61" s="4">
        <f t="shared" si="4"/>
        <v>4521</v>
      </c>
      <c r="AF61">
        <f t="shared" si="1"/>
        <v>0</v>
      </c>
      <c r="AG61" s="4">
        <f t="shared" si="2"/>
        <v>4521</v>
      </c>
      <c r="AI61" t="s">
        <v>39</v>
      </c>
    </row>
    <row r="62" spans="1:35" x14ac:dyDescent="0.3">
      <c r="A62" t="s">
        <v>43</v>
      </c>
      <c r="B62" t="s">
        <v>43</v>
      </c>
      <c r="C62" t="s">
        <v>44</v>
      </c>
      <c r="E62">
        <v>60</v>
      </c>
      <c r="F62" s="6" t="s">
        <v>146</v>
      </c>
      <c r="G62" s="6" t="s">
        <v>136</v>
      </c>
      <c r="H62" s="9">
        <v>45811</v>
      </c>
      <c r="I62" s="2">
        <v>45883</v>
      </c>
      <c r="J62" s="6" t="s">
        <v>33</v>
      </c>
      <c r="K62" s="6" t="s">
        <v>34</v>
      </c>
      <c r="L62" s="6" t="s">
        <v>35</v>
      </c>
      <c r="M62" s="4">
        <f t="shared" si="3"/>
        <v>2664.74</v>
      </c>
      <c r="N62" s="4">
        <v>2664.74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>
        <v>0</v>
      </c>
      <c r="U62">
        <v>0</v>
      </c>
      <c r="W62">
        <v>0</v>
      </c>
      <c r="X62" t="s">
        <v>36</v>
      </c>
      <c r="AC62" t="s">
        <v>37</v>
      </c>
      <c r="AD62" t="s">
        <v>38</v>
      </c>
      <c r="AE62" s="4">
        <f t="shared" si="4"/>
        <v>2664.74</v>
      </c>
      <c r="AF62">
        <f t="shared" si="1"/>
        <v>0</v>
      </c>
      <c r="AG62" s="4">
        <f t="shared" si="2"/>
        <v>2664.74</v>
      </c>
      <c r="AI62" t="s">
        <v>47</v>
      </c>
    </row>
    <row r="63" spans="1:35" x14ac:dyDescent="0.3">
      <c r="A63" t="s">
        <v>43</v>
      </c>
      <c r="B63" t="s">
        <v>43</v>
      </c>
      <c r="C63" t="s">
        <v>44</v>
      </c>
      <c r="E63">
        <v>61</v>
      </c>
      <c r="F63" s="6" t="s">
        <v>147</v>
      </c>
      <c r="G63" s="6" t="s">
        <v>65</v>
      </c>
      <c r="H63" s="9">
        <v>45811</v>
      </c>
      <c r="I63" s="2">
        <v>46034</v>
      </c>
      <c r="J63" s="6" t="s">
        <v>33</v>
      </c>
      <c r="K63" s="6" t="s">
        <v>34</v>
      </c>
      <c r="L63" s="6" t="s">
        <v>35</v>
      </c>
      <c r="M63" s="4">
        <f t="shared" si="3"/>
        <v>2189.9699999999998</v>
      </c>
      <c r="N63" s="4">
        <v>2189.9699999999998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>
        <v>0</v>
      </c>
      <c r="U63">
        <v>0</v>
      </c>
      <c r="W63">
        <v>0</v>
      </c>
      <c r="X63" t="s">
        <v>36</v>
      </c>
      <c r="AC63" t="s">
        <v>37</v>
      </c>
      <c r="AD63" t="s">
        <v>38</v>
      </c>
      <c r="AE63" s="4">
        <f t="shared" si="4"/>
        <v>2189.9699999999998</v>
      </c>
      <c r="AF63">
        <f t="shared" si="1"/>
        <v>0</v>
      </c>
      <c r="AG63" s="4">
        <f t="shared" si="2"/>
        <v>2189.9699999999998</v>
      </c>
      <c r="AI63" t="s">
        <v>47</v>
      </c>
    </row>
    <row r="64" spans="1:35" x14ac:dyDescent="0.3">
      <c r="A64" t="s">
        <v>43</v>
      </c>
      <c r="B64" t="s">
        <v>438</v>
      </c>
      <c r="C64" t="s">
        <v>44</v>
      </c>
      <c r="E64">
        <v>62</v>
      </c>
      <c r="F64" s="6" t="s">
        <v>439</v>
      </c>
      <c r="G64" s="6" t="s">
        <v>175</v>
      </c>
      <c r="H64" s="9">
        <v>45811</v>
      </c>
      <c r="J64" s="6" t="s">
        <v>112</v>
      </c>
      <c r="K64" s="6" t="s">
        <v>34</v>
      </c>
      <c r="L64" s="6" t="s">
        <v>35</v>
      </c>
      <c r="M64" s="4">
        <f t="shared" si="3"/>
        <v>3356.7980849999999</v>
      </c>
      <c r="N64" s="4">
        <v>3356.7980849999999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>
        <v>836</v>
      </c>
      <c r="U64">
        <v>0</v>
      </c>
      <c r="W64" t="s">
        <v>36</v>
      </c>
      <c r="X64" t="s">
        <v>36</v>
      </c>
      <c r="AC64" t="s">
        <v>113</v>
      </c>
      <c r="AD64" t="s">
        <v>38</v>
      </c>
      <c r="AE64" s="4">
        <f t="shared" si="4"/>
        <v>4192.7980850000004</v>
      </c>
      <c r="AF64">
        <f t="shared" si="1"/>
        <v>0</v>
      </c>
      <c r="AG64" s="4">
        <f t="shared" si="2"/>
        <v>4192.7980850000004</v>
      </c>
      <c r="AI64" t="s">
        <v>47</v>
      </c>
    </row>
    <row r="65" spans="1:35" x14ac:dyDescent="0.3">
      <c r="A65" t="s">
        <v>29</v>
      </c>
      <c r="B65" t="s">
        <v>748</v>
      </c>
      <c r="C65" t="s">
        <v>30</v>
      </c>
      <c r="D65" t="s">
        <v>73</v>
      </c>
      <c r="E65">
        <v>63</v>
      </c>
      <c r="F65" s="6" t="s">
        <v>379</v>
      </c>
      <c r="G65" s="6" t="s">
        <v>380</v>
      </c>
      <c r="H65" s="9">
        <v>45810</v>
      </c>
      <c r="J65" s="6" t="s">
        <v>52</v>
      </c>
      <c r="K65" s="6" t="s">
        <v>34</v>
      </c>
      <c r="L65" s="6" t="s">
        <v>35</v>
      </c>
      <c r="M65" s="4">
        <f t="shared" si="3"/>
        <v>13869.689999999999</v>
      </c>
      <c r="N65" s="4">
        <v>5783.25</v>
      </c>
      <c r="O65" s="4">
        <v>3230.57</v>
      </c>
      <c r="P65" s="4">
        <v>2867.35</v>
      </c>
      <c r="Q65" s="4">
        <v>1988.52</v>
      </c>
      <c r="R65" s="4">
        <v>2253.1397769000005</v>
      </c>
      <c r="S65" s="4">
        <v>2253.1397769000005</v>
      </c>
      <c r="T65">
        <v>950</v>
      </c>
      <c r="U65">
        <v>0</v>
      </c>
      <c r="W65" t="s">
        <v>36</v>
      </c>
      <c r="X65" t="s">
        <v>36</v>
      </c>
      <c r="AC65" t="s">
        <v>37</v>
      </c>
      <c r="AD65" t="s">
        <v>38</v>
      </c>
      <c r="AE65" s="4">
        <f t="shared" si="4"/>
        <v>14819.689999999999</v>
      </c>
      <c r="AF65">
        <f t="shared" si="1"/>
        <v>0</v>
      </c>
      <c r="AG65" s="4">
        <f t="shared" si="2"/>
        <v>14819.689999999999</v>
      </c>
      <c r="AI65" t="s">
        <v>39</v>
      </c>
    </row>
    <row r="66" spans="1:35" x14ac:dyDescent="0.3">
      <c r="A66" t="s">
        <v>77</v>
      </c>
      <c r="B66" t="s">
        <v>78</v>
      </c>
      <c r="C66" t="s">
        <v>30</v>
      </c>
      <c r="E66">
        <v>64</v>
      </c>
      <c r="F66" s="6" t="s">
        <v>192</v>
      </c>
      <c r="G66" s="6" t="s">
        <v>193</v>
      </c>
      <c r="H66" s="9">
        <v>45811</v>
      </c>
      <c r="J66" s="6" t="s">
        <v>52</v>
      </c>
      <c r="K66" s="6" t="s">
        <v>34</v>
      </c>
      <c r="L66" s="6" t="s">
        <v>35</v>
      </c>
      <c r="M66" s="4">
        <f t="shared" si="3"/>
        <v>6635.58</v>
      </c>
      <c r="N66" s="4">
        <v>3195.53</v>
      </c>
      <c r="O66" s="4">
        <v>1854.73</v>
      </c>
      <c r="P66" s="4">
        <v>1109.28</v>
      </c>
      <c r="Q66" s="4">
        <v>476.04</v>
      </c>
      <c r="R66" s="4">
        <v>1132.5256875</v>
      </c>
      <c r="S66" s="4">
        <v>1132.5256875</v>
      </c>
      <c r="T66">
        <v>988</v>
      </c>
      <c r="U66">
        <v>0</v>
      </c>
      <c r="W66" t="s">
        <v>36</v>
      </c>
      <c r="X66" t="s">
        <v>36</v>
      </c>
      <c r="AC66" t="s">
        <v>37</v>
      </c>
      <c r="AD66" t="s">
        <v>38</v>
      </c>
      <c r="AE66" s="4">
        <f t="shared" si="4"/>
        <v>7623.58</v>
      </c>
      <c r="AF66">
        <f t="shared" si="1"/>
        <v>0</v>
      </c>
      <c r="AG66" s="4">
        <f t="shared" si="2"/>
        <v>7623.58</v>
      </c>
      <c r="AI66" t="s">
        <v>39</v>
      </c>
    </row>
    <row r="67" spans="1:35" x14ac:dyDescent="0.3">
      <c r="A67" t="s">
        <v>43</v>
      </c>
      <c r="B67" t="s">
        <v>43</v>
      </c>
      <c r="C67" t="s">
        <v>44</v>
      </c>
      <c r="D67" t="s">
        <v>222</v>
      </c>
      <c r="E67">
        <v>65</v>
      </c>
      <c r="F67" s="6" t="s">
        <v>455</v>
      </c>
      <c r="G67" s="6" t="s">
        <v>136</v>
      </c>
      <c r="H67" s="9">
        <v>45811</v>
      </c>
      <c r="J67" s="6" t="s">
        <v>52</v>
      </c>
      <c r="K67" s="6" t="s">
        <v>34</v>
      </c>
      <c r="L67" s="6" t="s">
        <v>35</v>
      </c>
      <c r="M67" s="4">
        <f t="shared" si="3"/>
        <v>6116.17</v>
      </c>
      <c r="N67" s="4">
        <v>2801.97</v>
      </c>
      <c r="O67" s="4">
        <v>2153.09</v>
      </c>
      <c r="P67" s="4">
        <v>638.63</v>
      </c>
      <c r="Q67" s="4">
        <v>522.48</v>
      </c>
      <c r="R67" s="4">
        <v>1145.6929062000002</v>
      </c>
      <c r="S67" s="4">
        <v>1145.6929062000002</v>
      </c>
      <c r="T67">
        <v>912</v>
      </c>
      <c r="U67">
        <v>0</v>
      </c>
      <c r="W67" t="s">
        <v>36</v>
      </c>
      <c r="X67" t="s">
        <v>36</v>
      </c>
      <c r="AC67" t="s">
        <v>37</v>
      </c>
      <c r="AD67" t="s">
        <v>38</v>
      </c>
      <c r="AE67" s="4">
        <f t="shared" si="4"/>
        <v>7028.17</v>
      </c>
      <c r="AF67">
        <f t="shared" ref="AF67:AF130" si="5">U67+Y67</f>
        <v>0</v>
      </c>
      <c r="AG67" s="4">
        <f t="shared" ref="AG67:AG130" si="6">AF67+AE67</f>
        <v>7028.17</v>
      </c>
      <c r="AI67" t="s">
        <v>47</v>
      </c>
    </row>
    <row r="68" spans="1:35" x14ac:dyDescent="0.3">
      <c r="A68" t="s">
        <v>77</v>
      </c>
      <c r="B68" t="s">
        <v>195</v>
      </c>
      <c r="C68" t="s">
        <v>44</v>
      </c>
      <c r="D68" t="s">
        <v>211</v>
      </c>
      <c r="E68">
        <v>66</v>
      </c>
      <c r="F68" s="6" t="s">
        <v>573</v>
      </c>
      <c r="G68" s="6" t="s">
        <v>111</v>
      </c>
      <c r="H68" s="9">
        <v>45812</v>
      </c>
      <c r="J68" s="6" t="s">
        <v>52</v>
      </c>
      <c r="K68" s="6" t="s">
        <v>34</v>
      </c>
      <c r="L68" s="6" t="s">
        <v>35</v>
      </c>
      <c r="M68" s="4">
        <f t="shared" ref="M68:M131" si="7">N68+O68+P68+Q68-S68+R68</f>
        <v>5789.55</v>
      </c>
      <c r="N68" s="4">
        <v>3356.8</v>
      </c>
      <c r="O68" s="4">
        <v>1376.29</v>
      </c>
      <c r="P68" s="4">
        <v>615.32999999999993</v>
      </c>
      <c r="Q68" s="4">
        <v>441.13</v>
      </c>
      <c r="R68" s="4">
        <v>1022.2767396</v>
      </c>
      <c r="S68" s="4">
        <v>1022.2767396</v>
      </c>
      <c r="T68">
        <v>950</v>
      </c>
      <c r="U68">
        <v>0</v>
      </c>
      <c r="W68" t="s">
        <v>36</v>
      </c>
      <c r="X68" t="s">
        <v>36</v>
      </c>
      <c r="Y68" s="6">
        <v>5000</v>
      </c>
      <c r="AC68" t="s">
        <v>113</v>
      </c>
      <c r="AD68" t="s">
        <v>38</v>
      </c>
      <c r="AE68" s="4">
        <f t="shared" ref="AE68:AE131" si="8">M68+T68+V68</f>
        <v>6739.55</v>
      </c>
      <c r="AF68">
        <f t="shared" si="5"/>
        <v>5000</v>
      </c>
      <c r="AG68" s="4">
        <f t="shared" si="6"/>
        <v>11739.55</v>
      </c>
      <c r="AI68" t="s">
        <v>47</v>
      </c>
    </row>
    <row r="69" spans="1:35" x14ac:dyDescent="0.3">
      <c r="A69" t="s">
        <v>43</v>
      </c>
      <c r="B69" t="s">
        <v>43</v>
      </c>
      <c r="C69" t="s">
        <v>44</v>
      </c>
      <c r="D69" t="s">
        <v>49</v>
      </c>
      <c r="E69">
        <v>67</v>
      </c>
      <c r="F69" s="6" t="s">
        <v>460</v>
      </c>
      <c r="G69" s="6" t="s">
        <v>136</v>
      </c>
      <c r="H69" s="9">
        <v>45811</v>
      </c>
      <c r="J69" s="6" t="s">
        <v>52</v>
      </c>
      <c r="K69" s="6" t="s">
        <v>34</v>
      </c>
      <c r="L69" s="6" t="s">
        <v>35</v>
      </c>
      <c r="M69" s="4">
        <f t="shared" si="7"/>
        <v>6988.7</v>
      </c>
      <c r="N69" s="4">
        <v>2801.97</v>
      </c>
      <c r="O69" s="4">
        <v>2898.45</v>
      </c>
      <c r="P69" s="4">
        <v>625.21</v>
      </c>
      <c r="Q69" s="4">
        <v>663.06999999999994</v>
      </c>
      <c r="R69" s="4">
        <v>1299.378348</v>
      </c>
      <c r="S69" s="4">
        <v>1299.378348</v>
      </c>
      <c r="T69">
        <v>950</v>
      </c>
      <c r="U69">
        <v>0</v>
      </c>
      <c r="W69" t="s">
        <v>36</v>
      </c>
      <c r="X69" t="s">
        <v>36</v>
      </c>
      <c r="AC69" t="s">
        <v>37</v>
      </c>
      <c r="AD69" t="s">
        <v>38</v>
      </c>
      <c r="AE69" s="4">
        <f t="shared" si="8"/>
        <v>7938.7</v>
      </c>
      <c r="AF69">
        <f t="shared" si="5"/>
        <v>0</v>
      </c>
      <c r="AG69" s="4">
        <f t="shared" si="6"/>
        <v>7938.7</v>
      </c>
      <c r="AI69" t="s">
        <v>47</v>
      </c>
    </row>
    <row r="70" spans="1:35" x14ac:dyDescent="0.3">
      <c r="A70" t="s">
        <v>43</v>
      </c>
      <c r="B70" t="s">
        <v>43</v>
      </c>
      <c r="C70" t="s">
        <v>44</v>
      </c>
      <c r="E70">
        <v>68</v>
      </c>
      <c r="F70" s="6" t="s">
        <v>159</v>
      </c>
      <c r="G70" s="6" t="s">
        <v>65</v>
      </c>
      <c r="H70" s="9">
        <v>45810</v>
      </c>
      <c r="I70" s="2">
        <v>46034</v>
      </c>
      <c r="J70" s="6" t="s">
        <v>33</v>
      </c>
      <c r="K70" s="6" t="s">
        <v>34</v>
      </c>
      <c r="L70" s="6" t="s">
        <v>35</v>
      </c>
      <c r="M70" s="4">
        <f t="shared" si="7"/>
        <v>2189.9699999999998</v>
      </c>
      <c r="N70" s="4">
        <v>2189.9699999999998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>
        <v>0</v>
      </c>
      <c r="U70">
        <v>0</v>
      </c>
      <c r="W70">
        <v>0</v>
      </c>
      <c r="X70" t="s">
        <v>36</v>
      </c>
      <c r="AC70" t="s">
        <v>37</v>
      </c>
      <c r="AD70" t="s">
        <v>38</v>
      </c>
      <c r="AE70" s="4">
        <f t="shared" si="8"/>
        <v>2189.9699999999998</v>
      </c>
      <c r="AF70">
        <f t="shared" si="5"/>
        <v>0</v>
      </c>
      <c r="AG70" s="4">
        <f t="shared" si="6"/>
        <v>2189.9699999999998</v>
      </c>
      <c r="AI70" t="s">
        <v>47</v>
      </c>
    </row>
    <row r="71" spans="1:35" x14ac:dyDescent="0.3">
      <c r="A71" t="s">
        <v>43</v>
      </c>
      <c r="B71" t="s">
        <v>43</v>
      </c>
      <c r="C71" t="s">
        <v>44</v>
      </c>
      <c r="D71" t="s">
        <v>222</v>
      </c>
      <c r="E71">
        <v>70</v>
      </c>
      <c r="F71" s="6" t="s">
        <v>652</v>
      </c>
      <c r="G71" s="6" t="s">
        <v>111</v>
      </c>
      <c r="H71" s="9">
        <v>45812</v>
      </c>
      <c r="J71" s="6" t="s">
        <v>52</v>
      </c>
      <c r="K71" s="6" t="s">
        <v>34</v>
      </c>
      <c r="L71" s="6" t="s">
        <v>35</v>
      </c>
      <c r="M71" s="4">
        <f t="shared" si="7"/>
        <v>9097.9900000000016</v>
      </c>
      <c r="N71" s="4">
        <v>3356.8</v>
      </c>
      <c r="O71" s="4">
        <v>2832.6800000000003</v>
      </c>
      <c r="P71" s="4">
        <v>1869.06</v>
      </c>
      <c r="Q71" s="4">
        <v>1039.4499999999998</v>
      </c>
      <c r="R71" s="4">
        <v>1561.5027963</v>
      </c>
      <c r="S71" s="4">
        <v>1561.5027963</v>
      </c>
      <c r="T71">
        <v>950</v>
      </c>
      <c r="U71">
        <v>0</v>
      </c>
      <c r="W71" t="s">
        <v>36</v>
      </c>
      <c r="X71" t="s">
        <v>36</v>
      </c>
      <c r="Y71" s="6">
        <v>15000</v>
      </c>
      <c r="AC71" t="s">
        <v>113</v>
      </c>
      <c r="AD71" t="s">
        <v>38</v>
      </c>
      <c r="AE71" s="4">
        <f t="shared" si="8"/>
        <v>10047.990000000002</v>
      </c>
      <c r="AF71">
        <f t="shared" si="5"/>
        <v>15000</v>
      </c>
      <c r="AG71" s="4">
        <f t="shared" si="6"/>
        <v>25047.99</v>
      </c>
      <c r="AI71" t="s">
        <v>47</v>
      </c>
    </row>
    <row r="72" spans="1:35" x14ac:dyDescent="0.3">
      <c r="A72" t="s">
        <v>43</v>
      </c>
      <c r="B72" t="s">
        <v>43</v>
      </c>
      <c r="C72" t="s">
        <v>44</v>
      </c>
      <c r="E72">
        <v>71</v>
      </c>
      <c r="F72" s="6" t="s">
        <v>161</v>
      </c>
      <c r="G72" s="6" t="s">
        <v>60</v>
      </c>
      <c r="H72" s="9">
        <v>45811</v>
      </c>
      <c r="I72" s="2">
        <v>45945</v>
      </c>
      <c r="J72" s="6" t="s">
        <v>33</v>
      </c>
      <c r="K72" s="6" t="s">
        <v>34</v>
      </c>
      <c r="L72" s="6" t="s">
        <v>35</v>
      </c>
      <c r="M72" s="4">
        <f t="shared" si="7"/>
        <v>2189.9699999999998</v>
      </c>
      <c r="N72" s="4">
        <v>2189.9699999999998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>
        <v>0</v>
      </c>
      <c r="U72">
        <v>0</v>
      </c>
      <c r="W72">
        <v>0</v>
      </c>
      <c r="X72" t="s">
        <v>36</v>
      </c>
      <c r="AC72" t="s">
        <v>37</v>
      </c>
      <c r="AD72" t="s">
        <v>38</v>
      </c>
      <c r="AE72" s="4">
        <f t="shared" si="8"/>
        <v>2189.9699999999998</v>
      </c>
      <c r="AF72">
        <f t="shared" si="5"/>
        <v>0</v>
      </c>
      <c r="AG72" s="4">
        <f t="shared" si="6"/>
        <v>2189.9699999999998</v>
      </c>
      <c r="AI72" t="s">
        <v>47</v>
      </c>
    </row>
    <row r="73" spans="1:35" x14ac:dyDescent="0.3">
      <c r="A73" t="s">
        <v>43</v>
      </c>
      <c r="B73" t="s">
        <v>43</v>
      </c>
      <c r="C73" t="s">
        <v>44</v>
      </c>
      <c r="D73" t="s">
        <v>155</v>
      </c>
      <c r="E73">
        <v>72</v>
      </c>
      <c r="F73" s="6" t="s">
        <v>307</v>
      </c>
      <c r="G73" s="6" t="s">
        <v>60</v>
      </c>
      <c r="H73" s="9">
        <v>45811</v>
      </c>
      <c r="J73" s="6" t="s">
        <v>52</v>
      </c>
      <c r="K73" s="6" t="s">
        <v>34</v>
      </c>
      <c r="L73" s="6" t="s">
        <v>35</v>
      </c>
      <c r="M73" s="4">
        <f t="shared" si="7"/>
        <v>5466.16</v>
      </c>
      <c r="N73" s="4">
        <v>2302.75</v>
      </c>
      <c r="O73" s="4">
        <v>1388.51</v>
      </c>
      <c r="P73" s="4">
        <v>1418</v>
      </c>
      <c r="Q73" s="4">
        <v>356.9</v>
      </c>
      <c r="R73" s="4">
        <v>835.19346959999996</v>
      </c>
      <c r="S73" s="4">
        <v>835.19346959999996</v>
      </c>
      <c r="T73">
        <v>950</v>
      </c>
      <c r="U73">
        <v>0</v>
      </c>
      <c r="W73" t="s">
        <v>36</v>
      </c>
      <c r="X73" t="s">
        <v>36</v>
      </c>
      <c r="AC73" t="s">
        <v>37</v>
      </c>
      <c r="AD73" t="s">
        <v>38</v>
      </c>
      <c r="AE73" s="4">
        <f t="shared" si="8"/>
        <v>6416.16</v>
      </c>
      <c r="AF73">
        <f t="shared" si="5"/>
        <v>0</v>
      </c>
      <c r="AG73" s="4">
        <f t="shared" si="6"/>
        <v>6416.16</v>
      </c>
      <c r="AI73" t="s">
        <v>47</v>
      </c>
    </row>
    <row r="74" spans="1:35" x14ac:dyDescent="0.3">
      <c r="A74" t="s">
        <v>43</v>
      </c>
      <c r="B74" t="s">
        <v>43</v>
      </c>
      <c r="C74" t="s">
        <v>44</v>
      </c>
      <c r="E74">
        <v>73</v>
      </c>
      <c r="F74" s="6" t="s">
        <v>165</v>
      </c>
      <c r="G74" s="6" t="s">
        <v>56</v>
      </c>
      <c r="H74" s="9">
        <v>45811</v>
      </c>
      <c r="I74" s="2">
        <v>45952</v>
      </c>
      <c r="J74" s="6" t="s">
        <v>33</v>
      </c>
      <c r="K74" s="6" t="s">
        <v>34</v>
      </c>
      <c r="L74" s="6" t="s">
        <v>35</v>
      </c>
      <c r="M74" s="4">
        <f t="shared" si="7"/>
        <v>5114.5</v>
      </c>
      <c r="N74" s="4">
        <v>5114.5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>
        <v>0</v>
      </c>
      <c r="U74">
        <v>0</v>
      </c>
      <c r="W74" t="s">
        <v>36</v>
      </c>
      <c r="X74" t="s">
        <v>36</v>
      </c>
      <c r="AC74" t="s">
        <v>37</v>
      </c>
      <c r="AD74" t="s">
        <v>38</v>
      </c>
      <c r="AE74" s="4">
        <f t="shared" si="8"/>
        <v>5114.5</v>
      </c>
      <c r="AF74">
        <f t="shared" si="5"/>
        <v>0</v>
      </c>
      <c r="AG74" s="4">
        <f t="shared" si="6"/>
        <v>5114.5</v>
      </c>
      <c r="AI74" t="s">
        <v>47</v>
      </c>
    </row>
    <row r="75" spans="1:35" x14ac:dyDescent="0.3">
      <c r="A75" t="s">
        <v>43</v>
      </c>
      <c r="B75" t="s">
        <v>43</v>
      </c>
      <c r="C75" t="s">
        <v>44</v>
      </c>
      <c r="E75">
        <v>74</v>
      </c>
      <c r="F75" s="6" t="s">
        <v>166</v>
      </c>
      <c r="G75" s="6" t="s">
        <v>60</v>
      </c>
      <c r="H75" s="9">
        <v>45811</v>
      </c>
      <c r="I75" s="2">
        <v>45936</v>
      </c>
      <c r="J75" s="6" t="s">
        <v>33</v>
      </c>
      <c r="K75" s="6" t="s">
        <v>34</v>
      </c>
      <c r="L75" s="6" t="s">
        <v>35</v>
      </c>
      <c r="M75" s="4">
        <f t="shared" si="7"/>
        <v>2189.9699999999998</v>
      </c>
      <c r="N75" s="4">
        <v>2189.9699999999998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>
        <v>0</v>
      </c>
      <c r="U75">
        <v>0</v>
      </c>
      <c r="W75">
        <v>0</v>
      </c>
      <c r="X75" t="s">
        <v>36</v>
      </c>
      <c r="AC75" t="s">
        <v>37</v>
      </c>
      <c r="AD75" t="s">
        <v>38</v>
      </c>
      <c r="AE75" s="4">
        <f t="shared" si="8"/>
        <v>2189.9699999999998</v>
      </c>
      <c r="AF75">
        <f t="shared" si="5"/>
        <v>0</v>
      </c>
      <c r="AG75" s="4">
        <f t="shared" si="6"/>
        <v>2189.9699999999998</v>
      </c>
      <c r="AI75" t="s">
        <v>47</v>
      </c>
    </row>
    <row r="76" spans="1:35" x14ac:dyDescent="0.3">
      <c r="A76" t="s">
        <v>43</v>
      </c>
      <c r="B76" t="s">
        <v>43</v>
      </c>
      <c r="C76" t="s">
        <v>44</v>
      </c>
      <c r="E76">
        <v>75</v>
      </c>
      <c r="F76" s="6" t="s">
        <v>167</v>
      </c>
      <c r="G76" s="6" t="s">
        <v>56</v>
      </c>
      <c r="H76" s="9">
        <v>45811</v>
      </c>
      <c r="I76" s="2">
        <v>45947</v>
      </c>
      <c r="J76" s="6" t="s">
        <v>33</v>
      </c>
      <c r="K76" s="6" t="s">
        <v>34</v>
      </c>
      <c r="L76" s="6" t="s">
        <v>35</v>
      </c>
      <c r="M76" s="4">
        <f t="shared" si="7"/>
        <v>5114.5</v>
      </c>
      <c r="N76" s="4">
        <v>5114.5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>
        <v>0</v>
      </c>
      <c r="U76">
        <v>0</v>
      </c>
      <c r="W76">
        <v>0</v>
      </c>
      <c r="X76" t="s">
        <v>36</v>
      </c>
      <c r="AC76" t="s">
        <v>37</v>
      </c>
      <c r="AD76" t="s">
        <v>38</v>
      </c>
      <c r="AE76" s="4">
        <f t="shared" si="8"/>
        <v>5114.5</v>
      </c>
      <c r="AF76">
        <f t="shared" si="5"/>
        <v>0</v>
      </c>
      <c r="AG76" s="4">
        <f t="shared" si="6"/>
        <v>5114.5</v>
      </c>
      <c r="AI76" t="s">
        <v>47</v>
      </c>
    </row>
    <row r="77" spans="1:35" x14ac:dyDescent="0.3">
      <c r="A77" t="s">
        <v>43</v>
      </c>
      <c r="B77" t="s">
        <v>43</v>
      </c>
      <c r="C77" t="s">
        <v>44</v>
      </c>
      <c r="D77" t="s">
        <v>54</v>
      </c>
      <c r="E77">
        <v>76</v>
      </c>
      <c r="F77" s="6" t="s">
        <v>300</v>
      </c>
      <c r="G77" s="6" t="s">
        <v>56</v>
      </c>
      <c r="H77" s="9">
        <v>45812</v>
      </c>
      <c r="J77" s="6" t="s">
        <v>52</v>
      </c>
      <c r="K77" s="6" t="s">
        <v>34</v>
      </c>
      <c r="L77" s="6" t="s">
        <v>35</v>
      </c>
      <c r="M77" s="4">
        <f t="shared" si="7"/>
        <v>13766.060000000001</v>
      </c>
      <c r="N77" s="4">
        <v>5377.9</v>
      </c>
      <c r="O77" s="4">
        <v>4972.5700000000006</v>
      </c>
      <c r="P77" s="4">
        <v>1229.08</v>
      </c>
      <c r="Q77" s="4">
        <v>2186.5100000000002</v>
      </c>
      <c r="R77" s="4">
        <v>2247.9955119000001</v>
      </c>
      <c r="S77" s="4">
        <v>2247.9955119000001</v>
      </c>
      <c r="T77">
        <v>988</v>
      </c>
      <c r="U77">
        <v>0</v>
      </c>
      <c r="W77" t="s">
        <v>36</v>
      </c>
      <c r="X77" t="s">
        <v>36</v>
      </c>
      <c r="AC77" t="s">
        <v>37</v>
      </c>
      <c r="AD77" t="s">
        <v>38</v>
      </c>
      <c r="AE77" s="4">
        <f t="shared" si="8"/>
        <v>14754.060000000001</v>
      </c>
      <c r="AF77">
        <f t="shared" si="5"/>
        <v>0</v>
      </c>
      <c r="AG77" s="4">
        <f t="shared" si="6"/>
        <v>14754.060000000001</v>
      </c>
      <c r="AI77" t="s">
        <v>47</v>
      </c>
    </row>
    <row r="78" spans="1:35" x14ac:dyDescent="0.3">
      <c r="A78" t="s">
        <v>43</v>
      </c>
      <c r="B78" t="s">
        <v>43</v>
      </c>
      <c r="C78" t="s">
        <v>44</v>
      </c>
      <c r="E78">
        <v>77</v>
      </c>
      <c r="F78" s="6" t="s">
        <v>171</v>
      </c>
      <c r="G78" s="6" t="s">
        <v>106</v>
      </c>
      <c r="H78" s="9">
        <v>45811</v>
      </c>
      <c r="I78" s="2">
        <v>45873</v>
      </c>
      <c r="J78" s="6" t="s">
        <v>33</v>
      </c>
      <c r="K78" s="6" t="s">
        <v>34</v>
      </c>
      <c r="L78" s="6" t="s">
        <v>35</v>
      </c>
      <c r="M78" s="4">
        <f t="shared" si="7"/>
        <v>4452</v>
      </c>
      <c r="N78" s="4">
        <v>4452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>
        <v>0</v>
      </c>
      <c r="U78">
        <v>0</v>
      </c>
      <c r="W78">
        <v>0</v>
      </c>
      <c r="X78" t="s">
        <v>36</v>
      </c>
      <c r="AC78" t="s">
        <v>37</v>
      </c>
      <c r="AD78" t="s">
        <v>38</v>
      </c>
      <c r="AE78" s="4">
        <f t="shared" si="8"/>
        <v>4452</v>
      </c>
      <c r="AF78">
        <f t="shared" si="5"/>
        <v>0</v>
      </c>
      <c r="AG78" s="4">
        <f t="shared" si="6"/>
        <v>4452</v>
      </c>
      <c r="AI78" t="s">
        <v>47</v>
      </c>
    </row>
    <row r="79" spans="1:35" x14ac:dyDescent="0.3">
      <c r="A79" t="s">
        <v>43</v>
      </c>
      <c r="B79" t="s">
        <v>43</v>
      </c>
      <c r="C79" t="s">
        <v>44</v>
      </c>
      <c r="D79" t="s">
        <v>387</v>
      </c>
      <c r="E79">
        <v>78</v>
      </c>
      <c r="F79" s="6" t="s">
        <v>528</v>
      </c>
      <c r="G79" s="6" t="s">
        <v>106</v>
      </c>
      <c r="H79" s="9">
        <v>45811</v>
      </c>
      <c r="J79" s="6" t="s">
        <v>52</v>
      </c>
      <c r="K79" s="6" t="s">
        <v>34</v>
      </c>
      <c r="L79" s="6" t="s">
        <v>35</v>
      </c>
      <c r="M79" s="4">
        <f t="shared" si="7"/>
        <v>12685.76</v>
      </c>
      <c r="N79" s="4">
        <v>4681.28</v>
      </c>
      <c r="O79" s="4">
        <v>5164.2000000000007</v>
      </c>
      <c r="P79" s="4">
        <v>694.45</v>
      </c>
      <c r="Q79" s="4">
        <v>2145.83</v>
      </c>
      <c r="R79" s="4">
        <v>2164.9271805000008</v>
      </c>
      <c r="S79" s="4">
        <v>2164.9271805000008</v>
      </c>
      <c r="T79">
        <v>950</v>
      </c>
      <c r="U79">
        <v>0</v>
      </c>
      <c r="W79" t="s">
        <v>36</v>
      </c>
      <c r="X79" t="s">
        <v>36</v>
      </c>
      <c r="Y79" s="6">
        <v>15000</v>
      </c>
      <c r="AC79" t="s">
        <v>53</v>
      </c>
      <c r="AD79" t="s">
        <v>38</v>
      </c>
      <c r="AE79" s="4">
        <f t="shared" si="8"/>
        <v>13635.76</v>
      </c>
      <c r="AF79">
        <f t="shared" si="5"/>
        <v>15000</v>
      </c>
      <c r="AG79" s="4">
        <f t="shared" si="6"/>
        <v>28635.760000000002</v>
      </c>
      <c r="AI79" t="s">
        <v>47</v>
      </c>
    </row>
    <row r="80" spans="1:35" x14ac:dyDescent="0.3">
      <c r="A80" t="s">
        <v>43</v>
      </c>
      <c r="B80" t="s">
        <v>600</v>
      </c>
      <c r="C80" t="s">
        <v>44</v>
      </c>
      <c r="E80">
        <v>79</v>
      </c>
      <c r="F80" s="6" t="s">
        <v>601</v>
      </c>
      <c r="G80" s="6" t="s">
        <v>602</v>
      </c>
      <c r="H80" s="9">
        <v>45812</v>
      </c>
      <c r="I80" s="2">
        <v>46121</v>
      </c>
      <c r="J80" s="6" t="s">
        <v>33</v>
      </c>
      <c r="K80" s="6" t="s">
        <v>34</v>
      </c>
      <c r="L80" s="6" t="s">
        <v>35</v>
      </c>
      <c r="M80" s="4">
        <f t="shared" si="7"/>
        <v>4200</v>
      </c>
      <c r="N80" s="4">
        <v>4200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>
        <v>0</v>
      </c>
      <c r="U80">
        <v>0</v>
      </c>
      <c r="W80">
        <v>0</v>
      </c>
      <c r="X80" t="s">
        <v>36</v>
      </c>
      <c r="AC80" t="s">
        <v>53</v>
      </c>
      <c r="AD80" t="s">
        <v>38</v>
      </c>
      <c r="AE80" s="4">
        <f t="shared" si="8"/>
        <v>4200</v>
      </c>
      <c r="AF80">
        <f t="shared" si="5"/>
        <v>0</v>
      </c>
      <c r="AG80" s="4">
        <f t="shared" si="6"/>
        <v>4200</v>
      </c>
      <c r="AI80" t="s">
        <v>47</v>
      </c>
    </row>
    <row r="81" spans="1:35" x14ac:dyDescent="0.3">
      <c r="A81" t="s">
        <v>43</v>
      </c>
      <c r="B81" t="s">
        <v>43</v>
      </c>
      <c r="C81" t="s">
        <v>44</v>
      </c>
      <c r="E81">
        <v>80</v>
      </c>
      <c r="F81" s="6" t="s">
        <v>173</v>
      </c>
      <c r="G81" s="6" t="s">
        <v>111</v>
      </c>
      <c r="H81" s="9">
        <v>45811</v>
      </c>
      <c r="I81" s="2">
        <v>45841</v>
      </c>
      <c r="J81" s="6" t="s">
        <v>33</v>
      </c>
      <c r="K81" s="6" t="s">
        <v>34</v>
      </c>
      <c r="L81" s="6" t="s">
        <v>35</v>
      </c>
      <c r="M81" s="4">
        <f t="shared" si="7"/>
        <v>3192.39</v>
      </c>
      <c r="N81" s="4">
        <v>3192.39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>
        <v>0</v>
      </c>
      <c r="U81">
        <v>0</v>
      </c>
      <c r="W81">
        <v>0</v>
      </c>
      <c r="X81" t="s">
        <v>36</v>
      </c>
      <c r="AC81" t="s">
        <v>37</v>
      </c>
      <c r="AD81" t="s">
        <v>38</v>
      </c>
      <c r="AE81" s="4">
        <f t="shared" si="8"/>
        <v>3192.39</v>
      </c>
      <c r="AF81">
        <f t="shared" si="5"/>
        <v>0</v>
      </c>
      <c r="AG81" s="4">
        <f t="shared" si="6"/>
        <v>3192.39</v>
      </c>
      <c r="AI81" t="s">
        <v>47</v>
      </c>
    </row>
    <row r="82" spans="1:35" x14ac:dyDescent="0.3">
      <c r="A82" t="s">
        <v>43</v>
      </c>
      <c r="B82" t="s">
        <v>43</v>
      </c>
      <c r="C82" t="s">
        <v>44</v>
      </c>
      <c r="E82">
        <v>81</v>
      </c>
      <c r="F82" s="6" t="s">
        <v>174</v>
      </c>
      <c r="G82" s="6" t="s">
        <v>175</v>
      </c>
      <c r="H82" s="9">
        <v>45812</v>
      </c>
      <c r="I82" s="2">
        <v>45870</v>
      </c>
      <c r="J82" s="6" t="s">
        <v>33</v>
      </c>
      <c r="K82" s="6" t="s">
        <v>34</v>
      </c>
      <c r="L82" s="6" t="s">
        <v>35</v>
      </c>
      <c r="M82" s="4">
        <f t="shared" si="7"/>
        <v>3192.39</v>
      </c>
      <c r="N82" s="4">
        <v>3192.39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>
        <v>0</v>
      </c>
      <c r="U82">
        <v>0</v>
      </c>
      <c r="W82">
        <v>0</v>
      </c>
      <c r="X82" t="s">
        <v>36</v>
      </c>
      <c r="AC82" t="s">
        <v>37</v>
      </c>
      <c r="AD82" t="s">
        <v>38</v>
      </c>
      <c r="AE82" s="4">
        <f t="shared" si="8"/>
        <v>3192.39</v>
      </c>
      <c r="AF82">
        <f t="shared" si="5"/>
        <v>0</v>
      </c>
      <c r="AG82" s="4">
        <f t="shared" si="6"/>
        <v>3192.39</v>
      </c>
      <c r="AI82" t="s">
        <v>47</v>
      </c>
    </row>
    <row r="83" spans="1:35" x14ac:dyDescent="0.3">
      <c r="A83" t="s">
        <v>43</v>
      </c>
      <c r="B83" t="s">
        <v>43</v>
      </c>
      <c r="C83" t="s">
        <v>44</v>
      </c>
      <c r="D83" t="s">
        <v>54</v>
      </c>
      <c r="E83">
        <v>82</v>
      </c>
      <c r="F83" s="6" t="s">
        <v>181</v>
      </c>
      <c r="G83" s="6" t="s">
        <v>182</v>
      </c>
      <c r="H83" s="9">
        <v>45811</v>
      </c>
      <c r="J83" s="6" t="s">
        <v>52</v>
      </c>
      <c r="K83" s="6" t="s">
        <v>34</v>
      </c>
      <c r="L83" s="6" t="s">
        <v>35</v>
      </c>
      <c r="M83" s="4">
        <f t="shared" si="7"/>
        <v>12469.699999999999</v>
      </c>
      <c r="N83" s="4">
        <v>5377.9</v>
      </c>
      <c r="O83" s="4">
        <v>4039.83</v>
      </c>
      <c r="P83" s="4">
        <v>1228.8899999999999</v>
      </c>
      <c r="Q83" s="4">
        <v>1823.08</v>
      </c>
      <c r="R83" s="4">
        <v>2048.1166700999997</v>
      </c>
      <c r="S83" s="4">
        <v>2048.1166700999997</v>
      </c>
      <c r="T83">
        <v>1064</v>
      </c>
      <c r="U83">
        <v>0</v>
      </c>
      <c r="W83" t="s">
        <v>36</v>
      </c>
      <c r="X83" t="s">
        <v>36</v>
      </c>
      <c r="AC83" t="s">
        <v>37</v>
      </c>
      <c r="AD83" t="s">
        <v>38</v>
      </c>
      <c r="AE83" s="4">
        <f t="shared" si="8"/>
        <v>13533.699999999999</v>
      </c>
      <c r="AF83">
        <f t="shared" si="5"/>
        <v>0</v>
      </c>
      <c r="AG83" s="4">
        <f t="shared" si="6"/>
        <v>13533.699999999999</v>
      </c>
      <c r="AI83" t="s">
        <v>47</v>
      </c>
    </row>
    <row r="84" spans="1:35" x14ac:dyDescent="0.3">
      <c r="A84" t="s">
        <v>43</v>
      </c>
      <c r="B84" t="s">
        <v>43</v>
      </c>
      <c r="C84" t="s">
        <v>44</v>
      </c>
      <c r="D84" t="s">
        <v>222</v>
      </c>
      <c r="E84">
        <v>83</v>
      </c>
      <c r="F84" s="6" t="s">
        <v>477</v>
      </c>
      <c r="G84" s="6" t="s">
        <v>71</v>
      </c>
      <c r="H84" s="9">
        <v>45817</v>
      </c>
      <c r="J84" s="6" t="s">
        <v>52</v>
      </c>
      <c r="K84" s="6" t="s">
        <v>34</v>
      </c>
      <c r="L84" s="6" t="s">
        <v>35</v>
      </c>
      <c r="M84" s="4">
        <f t="shared" si="7"/>
        <v>6704.46</v>
      </c>
      <c r="N84" s="4">
        <v>2801.97</v>
      </c>
      <c r="O84" s="4">
        <v>1905.83</v>
      </c>
      <c r="P84" s="4">
        <v>1511.85</v>
      </c>
      <c r="Q84" s="4">
        <v>484.81</v>
      </c>
      <c r="R84" s="4">
        <v>1114.0903215000001</v>
      </c>
      <c r="S84" s="4">
        <v>1114.0903215000001</v>
      </c>
      <c r="T84">
        <v>874</v>
      </c>
      <c r="U84">
        <v>0</v>
      </c>
      <c r="W84" t="s">
        <v>36</v>
      </c>
      <c r="X84" t="s">
        <v>36</v>
      </c>
      <c r="AC84" t="s">
        <v>37</v>
      </c>
      <c r="AD84" t="s">
        <v>38</v>
      </c>
      <c r="AE84" s="4">
        <f t="shared" si="8"/>
        <v>7578.46</v>
      </c>
      <c r="AF84">
        <f t="shared" si="5"/>
        <v>0</v>
      </c>
      <c r="AG84" s="4">
        <f t="shared" si="6"/>
        <v>7578.46</v>
      </c>
      <c r="AI84" t="s">
        <v>47</v>
      </c>
    </row>
    <row r="85" spans="1:35" x14ac:dyDescent="0.3">
      <c r="A85" t="s">
        <v>43</v>
      </c>
      <c r="B85" t="s">
        <v>43</v>
      </c>
      <c r="C85" t="s">
        <v>44</v>
      </c>
      <c r="E85">
        <v>84</v>
      </c>
      <c r="F85" s="6" t="s">
        <v>178</v>
      </c>
      <c r="G85" s="6" t="s">
        <v>71</v>
      </c>
      <c r="H85" s="9">
        <v>45817</v>
      </c>
      <c r="I85" s="2">
        <v>45852</v>
      </c>
      <c r="J85" s="6" t="s">
        <v>33</v>
      </c>
      <c r="K85" s="6" t="s">
        <v>34</v>
      </c>
      <c r="L85" s="6" t="s">
        <v>35</v>
      </c>
      <c r="M85" s="4">
        <f t="shared" si="7"/>
        <v>2664.74</v>
      </c>
      <c r="N85" s="4">
        <v>2664.74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>
        <v>0</v>
      </c>
      <c r="U85">
        <v>0</v>
      </c>
      <c r="W85">
        <v>0</v>
      </c>
      <c r="X85" t="s">
        <v>36</v>
      </c>
      <c r="AC85" t="s">
        <v>37</v>
      </c>
      <c r="AD85" t="s">
        <v>38</v>
      </c>
      <c r="AE85" s="4">
        <f t="shared" si="8"/>
        <v>2664.74</v>
      </c>
      <c r="AF85">
        <f t="shared" si="5"/>
        <v>0</v>
      </c>
      <c r="AG85" s="4">
        <f t="shared" si="6"/>
        <v>2664.74</v>
      </c>
      <c r="AI85" t="s">
        <v>47</v>
      </c>
    </row>
    <row r="86" spans="1:35" x14ac:dyDescent="0.3">
      <c r="A86" t="s">
        <v>43</v>
      </c>
      <c r="B86" t="s">
        <v>43</v>
      </c>
      <c r="C86" t="s">
        <v>44</v>
      </c>
      <c r="D86" t="s">
        <v>54</v>
      </c>
      <c r="E86">
        <v>85</v>
      </c>
      <c r="F86" s="6" t="s">
        <v>590</v>
      </c>
      <c r="G86" s="6" t="s">
        <v>182</v>
      </c>
      <c r="H86" s="9">
        <v>45817</v>
      </c>
      <c r="J86" s="6" t="s">
        <v>52</v>
      </c>
      <c r="K86" s="6" t="s">
        <v>34</v>
      </c>
      <c r="L86" s="6" t="s">
        <v>35</v>
      </c>
      <c r="M86" s="4">
        <f t="shared" si="7"/>
        <v>12163.599999999999</v>
      </c>
      <c r="N86" s="4">
        <v>5377.9</v>
      </c>
      <c r="O86" s="4">
        <v>4145.22</v>
      </c>
      <c r="P86" s="4">
        <v>758.86</v>
      </c>
      <c r="Q86" s="4">
        <v>1881.62</v>
      </c>
      <c r="R86" s="4">
        <v>2103.6012426000002</v>
      </c>
      <c r="S86" s="4">
        <v>2103.6012426000002</v>
      </c>
      <c r="T86">
        <v>950</v>
      </c>
      <c r="U86">
        <v>0</v>
      </c>
      <c r="W86" t="s">
        <v>36</v>
      </c>
      <c r="X86" t="s">
        <v>36</v>
      </c>
      <c r="AC86" t="s">
        <v>37</v>
      </c>
      <c r="AD86" t="s">
        <v>38</v>
      </c>
      <c r="AE86" s="4">
        <f t="shared" si="8"/>
        <v>13113.599999999999</v>
      </c>
      <c r="AF86">
        <f t="shared" si="5"/>
        <v>0</v>
      </c>
      <c r="AG86" s="4">
        <f t="shared" si="6"/>
        <v>13113.599999999999</v>
      </c>
      <c r="AI86" t="s">
        <v>47</v>
      </c>
    </row>
    <row r="87" spans="1:35" x14ac:dyDescent="0.3">
      <c r="A87" t="s">
        <v>43</v>
      </c>
      <c r="B87" t="s">
        <v>43</v>
      </c>
      <c r="C87" t="s">
        <v>44</v>
      </c>
      <c r="E87">
        <v>86</v>
      </c>
      <c r="F87" s="6" t="s">
        <v>179</v>
      </c>
      <c r="G87" s="6" t="s">
        <v>60</v>
      </c>
      <c r="H87" s="9">
        <v>45817</v>
      </c>
      <c r="I87" s="2">
        <v>45873</v>
      </c>
      <c r="J87" s="6" t="s">
        <v>33</v>
      </c>
      <c r="K87" s="6" t="s">
        <v>34</v>
      </c>
      <c r="L87" s="6" t="s">
        <v>35</v>
      </c>
      <c r="M87" s="4">
        <f t="shared" si="7"/>
        <v>2189.9699999999998</v>
      </c>
      <c r="N87" s="4">
        <v>2189.9699999999998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>
        <v>0</v>
      </c>
      <c r="U87">
        <v>0</v>
      </c>
      <c r="W87">
        <v>0</v>
      </c>
      <c r="X87" t="s">
        <v>36</v>
      </c>
      <c r="AC87" t="s">
        <v>37</v>
      </c>
      <c r="AD87" t="s">
        <v>38</v>
      </c>
      <c r="AE87" s="4">
        <f t="shared" si="8"/>
        <v>2189.9699999999998</v>
      </c>
      <c r="AF87">
        <f t="shared" si="5"/>
        <v>0</v>
      </c>
      <c r="AG87" s="4">
        <f t="shared" si="6"/>
        <v>2189.9699999999998</v>
      </c>
      <c r="AI87" t="s">
        <v>47</v>
      </c>
    </row>
    <row r="88" spans="1:35" x14ac:dyDescent="0.3">
      <c r="A88" t="s">
        <v>29</v>
      </c>
      <c r="B88" t="s">
        <v>319</v>
      </c>
      <c r="C88" t="s">
        <v>30</v>
      </c>
      <c r="D88" t="s">
        <v>458</v>
      </c>
      <c r="E88">
        <v>87</v>
      </c>
      <c r="F88" s="6" t="s">
        <v>459</v>
      </c>
      <c r="G88" s="6" t="s">
        <v>322</v>
      </c>
      <c r="H88" s="9">
        <v>45819</v>
      </c>
      <c r="J88" s="6" t="s">
        <v>52</v>
      </c>
      <c r="K88" s="6" t="s">
        <v>34</v>
      </c>
      <c r="L88" s="6" t="s">
        <v>35</v>
      </c>
      <c r="M88" s="4">
        <f t="shared" si="7"/>
        <v>5370.8799999999992</v>
      </c>
      <c r="N88" s="4">
        <v>2801.97</v>
      </c>
      <c r="O88" s="4">
        <v>1534.6</v>
      </c>
      <c r="P88" s="4">
        <v>624.20000000000005</v>
      </c>
      <c r="Q88" s="4">
        <v>410.11</v>
      </c>
      <c r="R88" s="4">
        <v>1012.7986937999999</v>
      </c>
      <c r="S88" s="4">
        <v>1012.7986937999999</v>
      </c>
      <c r="T88">
        <v>950</v>
      </c>
      <c r="U88">
        <v>0</v>
      </c>
      <c r="W88" t="s">
        <v>36</v>
      </c>
      <c r="X88" t="s">
        <v>36</v>
      </c>
      <c r="AC88" t="s">
        <v>37</v>
      </c>
      <c r="AD88" t="s">
        <v>38</v>
      </c>
      <c r="AE88" s="4">
        <f t="shared" si="8"/>
        <v>6320.8799999999992</v>
      </c>
      <c r="AF88">
        <f t="shared" si="5"/>
        <v>0</v>
      </c>
      <c r="AG88" s="4">
        <f t="shared" si="6"/>
        <v>6320.8799999999992</v>
      </c>
      <c r="AI88" t="s">
        <v>47</v>
      </c>
    </row>
    <row r="89" spans="1:35" x14ac:dyDescent="0.3">
      <c r="A89" t="s">
        <v>43</v>
      </c>
      <c r="B89" t="s">
        <v>43</v>
      </c>
      <c r="C89" t="s">
        <v>44</v>
      </c>
      <c r="D89" t="s">
        <v>54</v>
      </c>
      <c r="E89">
        <v>88</v>
      </c>
      <c r="F89" s="6" t="s">
        <v>633</v>
      </c>
      <c r="G89" s="6" t="s">
        <v>56</v>
      </c>
      <c r="H89" s="9">
        <v>45819</v>
      </c>
      <c r="J89" s="6" t="s">
        <v>52</v>
      </c>
      <c r="K89" s="6" t="s">
        <v>34</v>
      </c>
      <c r="L89" s="6" t="s">
        <v>35</v>
      </c>
      <c r="M89" s="4">
        <f t="shared" si="7"/>
        <v>10134.869999999999</v>
      </c>
      <c r="N89" s="4">
        <v>5377.9</v>
      </c>
      <c r="O89" s="4">
        <v>2544.29</v>
      </c>
      <c r="P89" s="4">
        <v>832.55</v>
      </c>
      <c r="Q89" s="4">
        <v>1380.1299999999999</v>
      </c>
      <c r="R89" s="4">
        <v>1782.9266598000002</v>
      </c>
      <c r="S89" s="4">
        <v>1782.9266598000002</v>
      </c>
      <c r="T89">
        <v>950</v>
      </c>
      <c r="U89">
        <v>0</v>
      </c>
      <c r="V89">
        <v>300</v>
      </c>
      <c r="W89" t="s">
        <v>36</v>
      </c>
      <c r="X89" t="s">
        <v>36</v>
      </c>
      <c r="AC89" t="s">
        <v>37</v>
      </c>
      <c r="AD89" t="s">
        <v>38</v>
      </c>
      <c r="AE89" s="4">
        <f t="shared" si="8"/>
        <v>11384.869999999999</v>
      </c>
      <c r="AF89">
        <f t="shared" si="5"/>
        <v>0</v>
      </c>
      <c r="AG89" s="4">
        <f t="shared" si="6"/>
        <v>11384.869999999999</v>
      </c>
      <c r="AI89" t="s">
        <v>47</v>
      </c>
    </row>
    <row r="90" spans="1:35" x14ac:dyDescent="0.3">
      <c r="A90" t="s">
        <v>43</v>
      </c>
      <c r="B90" t="s">
        <v>43</v>
      </c>
      <c r="C90" t="s">
        <v>44</v>
      </c>
      <c r="D90" t="s">
        <v>69</v>
      </c>
      <c r="E90">
        <v>89</v>
      </c>
      <c r="F90" s="6" t="s">
        <v>543</v>
      </c>
      <c r="G90" s="6" t="s">
        <v>111</v>
      </c>
      <c r="H90" s="9">
        <v>45819</v>
      </c>
      <c r="J90" s="6" t="s">
        <v>52</v>
      </c>
      <c r="K90" s="6" t="s">
        <v>34</v>
      </c>
      <c r="L90" s="6" t="s">
        <v>35</v>
      </c>
      <c r="M90" s="4">
        <f t="shared" si="7"/>
        <v>6321.0300000000007</v>
      </c>
      <c r="N90" s="4">
        <v>3356.8</v>
      </c>
      <c r="O90" s="4">
        <v>1779.9099999999999</v>
      </c>
      <c r="P90" s="4">
        <v>724.82999999999993</v>
      </c>
      <c r="Q90" s="4">
        <v>459.49</v>
      </c>
      <c r="R90" s="4">
        <v>1107.0248310000002</v>
      </c>
      <c r="S90" s="4">
        <v>1107.0248310000002</v>
      </c>
      <c r="T90">
        <v>874</v>
      </c>
      <c r="U90">
        <v>0</v>
      </c>
      <c r="W90" t="s">
        <v>36</v>
      </c>
      <c r="X90" t="s">
        <v>36</v>
      </c>
      <c r="Y90" s="6">
        <v>15000</v>
      </c>
      <c r="AC90" t="s">
        <v>113</v>
      </c>
      <c r="AD90" t="s">
        <v>38</v>
      </c>
      <c r="AE90" s="4">
        <f t="shared" si="8"/>
        <v>7195.0300000000007</v>
      </c>
      <c r="AF90">
        <f t="shared" si="5"/>
        <v>15000</v>
      </c>
      <c r="AG90" s="4">
        <f t="shared" si="6"/>
        <v>22195.03</v>
      </c>
      <c r="AI90" t="s">
        <v>47</v>
      </c>
    </row>
    <row r="91" spans="1:35" x14ac:dyDescent="0.3">
      <c r="A91" t="s">
        <v>43</v>
      </c>
      <c r="B91" t="s">
        <v>43</v>
      </c>
      <c r="C91" t="s">
        <v>44</v>
      </c>
      <c r="E91">
        <v>90</v>
      </c>
      <c r="F91" s="6" t="s">
        <v>184</v>
      </c>
      <c r="G91" s="6" t="s">
        <v>106</v>
      </c>
      <c r="H91" s="9">
        <v>45831</v>
      </c>
      <c r="I91" s="2">
        <v>45887</v>
      </c>
      <c r="J91" s="6" t="s">
        <v>33</v>
      </c>
      <c r="K91" s="6" t="s">
        <v>34</v>
      </c>
      <c r="L91" s="6" t="s">
        <v>35</v>
      </c>
      <c r="M91" s="4">
        <f t="shared" si="7"/>
        <v>4452</v>
      </c>
      <c r="N91" s="4">
        <v>4452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>
        <v>0</v>
      </c>
      <c r="U91">
        <v>0</v>
      </c>
      <c r="W91">
        <v>0</v>
      </c>
      <c r="X91" t="s">
        <v>36</v>
      </c>
      <c r="AC91" t="s">
        <v>37</v>
      </c>
      <c r="AD91" t="s">
        <v>38</v>
      </c>
      <c r="AE91" s="4">
        <f t="shared" si="8"/>
        <v>4452</v>
      </c>
      <c r="AF91">
        <f t="shared" si="5"/>
        <v>0</v>
      </c>
      <c r="AG91" s="4">
        <f t="shared" si="6"/>
        <v>4452</v>
      </c>
      <c r="AI91" t="s">
        <v>47</v>
      </c>
    </row>
    <row r="92" spans="1:35" x14ac:dyDescent="0.3">
      <c r="A92" t="s">
        <v>43</v>
      </c>
      <c r="B92" t="s">
        <v>43</v>
      </c>
      <c r="C92" t="s">
        <v>44</v>
      </c>
      <c r="D92" t="s">
        <v>54</v>
      </c>
      <c r="E92">
        <v>91</v>
      </c>
      <c r="F92" s="6" t="s">
        <v>417</v>
      </c>
      <c r="G92" s="6" t="s">
        <v>418</v>
      </c>
      <c r="H92" s="9">
        <v>45840</v>
      </c>
      <c r="J92" s="6" t="s">
        <v>52</v>
      </c>
      <c r="K92" s="6" t="s">
        <v>34</v>
      </c>
      <c r="L92" s="6" t="s">
        <v>35</v>
      </c>
      <c r="M92" s="4">
        <f t="shared" si="7"/>
        <v>5943.0599999999995</v>
      </c>
      <c r="N92" s="4">
        <v>3364.8</v>
      </c>
      <c r="O92" s="4">
        <v>1095.32</v>
      </c>
      <c r="P92" s="4">
        <v>1082.8499999999999</v>
      </c>
      <c r="Q92" s="4">
        <v>400.09</v>
      </c>
      <c r="R92" s="4">
        <v>954.38084040000001</v>
      </c>
      <c r="S92" s="4">
        <v>954.38084040000001</v>
      </c>
      <c r="T92">
        <v>950</v>
      </c>
      <c r="U92">
        <v>0</v>
      </c>
      <c r="W92" t="s">
        <v>36</v>
      </c>
      <c r="X92" t="s">
        <v>36</v>
      </c>
      <c r="AC92" t="s">
        <v>37</v>
      </c>
      <c r="AD92" t="s">
        <v>38</v>
      </c>
      <c r="AE92" s="4">
        <f t="shared" si="8"/>
        <v>6893.0599999999995</v>
      </c>
      <c r="AF92">
        <f t="shared" si="5"/>
        <v>0</v>
      </c>
      <c r="AG92" s="4">
        <f t="shared" si="6"/>
        <v>6893.0599999999995</v>
      </c>
      <c r="AI92" t="s">
        <v>47</v>
      </c>
    </row>
    <row r="93" spans="1:35" x14ac:dyDescent="0.3">
      <c r="A93" t="s">
        <v>43</v>
      </c>
      <c r="B93" t="s">
        <v>43</v>
      </c>
      <c r="C93" t="s">
        <v>44</v>
      </c>
      <c r="E93">
        <v>92</v>
      </c>
      <c r="F93" s="6" t="s">
        <v>186</v>
      </c>
      <c r="G93" s="6" t="s">
        <v>111</v>
      </c>
      <c r="H93" s="9">
        <v>45840</v>
      </c>
      <c r="I93" s="2">
        <v>45908</v>
      </c>
      <c r="J93" s="6" t="s">
        <v>33</v>
      </c>
      <c r="K93" s="6" t="s">
        <v>34</v>
      </c>
      <c r="L93" s="6" t="s">
        <v>35</v>
      </c>
      <c r="M93" s="4">
        <f t="shared" si="7"/>
        <v>3192.39</v>
      </c>
      <c r="N93" s="4">
        <v>3192.39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>
        <v>0</v>
      </c>
      <c r="U93">
        <v>0</v>
      </c>
      <c r="W93">
        <v>0</v>
      </c>
      <c r="X93" t="s">
        <v>36</v>
      </c>
      <c r="AC93" t="s">
        <v>37</v>
      </c>
      <c r="AD93" t="s">
        <v>38</v>
      </c>
      <c r="AE93" s="4">
        <f t="shared" si="8"/>
        <v>3192.39</v>
      </c>
      <c r="AF93">
        <f t="shared" si="5"/>
        <v>0</v>
      </c>
      <c r="AG93" s="4">
        <f t="shared" si="6"/>
        <v>3192.39</v>
      </c>
      <c r="AI93" t="s">
        <v>47</v>
      </c>
    </row>
    <row r="94" spans="1:35" x14ac:dyDescent="0.3">
      <c r="A94" t="s">
        <v>77</v>
      </c>
      <c r="B94" t="s">
        <v>78</v>
      </c>
      <c r="C94" t="s">
        <v>30</v>
      </c>
      <c r="E94">
        <v>93</v>
      </c>
      <c r="F94" s="6" t="s">
        <v>271</v>
      </c>
      <c r="G94" s="6" t="s">
        <v>272</v>
      </c>
      <c r="H94" s="9">
        <v>45840</v>
      </c>
      <c r="J94" s="6" t="s">
        <v>52</v>
      </c>
      <c r="K94" s="6" t="s">
        <v>34</v>
      </c>
      <c r="L94" s="6" t="s">
        <v>35</v>
      </c>
      <c r="M94" s="4">
        <f t="shared" si="7"/>
        <v>14298.039999999999</v>
      </c>
      <c r="N94" s="4">
        <v>8022.95</v>
      </c>
      <c r="O94" s="4">
        <v>3175.5299999999997</v>
      </c>
      <c r="P94" s="4">
        <v>800</v>
      </c>
      <c r="Q94" s="4">
        <v>2299.56</v>
      </c>
      <c r="R94" s="4">
        <v>2436.8131341000003</v>
      </c>
      <c r="S94" s="4">
        <v>2436.8131341000003</v>
      </c>
      <c r="T94">
        <v>950</v>
      </c>
      <c r="U94">
        <v>2000</v>
      </c>
      <c r="V94">
        <v>900</v>
      </c>
      <c r="W94" t="s">
        <v>707</v>
      </c>
      <c r="X94" t="s">
        <v>708</v>
      </c>
      <c r="Z94" t="s">
        <v>273</v>
      </c>
      <c r="AC94" t="s">
        <v>37</v>
      </c>
      <c r="AD94" t="s">
        <v>38</v>
      </c>
      <c r="AE94" s="4">
        <f t="shared" si="8"/>
        <v>16148.039999999999</v>
      </c>
      <c r="AF94">
        <f t="shared" si="5"/>
        <v>2000</v>
      </c>
      <c r="AG94" s="4">
        <f t="shared" si="6"/>
        <v>18148.04</v>
      </c>
      <c r="AI94" t="s">
        <v>39</v>
      </c>
    </row>
    <row r="95" spans="1:35" x14ac:dyDescent="0.3">
      <c r="A95" t="s">
        <v>43</v>
      </c>
      <c r="B95" t="s">
        <v>43</v>
      </c>
      <c r="C95" t="s">
        <v>44</v>
      </c>
      <c r="E95">
        <v>94</v>
      </c>
      <c r="F95" s="6" t="s">
        <v>191</v>
      </c>
      <c r="G95" s="6" t="s">
        <v>121</v>
      </c>
      <c r="H95" s="9">
        <v>45840</v>
      </c>
      <c r="I95" s="2">
        <v>45887</v>
      </c>
      <c r="J95" s="6" t="s">
        <v>33</v>
      </c>
      <c r="K95" s="6" t="s">
        <v>34</v>
      </c>
      <c r="L95" s="6" t="s">
        <v>35</v>
      </c>
      <c r="M95" s="4">
        <f t="shared" si="7"/>
        <v>6148</v>
      </c>
      <c r="N95" s="4">
        <v>6148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>
        <v>0</v>
      </c>
      <c r="U95">
        <v>0</v>
      </c>
      <c r="W95">
        <v>0</v>
      </c>
      <c r="X95" t="s">
        <v>36</v>
      </c>
      <c r="AC95" t="s">
        <v>37</v>
      </c>
      <c r="AD95" t="s">
        <v>38</v>
      </c>
      <c r="AE95" s="4">
        <f t="shared" si="8"/>
        <v>6148</v>
      </c>
      <c r="AF95">
        <f t="shared" si="5"/>
        <v>0</v>
      </c>
      <c r="AG95" s="4">
        <f t="shared" si="6"/>
        <v>6148</v>
      </c>
      <c r="AI95" t="s">
        <v>47</v>
      </c>
    </row>
    <row r="96" spans="1:35" x14ac:dyDescent="0.3">
      <c r="A96" t="s">
        <v>43</v>
      </c>
      <c r="B96" t="s">
        <v>43</v>
      </c>
      <c r="C96" t="s">
        <v>44</v>
      </c>
      <c r="D96" t="s">
        <v>218</v>
      </c>
      <c r="E96">
        <v>95</v>
      </c>
      <c r="F96" s="6" t="s">
        <v>225</v>
      </c>
      <c r="G96" s="6" t="s">
        <v>71</v>
      </c>
      <c r="H96" s="9">
        <v>45859</v>
      </c>
      <c r="J96" s="6" t="s">
        <v>52</v>
      </c>
      <c r="K96" s="6" t="s">
        <v>34</v>
      </c>
      <c r="L96" s="6" t="s">
        <v>35</v>
      </c>
      <c r="M96" s="4">
        <f t="shared" si="7"/>
        <v>5234.03</v>
      </c>
      <c r="N96" s="4">
        <v>2801.97</v>
      </c>
      <c r="O96" s="4">
        <v>1329.27</v>
      </c>
      <c r="P96" s="4">
        <v>699.2</v>
      </c>
      <c r="Q96" s="4">
        <v>403.59</v>
      </c>
      <c r="R96" s="4">
        <v>966.78376830000002</v>
      </c>
      <c r="S96" s="4">
        <v>966.78376830000002</v>
      </c>
      <c r="T96">
        <v>874</v>
      </c>
      <c r="U96">
        <v>0</v>
      </c>
      <c r="W96" t="s">
        <v>36</v>
      </c>
      <c r="X96" t="s">
        <v>36</v>
      </c>
      <c r="AC96" t="s">
        <v>37</v>
      </c>
      <c r="AD96" t="s">
        <v>38</v>
      </c>
      <c r="AE96" s="4">
        <f t="shared" si="8"/>
        <v>6108.03</v>
      </c>
      <c r="AF96">
        <f t="shared" si="5"/>
        <v>0</v>
      </c>
      <c r="AG96" s="4">
        <f t="shared" si="6"/>
        <v>6108.03</v>
      </c>
      <c r="AI96" t="s">
        <v>47</v>
      </c>
    </row>
    <row r="97" spans="1:35" x14ac:dyDescent="0.3">
      <c r="A97" t="s">
        <v>43</v>
      </c>
      <c r="B97" t="s">
        <v>43</v>
      </c>
      <c r="C97" t="s">
        <v>44</v>
      </c>
      <c r="E97">
        <v>96</v>
      </c>
      <c r="F97" s="6" t="s">
        <v>194</v>
      </c>
      <c r="G97" s="6" t="s">
        <v>111</v>
      </c>
      <c r="H97" s="9">
        <v>45861</v>
      </c>
      <c r="I97" s="2">
        <v>45953</v>
      </c>
      <c r="J97" s="6" t="s">
        <v>33</v>
      </c>
      <c r="K97" s="6" t="s">
        <v>34</v>
      </c>
      <c r="L97" s="6" t="s">
        <v>35</v>
      </c>
      <c r="M97" s="4">
        <f t="shared" si="7"/>
        <v>3192.39</v>
      </c>
      <c r="N97" s="4">
        <v>3192.39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>
        <v>0</v>
      </c>
      <c r="U97">
        <v>0</v>
      </c>
      <c r="W97">
        <v>0</v>
      </c>
      <c r="X97" t="s">
        <v>36</v>
      </c>
      <c r="AC97" t="s">
        <v>37</v>
      </c>
      <c r="AD97" t="s">
        <v>38</v>
      </c>
      <c r="AE97" s="4">
        <f t="shared" si="8"/>
        <v>3192.39</v>
      </c>
      <c r="AF97">
        <f t="shared" si="5"/>
        <v>0</v>
      </c>
      <c r="AG97" s="4">
        <f t="shared" si="6"/>
        <v>3192.39</v>
      </c>
      <c r="AI97" t="s">
        <v>47</v>
      </c>
    </row>
    <row r="98" spans="1:35" x14ac:dyDescent="0.3">
      <c r="A98" t="s">
        <v>43</v>
      </c>
      <c r="B98" t="s">
        <v>337</v>
      </c>
      <c r="C98" t="s">
        <v>44</v>
      </c>
      <c r="E98">
        <v>97</v>
      </c>
      <c r="F98" s="6" t="s">
        <v>338</v>
      </c>
      <c r="G98" s="6" t="s">
        <v>111</v>
      </c>
      <c r="H98" s="9">
        <v>45861</v>
      </c>
      <c r="J98" s="6" t="s">
        <v>52</v>
      </c>
      <c r="K98" s="6" t="s">
        <v>34</v>
      </c>
      <c r="L98" s="6" t="s">
        <v>35</v>
      </c>
      <c r="M98" s="4">
        <f t="shared" si="7"/>
        <v>4293.01</v>
      </c>
      <c r="N98" s="4">
        <v>3356.8</v>
      </c>
      <c r="O98" s="4">
        <v>325.60999999999996</v>
      </c>
      <c r="P98" s="4">
        <v>300</v>
      </c>
      <c r="Q98" s="4">
        <v>310.60000000000002</v>
      </c>
      <c r="R98" s="4">
        <v>779.3225523000001</v>
      </c>
      <c r="S98" s="4">
        <v>779.3225523000001</v>
      </c>
      <c r="T98">
        <v>798</v>
      </c>
      <c r="U98">
        <v>0</v>
      </c>
      <c r="W98" t="s">
        <v>36</v>
      </c>
      <c r="X98" t="s">
        <v>36</v>
      </c>
      <c r="AC98" t="s">
        <v>113</v>
      </c>
      <c r="AD98" t="s">
        <v>38</v>
      </c>
      <c r="AE98" s="4">
        <f t="shared" si="8"/>
        <v>5091.01</v>
      </c>
      <c r="AF98">
        <f t="shared" si="5"/>
        <v>0</v>
      </c>
      <c r="AG98" s="4">
        <f t="shared" si="6"/>
        <v>5091.01</v>
      </c>
      <c r="AI98" t="s">
        <v>47</v>
      </c>
    </row>
    <row r="99" spans="1:35" x14ac:dyDescent="0.3">
      <c r="A99" t="s">
        <v>43</v>
      </c>
      <c r="B99" t="s">
        <v>43</v>
      </c>
      <c r="C99" t="s">
        <v>44</v>
      </c>
      <c r="E99">
        <v>98</v>
      </c>
      <c r="F99" s="6" t="s">
        <v>198</v>
      </c>
      <c r="G99" s="6" t="s">
        <v>56</v>
      </c>
      <c r="H99" s="9">
        <v>45859</v>
      </c>
      <c r="I99" s="2">
        <v>45940</v>
      </c>
      <c r="J99" s="6" t="s">
        <v>33</v>
      </c>
      <c r="K99" s="6" t="s">
        <v>34</v>
      </c>
      <c r="L99" s="6" t="s">
        <v>35</v>
      </c>
      <c r="M99" s="4">
        <f t="shared" si="7"/>
        <v>5114.5</v>
      </c>
      <c r="N99" s="4">
        <v>5114.5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>
        <v>0</v>
      </c>
      <c r="U99">
        <v>0</v>
      </c>
      <c r="W99">
        <v>0</v>
      </c>
      <c r="X99" t="s">
        <v>36</v>
      </c>
      <c r="AC99" t="s">
        <v>37</v>
      </c>
      <c r="AD99" t="s">
        <v>38</v>
      </c>
      <c r="AE99" s="4">
        <f t="shared" si="8"/>
        <v>5114.5</v>
      </c>
      <c r="AF99">
        <f t="shared" si="5"/>
        <v>0</v>
      </c>
      <c r="AG99" s="4">
        <f t="shared" si="6"/>
        <v>5114.5</v>
      </c>
      <c r="AI99" t="s">
        <v>47</v>
      </c>
    </row>
    <row r="100" spans="1:35" x14ac:dyDescent="0.3">
      <c r="A100" t="s">
        <v>43</v>
      </c>
      <c r="B100" t="s">
        <v>43</v>
      </c>
      <c r="C100" t="s">
        <v>44</v>
      </c>
      <c r="D100" t="s">
        <v>54</v>
      </c>
      <c r="E100">
        <v>99</v>
      </c>
      <c r="F100" s="6" t="s">
        <v>236</v>
      </c>
      <c r="G100" s="6" t="s">
        <v>56</v>
      </c>
      <c r="H100" s="9">
        <v>45859</v>
      </c>
      <c r="J100" s="6" t="s">
        <v>52</v>
      </c>
      <c r="K100" s="6" t="s">
        <v>34</v>
      </c>
      <c r="L100" s="6" t="s">
        <v>35</v>
      </c>
      <c r="M100" s="4">
        <f t="shared" si="7"/>
        <v>11704.86</v>
      </c>
      <c r="N100" s="4">
        <v>5377.9</v>
      </c>
      <c r="O100" s="4">
        <v>3651.37</v>
      </c>
      <c r="P100" s="4">
        <v>800</v>
      </c>
      <c r="Q100" s="4">
        <v>1875.5900000000001</v>
      </c>
      <c r="R100" s="4">
        <v>2008.5457238999998</v>
      </c>
      <c r="S100" s="4">
        <v>2008.5457238999998</v>
      </c>
      <c r="T100">
        <v>988</v>
      </c>
      <c r="U100">
        <v>0</v>
      </c>
      <c r="W100" t="s">
        <v>36</v>
      </c>
      <c r="X100" t="s">
        <v>36</v>
      </c>
      <c r="AC100" t="s">
        <v>37</v>
      </c>
      <c r="AD100" t="s">
        <v>38</v>
      </c>
      <c r="AE100" s="4">
        <f t="shared" si="8"/>
        <v>12692.86</v>
      </c>
      <c r="AF100">
        <f t="shared" si="5"/>
        <v>0</v>
      </c>
      <c r="AG100" s="4">
        <f t="shared" si="6"/>
        <v>12692.86</v>
      </c>
      <c r="AI100" t="s">
        <v>47</v>
      </c>
    </row>
    <row r="101" spans="1:35" x14ac:dyDescent="0.3">
      <c r="A101" t="s">
        <v>43</v>
      </c>
      <c r="B101" t="s">
        <v>529</v>
      </c>
      <c r="C101" t="s">
        <v>44</v>
      </c>
      <c r="E101">
        <v>100</v>
      </c>
      <c r="F101" s="6" t="s">
        <v>530</v>
      </c>
      <c r="G101" s="6" t="s">
        <v>106</v>
      </c>
      <c r="H101" s="9">
        <v>45861</v>
      </c>
      <c r="J101" s="6" t="s">
        <v>52</v>
      </c>
      <c r="K101" s="6" t="s">
        <v>34</v>
      </c>
      <c r="L101" s="6" t="s">
        <v>35</v>
      </c>
      <c r="M101" s="4">
        <f t="shared" si="7"/>
        <v>8418.73</v>
      </c>
      <c r="N101" s="4">
        <v>4681.28</v>
      </c>
      <c r="O101" s="4">
        <v>1981.23</v>
      </c>
      <c r="P101" s="4">
        <v>977</v>
      </c>
      <c r="Q101" s="4">
        <v>779.21999999999991</v>
      </c>
      <c r="R101" s="4">
        <v>1460.8515770999998</v>
      </c>
      <c r="S101" s="4">
        <v>1460.8515770999998</v>
      </c>
      <c r="T101">
        <v>950</v>
      </c>
      <c r="U101">
        <v>0</v>
      </c>
      <c r="W101" t="s">
        <v>36</v>
      </c>
      <c r="X101" t="s">
        <v>36</v>
      </c>
      <c r="Y101" s="6">
        <v>14000</v>
      </c>
      <c r="AC101" t="s">
        <v>53</v>
      </c>
      <c r="AD101" t="s">
        <v>38</v>
      </c>
      <c r="AE101" s="4">
        <f t="shared" si="8"/>
        <v>9368.73</v>
      </c>
      <c r="AF101">
        <f t="shared" si="5"/>
        <v>14000</v>
      </c>
      <c r="AG101" s="4">
        <f t="shared" si="6"/>
        <v>23368.73</v>
      </c>
      <c r="AI101" t="s">
        <v>47</v>
      </c>
    </row>
    <row r="102" spans="1:35" x14ac:dyDescent="0.3">
      <c r="A102" t="s">
        <v>43</v>
      </c>
      <c r="B102" t="s">
        <v>43</v>
      </c>
      <c r="C102" t="s">
        <v>44</v>
      </c>
      <c r="D102" t="s">
        <v>218</v>
      </c>
      <c r="E102">
        <v>101</v>
      </c>
      <c r="F102" s="6" t="s">
        <v>535</v>
      </c>
      <c r="G102" s="6" t="s">
        <v>106</v>
      </c>
      <c r="H102" s="9">
        <v>45861</v>
      </c>
      <c r="J102" s="6" t="s">
        <v>52</v>
      </c>
      <c r="K102" s="6" t="s">
        <v>34</v>
      </c>
      <c r="L102" s="6" t="s">
        <v>35</v>
      </c>
      <c r="M102" s="4">
        <f t="shared" si="7"/>
        <v>8877.5400000000009</v>
      </c>
      <c r="N102" s="4">
        <v>4681.28</v>
      </c>
      <c r="O102" s="4">
        <v>2551.09</v>
      </c>
      <c r="P102" s="4">
        <v>694.6400000000001</v>
      </c>
      <c r="Q102" s="4">
        <v>950.53</v>
      </c>
      <c r="R102" s="4">
        <v>1601.5020812999999</v>
      </c>
      <c r="S102" s="4">
        <v>1601.5020812999999</v>
      </c>
      <c r="T102">
        <v>950</v>
      </c>
      <c r="U102">
        <v>0</v>
      </c>
      <c r="W102" t="s">
        <v>36</v>
      </c>
      <c r="X102" t="s">
        <v>36</v>
      </c>
      <c r="Y102" s="6">
        <v>14000</v>
      </c>
      <c r="AC102" t="s">
        <v>53</v>
      </c>
      <c r="AD102" t="s">
        <v>38</v>
      </c>
      <c r="AE102" s="4">
        <f t="shared" si="8"/>
        <v>9827.5400000000009</v>
      </c>
      <c r="AF102">
        <f t="shared" si="5"/>
        <v>14000</v>
      </c>
      <c r="AG102" s="4">
        <f t="shared" si="6"/>
        <v>23827.54</v>
      </c>
      <c r="AI102" t="s">
        <v>47</v>
      </c>
    </row>
    <row r="103" spans="1:35" x14ac:dyDescent="0.3">
      <c r="A103" t="s">
        <v>43</v>
      </c>
      <c r="B103" t="s">
        <v>43</v>
      </c>
      <c r="C103" t="s">
        <v>44</v>
      </c>
      <c r="E103">
        <v>103</v>
      </c>
      <c r="F103" s="6" t="s">
        <v>206</v>
      </c>
      <c r="G103" s="6" t="s">
        <v>65</v>
      </c>
      <c r="H103" s="9">
        <v>45859</v>
      </c>
      <c r="I103" s="2">
        <v>45937</v>
      </c>
      <c r="J103" s="6" t="s">
        <v>33</v>
      </c>
      <c r="K103" s="6" t="s">
        <v>34</v>
      </c>
      <c r="L103" s="6" t="s">
        <v>35</v>
      </c>
      <c r="M103" s="4">
        <f t="shared" si="7"/>
        <v>2189.9699999999998</v>
      </c>
      <c r="N103" s="4">
        <v>2189.9699999999998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>
        <v>0</v>
      </c>
      <c r="U103">
        <v>0</v>
      </c>
      <c r="W103">
        <v>0</v>
      </c>
      <c r="X103" t="s">
        <v>36</v>
      </c>
      <c r="AC103" t="s">
        <v>37</v>
      </c>
      <c r="AD103" t="s">
        <v>38</v>
      </c>
      <c r="AE103" s="4">
        <f t="shared" si="8"/>
        <v>2189.9699999999998</v>
      </c>
      <c r="AF103">
        <f t="shared" si="5"/>
        <v>0</v>
      </c>
      <c r="AG103" s="4">
        <f t="shared" si="6"/>
        <v>2189.9699999999998</v>
      </c>
      <c r="AI103" t="s">
        <v>47</v>
      </c>
    </row>
    <row r="104" spans="1:35" x14ac:dyDescent="0.3">
      <c r="A104" t="s">
        <v>43</v>
      </c>
      <c r="B104" t="s">
        <v>48</v>
      </c>
      <c r="C104" t="s">
        <v>44</v>
      </c>
      <c r="D104" t="s">
        <v>49</v>
      </c>
      <c r="E104">
        <v>104</v>
      </c>
      <c r="F104" s="6" t="s">
        <v>50</v>
      </c>
      <c r="G104" s="6" t="s">
        <v>51</v>
      </c>
      <c r="H104" s="9">
        <v>45861</v>
      </c>
      <c r="J104" s="6" t="s">
        <v>52</v>
      </c>
      <c r="K104" s="6" t="s">
        <v>34</v>
      </c>
      <c r="L104" s="6" t="s">
        <v>35</v>
      </c>
      <c r="M104" s="4">
        <f t="shared" si="7"/>
        <v>12510.810000000001</v>
      </c>
      <c r="N104" s="4">
        <v>4942.05</v>
      </c>
      <c r="O104" s="4">
        <v>4836.1900000000005</v>
      </c>
      <c r="P104" s="4">
        <v>725.71</v>
      </c>
      <c r="Q104" s="4">
        <v>2006.8600000000001</v>
      </c>
      <c r="R104" s="4">
        <v>2154.6911430000005</v>
      </c>
      <c r="S104" s="4">
        <v>2154.6911430000005</v>
      </c>
      <c r="T104">
        <v>950</v>
      </c>
      <c r="U104">
        <v>0</v>
      </c>
      <c r="W104" t="s">
        <v>36</v>
      </c>
      <c r="X104" t="s">
        <v>36</v>
      </c>
      <c r="Y104" s="6">
        <v>14000</v>
      </c>
      <c r="AC104" t="s">
        <v>53</v>
      </c>
      <c r="AD104" t="s">
        <v>38</v>
      </c>
      <c r="AE104" s="4">
        <f t="shared" si="8"/>
        <v>13460.810000000001</v>
      </c>
      <c r="AF104">
        <f t="shared" si="5"/>
        <v>14000</v>
      </c>
      <c r="AG104" s="4">
        <f t="shared" si="6"/>
        <v>27460.81</v>
      </c>
      <c r="AI104" t="s">
        <v>47</v>
      </c>
    </row>
    <row r="105" spans="1:35" x14ac:dyDescent="0.3">
      <c r="A105" t="s">
        <v>43</v>
      </c>
      <c r="B105" t="s">
        <v>43</v>
      </c>
      <c r="C105" t="s">
        <v>44</v>
      </c>
      <c r="D105" t="s">
        <v>211</v>
      </c>
      <c r="E105">
        <v>105</v>
      </c>
      <c r="F105" s="6" t="s">
        <v>627</v>
      </c>
      <c r="G105" s="6" t="s">
        <v>60</v>
      </c>
      <c r="H105" s="9">
        <v>46121</v>
      </c>
      <c r="I105" s="2">
        <v>46149</v>
      </c>
      <c r="J105" s="6" t="s">
        <v>33</v>
      </c>
      <c r="K105" s="6" t="s">
        <v>34</v>
      </c>
      <c r="L105" s="6" t="s">
        <v>35</v>
      </c>
      <c r="M105" s="4">
        <f t="shared" si="7"/>
        <v>3981.74</v>
      </c>
      <c r="N105" s="4">
        <v>2189.9699999999998</v>
      </c>
      <c r="O105" s="4">
        <v>1043.6500000000001</v>
      </c>
      <c r="P105" s="4">
        <v>623.42000000000007</v>
      </c>
      <c r="Q105" s="4">
        <v>124.7</v>
      </c>
      <c r="R105" s="4">
        <v>290.20163669999999</v>
      </c>
      <c r="S105" s="4">
        <v>290.20163669999999</v>
      </c>
      <c r="T105">
        <v>0</v>
      </c>
      <c r="U105">
        <v>0</v>
      </c>
      <c r="W105">
        <v>0</v>
      </c>
      <c r="X105" t="s">
        <v>36</v>
      </c>
      <c r="AC105" t="s">
        <v>37</v>
      </c>
      <c r="AD105" t="s">
        <v>38</v>
      </c>
      <c r="AE105" s="4">
        <f t="shared" si="8"/>
        <v>3981.74</v>
      </c>
      <c r="AF105">
        <f t="shared" si="5"/>
        <v>0</v>
      </c>
      <c r="AG105" s="4">
        <f t="shared" si="6"/>
        <v>3981.74</v>
      </c>
      <c r="AI105" t="s">
        <v>47</v>
      </c>
    </row>
    <row r="106" spans="1:35" x14ac:dyDescent="0.3">
      <c r="A106" t="s">
        <v>43</v>
      </c>
      <c r="B106" t="s">
        <v>43</v>
      </c>
      <c r="C106" t="s">
        <v>44</v>
      </c>
      <c r="E106">
        <v>106</v>
      </c>
      <c r="F106" s="6" t="s">
        <v>213</v>
      </c>
      <c r="G106" s="6" t="s">
        <v>136</v>
      </c>
      <c r="H106" s="9">
        <v>45859</v>
      </c>
      <c r="I106" s="2">
        <v>45911</v>
      </c>
      <c r="J106" s="6" t="s">
        <v>33</v>
      </c>
      <c r="K106" s="6" t="s">
        <v>34</v>
      </c>
      <c r="L106" s="6" t="s">
        <v>35</v>
      </c>
      <c r="M106" s="4">
        <f t="shared" si="7"/>
        <v>2664.74</v>
      </c>
      <c r="N106" s="4">
        <v>2664.74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>
        <v>0</v>
      </c>
      <c r="U106">
        <v>0</v>
      </c>
      <c r="W106">
        <v>0</v>
      </c>
      <c r="X106" t="s">
        <v>36</v>
      </c>
      <c r="AC106" t="s">
        <v>37</v>
      </c>
      <c r="AD106" t="s">
        <v>38</v>
      </c>
      <c r="AE106" s="4">
        <f t="shared" si="8"/>
        <v>2664.74</v>
      </c>
      <c r="AF106">
        <f t="shared" si="5"/>
        <v>0</v>
      </c>
      <c r="AG106" s="4">
        <f t="shared" si="6"/>
        <v>2664.74</v>
      </c>
      <c r="AI106" t="s">
        <v>47</v>
      </c>
    </row>
    <row r="107" spans="1:35" x14ac:dyDescent="0.3">
      <c r="A107" t="s">
        <v>43</v>
      </c>
      <c r="B107" t="s">
        <v>43</v>
      </c>
      <c r="C107" t="s">
        <v>44</v>
      </c>
      <c r="D107" t="s">
        <v>211</v>
      </c>
      <c r="E107">
        <v>107</v>
      </c>
      <c r="F107" s="6" t="s">
        <v>559</v>
      </c>
      <c r="G107" s="6" t="s">
        <v>60</v>
      </c>
      <c r="H107" s="9">
        <v>45859</v>
      </c>
      <c r="J107" s="6" t="s">
        <v>52</v>
      </c>
      <c r="K107" s="6" t="s">
        <v>34</v>
      </c>
      <c r="L107" s="6" t="s">
        <v>35</v>
      </c>
      <c r="M107" s="4">
        <f t="shared" si="7"/>
        <v>5034.1100000000006</v>
      </c>
      <c r="N107" s="4">
        <v>2302.75</v>
      </c>
      <c r="O107" s="4">
        <v>1709.4500000000003</v>
      </c>
      <c r="P107" s="4">
        <v>627.4</v>
      </c>
      <c r="Q107" s="4">
        <v>394.51</v>
      </c>
      <c r="R107" s="4">
        <v>950.49639539999987</v>
      </c>
      <c r="S107" s="4">
        <v>950.49639539999987</v>
      </c>
      <c r="T107">
        <v>912</v>
      </c>
      <c r="U107">
        <v>0</v>
      </c>
      <c r="W107" t="s">
        <v>36</v>
      </c>
      <c r="X107" t="s">
        <v>36</v>
      </c>
      <c r="AC107" t="s">
        <v>37</v>
      </c>
      <c r="AD107" t="s">
        <v>38</v>
      </c>
      <c r="AE107" s="4">
        <f t="shared" si="8"/>
        <v>5946.1100000000006</v>
      </c>
      <c r="AF107">
        <f t="shared" si="5"/>
        <v>0</v>
      </c>
      <c r="AG107" s="4">
        <f t="shared" si="6"/>
        <v>5946.1100000000006</v>
      </c>
      <c r="AI107" t="s">
        <v>47</v>
      </c>
    </row>
    <row r="108" spans="1:35" x14ac:dyDescent="0.3">
      <c r="A108" t="s">
        <v>43</v>
      </c>
      <c r="B108" t="s">
        <v>43</v>
      </c>
      <c r="C108" t="s">
        <v>44</v>
      </c>
      <c r="E108">
        <v>108</v>
      </c>
      <c r="F108" s="6" t="s">
        <v>216</v>
      </c>
      <c r="G108" s="6" t="s">
        <v>60</v>
      </c>
      <c r="H108" s="9">
        <v>45859</v>
      </c>
      <c r="I108" s="2">
        <v>45999</v>
      </c>
      <c r="J108" s="6" t="s">
        <v>33</v>
      </c>
      <c r="K108" s="6" t="s">
        <v>34</v>
      </c>
      <c r="L108" s="6" t="s">
        <v>35</v>
      </c>
      <c r="M108" s="4">
        <f t="shared" si="7"/>
        <v>2189.9699999999998</v>
      </c>
      <c r="N108" s="4">
        <v>2189.9699999999998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>
        <v>0</v>
      </c>
      <c r="U108">
        <v>0</v>
      </c>
      <c r="W108">
        <v>0</v>
      </c>
      <c r="X108" t="s">
        <v>36</v>
      </c>
      <c r="AC108" t="s">
        <v>37</v>
      </c>
      <c r="AD108" t="s">
        <v>38</v>
      </c>
      <c r="AE108" s="4">
        <f t="shared" si="8"/>
        <v>2189.9699999999998</v>
      </c>
      <c r="AF108">
        <f t="shared" si="5"/>
        <v>0</v>
      </c>
      <c r="AG108" s="4">
        <f t="shared" si="6"/>
        <v>2189.9699999999998</v>
      </c>
      <c r="AI108" t="s">
        <v>47</v>
      </c>
    </row>
    <row r="109" spans="1:35" x14ac:dyDescent="0.3">
      <c r="A109" t="s">
        <v>43</v>
      </c>
      <c r="B109" t="s">
        <v>43</v>
      </c>
      <c r="C109" t="s">
        <v>44</v>
      </c>
      <c r="E109">
        <v>109</v>
      </c>
      <c r="F109" s="6" t="s">
        <v>217</v>
      </c>
      <c r="G109" s="6" t="s">
        <v>136</v>
      </c>
      <c r="H109" s="9">
        <v>45859</v>
      </c>
      <c r="J109" s="6" t="s">
        <v>112</v>
      </c>
      <c r="K109" s="6" t="s">
        <v>34</v>
      </c>
      <c r="L109" s="6" t="s">
        <v>35</v>
      </c>
      <c r="M109" s="4">
        <f t="shared" si="7"/>
        <v>2801.9741099999997</v>
      </c>
      <c r="N109" s="4">
        <v>2801.9741099999997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>
        <v>836</v>
      </c>
      <c r="U109">
        <v>0</v>
      </c>
      <c r="W109" t="s">
        <v>36</v>
      </c>
      <c r="X109" t="s">
        <v>36</v>
      </c>
      <c r="AC109" t="s">
        <v>37</v>
      </c>
      <c r="AD109" t="s">
        <v>38</v>
      </c>
      <c r="AE109" s="4">
        <f t="shared" si="8"/>
        <v>3637.9741099999997</v>
      </c>
      <c r="AF109">
        <f t="shared" si="5"/>
        <v>0</v>
      </c>
      <c r="AG109" s="4">
        <f t="shared" si="6"/>
        <v>3637.9741099999997</v>
      </c>
      <c r="AI109" t="s">
        <v>47</v>
      </c>
    </row>
    <row r="110" spans="1:35" x14ac:dyDescent="0.3">
      <c r="A110" t="s">
        <v>43</v>
      </c>
      <c r="B110" t="s">
        <v>43</v>
      </c>
      <c r="C110" t="s">
        <v>44</v>
      </c>
      <c r="D110" t="s">
        <v>218</v>
      </c>
      <c r="E110">
        <v>110</v>
      </c>
      <c r="F110" s="6" t="s">
        <v>565</v>
      </c>
      <c r="G110" s="6" t="s">
        <v>60</v>
      </c>
      <c r="H110" s="9">
        <v>45859</v>
      </c>
      <c r="J110" s="6" t="s">
        <v>52</v>
      </c>
      <c r="K110" s="6" t="s">
        <v>34</v>
      </c>
      <c r="L110" s="6" t="s">
        <v>35</v>
      </c>
      <c r="M110" s="4">
        <f t="shared" si="7"/>
        <v>4944.2700000000004</v>
      </c>
      <c r="N110" s="4">
        <v>2302.75</v>
      </c>
      <c r="O110" s="4">
        <v>1698.2300000000002</v>
      </c>
      <c r="P110" s="4">
        <v>549.20000000000005</v>
      </c>
      <c r="Q110" s="4">
        <v>394.09</v>
      </c>
      <c r="R110" s="4">
        <v>931.72087799999986</v>
      </c>
      <c r="S110" s="4">
        <v>931.72087799999986</v>
      </c>
      <c r="T110">
        <v>950</v>
      </c>
      <c r="U110">
        <v>0</v>
      </c>
      <c r="W110" t="s">
        <v>36</v>
      </c>
      <c r="X110" t="s">
        <v>36</v>
      </c>
      <c r="AC110" t="s">
        <v>37</v>
      </c>
      <c r="AD110" t="s">
        <v>38</v>
      </c>
      <c r="AE110" s="4">
        <f t="shared" si="8"/>
        <v>5894.27</v>
      </c>
      <c r="AF110">
        <f t="shared" si="5"/>
        <v>0</v>
      </c>
      <c r="AG110" s="4">
        <f t="shared" si="6"/>
        <v>5894.27</v>
      </c>
      <c r="AI110" t="s">
        <v>47</v>
      </c>
    </row>
    <row r="111" spans="1:35" x14ac:dyDescent="0.3">
      <c r="A111" t="s">
        <v>43</v>
      </c>
      <c r="B111" t="s">
        <v>43</v>
      </c>
      <c r="C111" t="s">
        <v>44</v>
      </c>
      <c r="E111">
        <v>111</v>
      </c>
      <c r="F111" s="6" t="s">
        <v>220</v>
      </c>
      <c r="G111" s="6" t="s">
        <v>111</v>
      </c>
      <c r="H111" s="9">
        <v>45861</v>
      </c>
      <c r="I111" s="2">
        <v>45876</v>
      </c>
      <c r="J111" s="6" t="s">
        <v>33</v>
      </c>
      <c r="K111" s="6" t="s">
        <v>34</v>
      </c>
      <c r="L111" s="6" t="s">
        <v>35</v>
      </c>
      <c r="M111" s="4">
        <f t="shared" si="7"/>
        <v>3192.39</v>
      </c>
      <c r="N111" s="4">
        <v>3192.39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>
        <v>0</v>
      </c>
      <c r="U111">
        <v>0</v>
      </c>
      <c r="W111">
        <v>0</v>
      </c>
      <c r="X111" t="s">
        <v>36</v>
      </c>
      <c r="AC111" t="s">
        <v>37</v>
      </c>
      <c r="AD111" t="s">
        <v>38</v>
      </c>
      <c r="AE111" s="4">
        <f t="shared" si="8"/>
        <v>3192.39</v>
      </c>
      <c r="AF111">
        <f t="shared" si="5"/>
        <v>0</v>
      </c>
      <c r="AG111" s="4">
        <f t="shared" si="6"/>
        <v>3192.39</v>
      </c>
      <c r="AI111" t="s">
        <v>47</v>
      </c>
    </row>
    <row r="112" spans="1:35" x14ac:dyDescent="0.3">
      <c r="A112" t="s">
        <v>43</v>
      </c>
      <c r="B112" t="s">
        <v>43</v>
      </c>
      <c r="C112" t="s">
        <v>44</v>
      </c>
      <c r="D112" t="s">
        <v>218</v>
      </c>
      <c r="E112">
        <v>112</v>
      </c>
      <c r="F112" s="6" t="s">
        <v>288</v>
      </c>
      <c r="G112" s="6" t="s">
        <v>71</v>
      </c>
      <c r="H112" s="9">
        <v>45859</v>
      </c>
      <c r="J112" s="6" t="s">
        <v>52</v>
      </c>
      <c r="K112" s="6" t="s">
        <v>34</v>
      </c>
      <c r="L112" s="6" t="s">
        <v>35</v>
      </c>
      <c r="M112" s="4">
        <f t="shared" si="7"/>
        <v>5877.74</v>
      </c>
      <c r="N112" s="4">
        <v>2801.97</v>
      </c>
      <c r="O112" s="4">
        <v>1891.7599999999998</v>
      </c>
      <c r="P112" s="4">
        <v>699.2</v>
      </c>
      <c r="Q112" s="4">
        <v>484.81</v>
      </c>
      <c r="R112" s="4">
        <v>1103.539329</v>
      </c>
      <c r="S112" s="4">
        <v>1103.539329</v>
      </c>
      <c r="T112">
        <v>912</v>
      </c>
      <c r="U112">
        <v>0</v>
      </c>
      <c r="W112" t="s">
        <v>36</v>
      </c>
      <c r="X112" t="s">
        <v>36</v>
      </c>
      <c r="AC112" t="s">
        <v>37</v>
      </c>
      <c r="AD112" t="s">
        <v>38</v>
      </c>
      <c r="AE112" s="4">
        <f t="shared" si="8"/>
        <v>6789.74</v>
      </c>
      <c r="AF112">
        <f t="shared" si="5"/>
        <v>0</v>
      </c>
      <c r="AG112" s="4">
        <f t="shared" si="6"/>
        <v>6789.74</v>
      </c>
      <c r="AI112" t="s">
        <v>47</v>
      </c>
    </row>
    <row r="113" spans="1:35" x14ac:dyDescent="0.3">
      <c r="A113" t="s">
        <v>43</v>
      </c>
      <c r="B113" t="s">
        <v>43</v>
      </c>
      <c r="C113" t="s">
        <v>44</v>
      </c>
      <c r="D113" t="s">
        <v>155</v>
      </c>
      <c r="E113">
        <v>113</v>
      </c>
      <c r="F113" s="6" t="s">
        <v>156</v>
      </c>
      <c r="G113" s="6" t="s">
        <v>111</v>
      </c>
      <c r="H113" s="9">
        <v>45861</v>
      </c>
      <c r="J113" s="6" t="s">
        <v>52</v>
      </c>
      <c r="K113" s="6" t="s">
        <v>34</v>
      </c>
      <c r="L113" s="6" t="s">
        <v>35</v>
      </c>
      <c r="M113" s="4">
        <f t="shared" si="7"/>
        <v>6736.86</v>
      </c>
      <c r="N113" s="4">
        <v>3356.8</v>
      </c>
      <c r="O113" s="4">
        <v>2440.12</v>
      </c>
      <c r="P113" s="4">
        <v>349.30999999999995</v>
      </c>
      <c r="Q113" s="4">
        <v>590.63</v>
      </c>
      <c r="R113" s="4">
        <v>1246.4953037999996</v>
      </c>
      <c r="S113" s="4">
        <v>1246.4953037999996</v>
      </c>
      <c r="T113">
        <v>1026</v>
      </c>
      <c r="U113">
        <v>0</v>
      </c>
      <c r="W113" t="s">
        <v>36</v>
      </c>
      <c r="X113" t="s">
        <v>36</v>
      </c>
      <c r="Y113" s="6">
        <v>13000</v>
      </c>
      <c r="AC113" t="s">
        <v>113</v>
      </c>
      <c r="AD113" t="s">
        <v>38</v>
      </c>
      <c r="AE113" s="4">
        <f t="shared" si="8"/>
        <v>7762.86</v>
      </c>
      <c r="AF113">
        <f t="shared" si="5"/>
        <v>13000</v>
      </c>
      <c r="AG113" s="4">
        <f t="shared" si="6"/>
        <v>20762.86</v>
      </c>
      <c r="AI113" t="s">
        <v>47</v>
      </c>
    </row>
    <row r="114" spans="1:35" x14ac:dyDescent="0.3">
      <c r="A114" t="s">
        <v>43</v>
      </c>
      <c r="B114" t="s">
        <v>43</v>
      </c>
      <c r="C114" t="s">
        <v>44</v>
      </c>
      <c r="E114">
        <v>114</v>
      </c>
      <c r="F114" s="6" t="s">
        <v>224</v>
      </c>
      <c r="G114" s="6" t="s">
        <v>60</v>
      </c>
      <c r="H114" s="9">
        <v>45859</v>
      </c>
      <c r="I114" s="2">
        <v>45964</v>
      </c>
      <c r="J114" s="6" t="s">
        <v>33</v>
      </c>
      <c r="K114" s="6" t="s">
        <v>34</v>
      </c>
      <c r="L114" s="6" t="s">
        <v>35</v>
      </c>
      <c r="M114" s="4">
        <f t="shared" si="7"/>
        <v>2189.9699999999998</v>
      </c>
      <c r="N114" s="4">
        <v>2189.9699999999998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>
        <v>0</v>
      </c>
      <c r="U114">
        <v>0</v>
      </c>
      <c r="W114">
        <v>0</v>
      </c>
      <c r="X114" t="s">
        <v>36</v>
      </c>
      <c r="AC114" t="s">
        <v>37</v>
      </c>
      <c r="AD114" t="s">
        <v>38</v>
      </c>
      <c r="AE114" s="4">
        <f t="shared" si="8"/>
        <v>2189.9699999999998</v>
      </c>
      <c r="AF114">
        <f t="shared" si="5"/>
        <v>0</v>
      </c>
      <c r="AG114" s="4">
        <f t="shared" si="6"/>
        <v>2189.9699999999998</v>
      </c>
      <c r="AI114" t="s">
        <v>47</v>
      </c>
    </row>
    <row r="115" spans="1:35" x14ac:dyDescent="0.3">
      <c r="A115" t="s">
        <v>43</v>
      </c>
      <c r="B115" t="s">
        <v>43</v>
      </c>
      <c r="C115" t="s">
        <v>44</v>
      </c>
      <c r="D115" t="s">
        <v>387</v>
      </c>
      <c r="E115">
        <v>115</v>
      </c>
      <c r="F115" s="6" t="s">
        <v>491</v>
      </c>
      <c r="G115" s="6" t="s">
        <v>60</v>
      </c>
      <c r="H115" s="9">
        <v>45859</v>
      </c>
      <c r="J115" s="6" t="s">
        <v>52</v>
      </c>
      <c r="K115" s="6" t="s">
        <v>34</v>
      </c>
      <c r="L115" s="6" t="s">
        <v>35</v>
      </c>
      <c r="M115" s="4">
        <f t="shared" si="7"/>
        <v>6276.6799999999985</v>
      </c>
      <c r="N115" s="4">
        <v>2302.75</v>
      </c>
      <c r="O115" s="4">
        <v>2376.73</v>
      </c>
      <c r="P115" s="4">
        <v>1129.6300000000001</v>
      </c>
      <c r="Q115" s="4">
        <v>467.57</v>
      </c>
      <c r="R115" s="4">
        <v>1081.9691109</v>
      </c>
      <c r="S115" s="4">
        <v>1081.9691109</v>
      </c>
      <c r="T115">
        <v>912</v>
      </c>
      <c r="U115">
        <v>0</v>
      </c>
      <c r="W115" t="s">
        <v>36</v>
      </c>
      <c r="X115" t="s">
        <v>36</v>
      </c>
      <c r="AC115" t="s">
        <v>37</v>
      </c>
      <c r="AD115" t="s">
        <v>38</v>
      </c>
      <c r="AE115" s="4">
        <f t="shared" si="8"/>
        <v>7188.6799999999985</v>
      </c>
      <c r="AF115">
        <f t="shared" si="5"/>
        <v>0</v>
      </c>
      <c r="AG115" s="4">
        <f t="shared" si="6"/>
        <v>7188.6799999999985</v>
      </c>
      <c r="AI115" t="s">
        <v>47</v>
      </c>
    </row>
    <row r="116" spans="1:35" x14ac:dyDescent="0.3">
      <c r="A116" t="s">
        <v>43</v>
      </c>
      <c r="B116" t="s">
        <v>43</v>
      </c>
      <c r="C116" t="s">
        <v>44</v>
      </c>
      <c r="D116" t="s">
        <v>54</v>
      </c>
      <c r="E116">
        <v>116</v>
      </c>
      <c r="F116" s="6" t="s">
        <v>570</v>
      </c>
      <c r="G116" s="6" t="s">
        <v>65</v>
      </c>
      <c r="H116" s="9">
        <v>45859</v>
      </c>
      <c r="I116" s="2">
        <v>46120</v>
      </c>
      <c r="J116" s="6" t="s">
        <v>33</v>
      </c>
      <c r="K116" s="6" t="s">
        <v>34</v>
      </c>
      <c r="L116" s="6" t="s">
        <v>35</v>
      </c>
      <c r="M116" s="4">
        <f t="shared" si="7"/>
        <v>2189.9699999999998</v>
      </c>
      <c r="N116" s="4">
        <v>2189.9699999999998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>
        <v>0</v>
      </c>
      <c r="U116">
        <v>0</v>
      </c>
      <c r="W116">
        <v>0</v>
      </c>
      <c r="X116" t="s">
        <v>36</v>
      </c>
      <c r="AC116" t="s">
        <v>37</v>
      </c>
      <c r="AD116" t="s">
        <v>38</v>
      </c>
      <c r="AE116" s="4">
        <f t="shared" si="8"/>
        <v>2189.9699999999998</v>
      </c>
      <c r="AF116">
        <f t="shared" si="5"/>
        <v>0</v>
      </c>
      <c r="AG116" s="4">
        <f t="shared" si="6"/>
        <v>2189.9699999999998</v>
      </c>
      <c r="AI116" t="s">
        <v>47</v>
      </c>
    </row>
    <row r="117" spans="1:35" x14ac:dyDescent="0.3">
      <c r="A117" t="s">
        <v>43</v>
      </c>
      <c r="B117" t="s">
        <v>43</v>
      </c>
      <c r="C117" t="s">
        <v>44</v>
      </c>
      <c r="E117">
        <v>117</v>
      </c>
      <c r="F117" s="6" t="s">
        <v>227</v>
      </c>
      <c r="G117" s="6" t="s">
        <v>65</v>
      </c>
      <c r="H117" s="9">
        <v>45861</v>
      </c>
      <c r="J117" s="6" t="s">
        <v>112</v>
      </c>
      <c r="K117" s="6" t="s">
        <v>34</v>
      </c>
      <c r="L117" s="6" t="s">
        <v>35</v>
      </c>
      <c r="M117" s="4">
        <f t="shared" si="7"/>
        <v>2302.753455</v>
      </c>
      <c r="N117" s="4">
        <v>2302.753455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>
        <v>0</v>
      </c>
      <c r="U117">
        <v>0</v>
      </c>
      <c r="W117" t="s">
        <v>36</v>
      </c>
      <c r="X117" t="s">
        <v>36</v>
      </c>
      <c r="AC117" t="s">
        <v>37</v>
      </c>
      <c r="AD117" t="s">
        <v>38</v>
      </c>
      <c r="AE117" s="4">
        <f t="shared" si="8"/>
        <v>2302.753455</v>
      </c>
      <c r="AF117">
        <f t="shared" si="5"/>
        <v>0</v>
      </c>
      <c r="AG117" s="4">
        <f t="shared" si="6"/>
        <v>2302.753455</v>
      </c>
      <c r="AI117" t="s">
        <v>47</v>
      </c>
    </row>
    <row r="118" spans="1:35" x14ac:dyDescent="0.3">
      <c r="A118" t="s">
        <v>29</v>
      </c>
      <c r="B118" t="s">
        <v>29</v>
      </c>
      <c r="C118" t="s">
        <v>30</v>
      </c>
      <c r="D118" t="s">
        <v>73</v>
      </c>
      <c r="E118">
        <v>118</v>
      </c>
      <c r="F118" s="6" t="s">
        <v>575</v>
      </c>
      <c r="G118" s="6" t="s">
        <v>576</v>
      </c>
      <c r="H118" s="9">
        <v>45873</v>
      </c>
      <c r="J118" s="6" t="s">
        <v>52</v>
      </c>
      <c r="K118" s="6" t="s">
        <v>34</v>
      </c>
      <c r="L118" s="6" t="s">
        <v>35</v>
      </c>
      <c r="M118" s="4">
        <f t="shared" si="7"/>
        <v>9824.2099999999991</v>
      </c>
      <c r="N118" s="4">
        <v>5783.25</v>
      </c>
      <c r="O118" s="4">
        <v>965.96</v>
      </c>
      <c r="P118" s="4">
        <v>2000</v>
      </c>
      <c r="Q118" s="4">
        <v>1075</v>
      </c>
      <c r="R118" s="4">
        <v>1777.5976211999998</v>
      </c>
      <c r="S118" s="4">
        <v>1777.5976211999998</v>
      </c>
      <c r="T118">
        <v>874</v>
      </c>
      <c r="U118">
        <v>0</v>
      </c>
      <c r="V118">
        <v>1000</v>
      </c>
      <c r="W118" t="s">
        <v>36</v>
      </c>
      <c r="X118" t="s">
        <v>36</v>
      </c>
      <c r="AC118" t="s">
        <v>37</v>
      </c>
      <c r="AD118" t="s">
        <v>38</v>
      </c>
      <c r="AE118" s="4">
        <f t="shared" si="8"/>
        <v>11698.21</v>
      </c>
      <c r="AF118">
        <f t="shared" si="5"/>
        <v>0</v>
      </c>
      <c r="AG118" s="4">
        <f t="shared" si="6"/>
        <v>11698.21</v>
      </c>
      <c r="AI118" t="s">
        <v>47</v>
      </c>
    </row>
    <row r="119" spans="1:35" x14ac:dyDescent="0.3">
      <c r="A119" t="s">
        <v>43</v>
      </c>
      <c r="B119" t="s">
        <v>43</v>
      </c>
      <c r="C119" t="s">
        <v>44</v>
      </c>
      <c r="E119">
        <v>119</v>
      </c>
      <c r="F119" s="6" t="s">
        <v>229</v>
      </c>
      <c r="G119" s="6" t="s">
        <v>57</v>
      </c>
      <c r="H119" s="9">
        <v>45873</v>
      </c>
      <c r="I119" s="2">
        <v>46069</v>
      </c>
      <c r="J119" s="6" t="s">
        <v>33</v>
      </c>
      <c r="K119" s="6" t="s">
        <v>34</v>
      </c>
      <c r="L119" s="6" t="s">
        <v>35</v>
      </c>
      <c r="M119" s="4">
        <f t="shared" si="7"/>
        <v>5114.5</v>
      </c>
      <c r="N119" s="4">
        <v>5114.5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>
        <v>0</v>
      </c>
      <c r="U119">
        <v>0</v>
      </c>
      <c r="W119">
        <v>0</v>
      </c>
      <c r="X119" t="s">
        <v>36</v>
      </c>
      <c r="AC119" t="s">
        <v>37</v>
      </c>
      <c r="AD119" t="s">
        <v>38</v>
      </c>
      <c r="AE119" s="4">
        <f t="shared" si="8"/>
        <v>5114.5</v>
      </c>
      <c r="AF119">
        <f t="shared" si="5"/>
        <v>0</v>
      </c>
      <c r="AG119" s="4">
        <f t="shared" si="6"/>
        <v>5114.5</v>
      </c>
      <c r="AI119" t="s">
        <v>47</v>
      </c>
    </row>
    <row r="120" spans="1:35" x14ac:dyDescent="0.3">
      <c r="A120" t="s">
        <v>43</v>
      </c>
      <c r="B120" t="s">
        <v>43</v>
      </c>
      <c r="C120" t="s">
        <v>44</v>
      </c>
      <c r="E120">
        <v>121</v>
      </c>
      <c r="F120" s="6" t="s">
        <v>230</v>
      </c>
      <c r="G120" s="6" t="s">
        <v>136</v>
      </c>
      <c r="H120" s="9">
        <v>45873</v>
      </c>
      <c r="I120" s="2">
        <v>46038</v>
      </c>
      <c r="J120" s="6" t="s">
        <v>33</v>
      </c>
      <c r="K120" s="6" t="s">
        <v>34</v>
      </c>
      <c r="L120" s="6" t="s">
        <v>35</v>
      </c>
      <c r="M120" s="4">
        <f t="shared" si="7"/>
        <v>2664.74</v>
      </c>
      <c r="N120" s="4">
        <v>2664.74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>
        <v>0</v>
      </c>
      <c r="U120">
        <v>0</v>
      </c>
      <c r="W120">
        <v>0</v>
      </c>
      <c r="X120" t="s">
        <v>36</v>
      </c>
      <c r="AC120" t="s">
        <v>37</v>
      </c>
      <c r="AD120" t="s">
        <v>38</v>
      </c>
      <c r="AE120" s="4">
        <f t="shared" si="8"/>
        <v>2664.74</v>
      </c>
      <c r="AF120">
        <f t="shared" si="5"/>
        <v>0</v>
      </c>
      <c r="AG120" s="4">
        <f t="shared" si="6"/>
        <v>2664.74</v>
      </c>
      <c r="AI120" t="s">
        <v>47</v>
      </c>
    </row>
    <row r="121" spans="1:35" x14ac:dyDescent="0.3">
      <c r="A121" t="s">
        <v>43</v>
      </c>
      <c r="B121" t="s">
        <v>234</v>
      </c>
      <c r="C121" t="s">
        <v>44</v>
      </c>
      <c r="D121" t="s">
        <v>116</v>
      </c>
      <c r="E121">
        <v>122</v>
      </c>
      <c r="F121" s="6" t="s">
        <v>262</v>
      </c>
      <c r="G121" s="6" t="s">
        <v>136</v>
      </c>
      <c r="H121" s="9">
        <v>45873</v>
      </c>
      <c r="J121" s="6" t="s">
        <v>52</v>
      </c>
      <c r="K121" s="6" t="s">
        <v>34</v>
      </c>
      <c r="L121" s="6" t="s">
        <v>35</v>
      </c>
      <c r="M121" s="4">
        <f t="shared" si="7"/>
        <v>4248.33</v>
      </c>
      <c r="N121" s="4">
        <v>2801.97</v>
      </c>
      <c r="O121" s="4">
        <v>691.19</v>
      </c>
      <c r="P121" s="4">
        <v>449.2</v>
      </c>
      <c r="Q121" s="4">
        <v>305.97000000000003</v>
      </c>
      <c r="R121" s="4">
        <v>631.10892869999998</v>
      </c>
      <c r="S121" s="4">
        <v>631.10892869999998</v>
      </c>
      <c r="T121">
        <v>684</v>
      </c>
      <c r="U121">
        <v>0</v>
      </c>
      <c r="W121" t="s">
        <v>36</v>
      </c>
      <c r="X121" t="s">
        <v>36</v>
      </c>
      <c r="AC121" t="s">
        <v>37</v>
      </c>
      <c r="AD121" t="s">
        <v>38</v>
      </c>
      <c r="AE121" s="4">
        <f t="shared" si="8"/>
        <v>4932.33</v>
      </c>
      <c r="AF121">
        <f t="shared" si="5"/>
        <v>0</v>
      </c>
      <c r="AG121" s="4">
        <f t="shared" si="6"/>
        <v>4932.33</v>
      </c>
      <c r="AI121" t="s">
        <v>47</v>
      </c>
    </row>
    <row r="122" spans="1:35" x14ac:dyDescent="0.3">
      <c r="A122" t="s">
        <v>43</v>
      </c>
      <c r="B122" t="s">
        <v>234</v>
      </c>
      <c r="C122" t="s">
        <v>44</v>
      </c>
      <c r="E122">
        <v>123</v>
      </c>
      <c r="F122" s="6" t="s">
        <v>235</v>
      </c>
      <c r="G122" s="6" t="s">
        <v>136</v>
      </c>
      <c r="H122" s="9">
        <v>45873</v>
      </c>
      <c r="I122" s="2">
        <v>45888</v>
      </c>
      <c r="J122" s="6" t="s">
        <v>33</v>
      </c>
      <c r="K122" s="6" t="s">
        <v>34</v>
      </c>
      <c r="L122" s="6" t="s">
        <v>35</v>
      </c>
      <c r="M122" s="4">
        <f t="shared" si="7"/>
        <v>2664.74</v>
      </c>
      <c r="N122" s="4">
        <v>2664.74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>
        <v>0</v>
      </c>
      <c r="U122">
        <v>0</v>
      </c>
      <c r="W122">
        <v>0</v>
      </c>
      <c r="X122" t="s">
        <v>36</v>
      </c>
      <c r="AC122" t="s">
        <v>37</v>
      </c>
      <c r="AD122" t="s">
        <v>38</v>
      </c>
      <c r="AE122" s="4">
        <f t="shared" si="8"/>
        <v>2664.74</v>
      </c>
      <c r="AF122">
        <f t="shared" si="5"/>
        <v>0</v>
      </c>
      <c r="AG122" s="4">
        <f t="shared" si="6"/>
        <v>2664.74</v>
      </c>
      <c r="AI122" t="s">
        <v>47</v>
      </c>
    </row>
    <row r="123" spans="1:35" x14ac:dyDescent="0.3">
      <c r="A123" t="s">
        <v>43</v>
      </c>
      <c r="B123" t="s">
        <v>43</v>
      </c>
      <c r="C123" t="s">
        <v>44</v>
      </c>
      <c r="E123">
        <v>124</v>
      </c>
      <c r="F123" s="6" t="s">
        <v>392</v>
      </c>
      <c r="G123" s="6" t="s">
        <v>60</v>
      </c>
      <c r="H123" s="9">
        <v>45882</v>
      </c>
      <c r="J123" s="6" t="s">
        <v>52</v>
      </c>
      <c r="K123" s="6" t="s">
        <v>34</v>
      </c>
      <c r="L123" s="6" t="s">
        <v>35</v>
      </c>
      <c r="M123" s="4">
        <f t="shared" si="7"/>
        <v>4424.6500000000005</v>
      </c>
      <c r="N123" s="4">
        <v>2302.75</v>
      </c>
      <c r="O123" s="4">
        <v>907.38</v>
      </c>
      <c r="P123" s="4">
        <v>915.33999999999992</v>
      </c>
      <c r="Q123" s="4">
        <v>299.18</v>
      </c>
      <c r="R123" s="4">
        <v>703.09504349999986</v>
      </c>
      <c r="S123" s="4">
        <v>703.09504349999986</v>
      </c>
      <c r="T123">
        <v>570</v>
      </c>
      <c r="U123">
        <v>0</v>
      </c>
      <c r="W123" t="s">
        <v>36</v>
      </c>
      <c r="X123" t="s">
        <v>36</v>
      </c>
      <c r="AC123" t="s">
        <v>37</v>
      </c>
      <c r="AD123" t="s">
        <v>38</v>
      </c>
      <c r="AE123" s="4">
        <f t="shared" si="8"/>
        <v>4994.6500000000005</v>
      </c>
      <c r="AF123">
        <f t="shared" si="5"/>
        <v>0</v>
      </c>
      <c r="AG123" s="4">
        <f t="shared" si="6"/>
        <v>4994.6500000000005</v>
      </c>
      <c r="AI123" t="s">
        <v>47</v>
      </c>
    </row>
    <row r="124" spans="1:35" x14ac:dyDescent="0.3">
      <c r="A124" t="s">
        <v>43</v>
      </c>
      <c r="B124" t="s">
        <v>43</v>
      </c>
      <c r="C124" t="s">
        <v>44</v>
      </c>
      <c r="D124" t="s">
        <v>127</v>
      </c>
      <c r="E124">
        <v>125</v>
      </c>
      <c r="F124" s="6" t="s">
        <v>422</v>
      </c>
      <c r="G124" s="6" t="s">
        <v>60</v>
      </c>
      <c r="H124" s="9">
        <v>45882</v>
      </c>
      <c r="J124" s="6" t="s">
        <v>52</v>
      </c>
      <c r="K124" s="6" t="s">
        <v>34</v>
      </c>
      <c r="L124" s="6" t="s">
        <v>35</v>
      </c>
      <c r="M124" s="4">
        <f t="shared" si="7"/>
        <v>5095.95</v>
      </c>
      <c r="N124" s="4">
        <v>2302.75</v>
      </c>
      <c r="O124" s="4">
        <v>1451.54</v>
      </c>
      <c r="P124" s="4">
        <v>976.75</v>
      </c>
      <c r="Q124" s="4">
        <v>364.91</v>
      </c>
      <c r="R124" s="4">
        <v>869.13721979999991</v>
      </c>
      <c r="S124" s="4">
        <v>869.13721979999991</v>
      </c>
      <c r="T124">
        <v>874</v>
      </c>
      <c r="U124">
        <v>0</v>
      </c>
      <c r="W124" t="s">
        <v>36</v>
      </c>
      <c r="X124" t="s">
        <v>36</v>
      </c>
      <c r="AC124" t="s">
        <v>37</v>
      </c>
      <c r="AD124" t="s">
        <v>38</v>
      </c>
      <c r="AE124" s="4">
        <f t="shared" si="8"/>
        <v>5969.95</v>
      </c>
      <c r="AF124">
        <f t="shared" si="5"/>
        <v>0</v>
      </c>
      <c r="AG124" s="4">
        <f t="shared" si="6"/>
        <v>5969.95</v>
      </c>
      <c r="AI124" t="s">
        <v>47</v>
      </c>
    </row>
    <row r="125" spans="1:35" x14ac:dyDescent="0.3">
      <c r="A125" t="s">
        <v>43</v>
      </c>
      <c r="B125" t="s">
        <v>43</v>
      </c>
      <c r="C125" t="s">
        <v>44</v>
      </c>
      <c r="D125" t="s">
        <v>81</v>
      </c>
      <c r="E125">
        <v>126</v>
      </c>
      <c r="F125" s="6" t="s">
        <v>642</v>
      </c>
      <c r="G125" s="6" t="s">
        <v>111</v>
      </c>
      <c r="H125" s="9">
        <v>45882</v>
      </c>
      <c r="J125" s="6" t="s">
        <v>52</v>
      </c>
      <c r="K125" s="6" t="s">
        <v>34</v>
      </c>
      <c r="L125" s="6" t="s">
        <v>35</v>
      </c>
      <c r="M125" s="4">
        <f t="shared" si="7"/>
        <v>5476.87</v>
      </c>
      <c r="N125" s="4">
        <v>3356.8</v>
      </c>
      <c r="O125" s="4">
        <v>1358.3000000000002</v>
      </c>
      <c r="P125" s="4">
        <v>320.32</v>
      </c>
      <c r="Q125" s="4">
        <v>441.45</v>
      </c>
      <c r="R125" s="4">
        <v>1022.7659696999999</v>
      </c>
      <c r="S125" s="4">
        <v>1022.7659696999999</v>
      </c>
      <c r="T125">
        <v>912</v>
      </c>
      <c r="U125">
        <v>0</v>
      </c>
      <c r="W125" t="s">
        <v>36</v>
      </c>
      <c r="X125" t="s">
        <v>36</v>
      </c>
      <c r="Y125" s="6">
        <v>15000</v>
      </c>
      <c r="AC125" t="s">
        <v>113</v>
      </c>
      <c r="AD125" t="s">
        <v>38</v>
      </c>
      <c r="AE125" s="4">
        <f t="shared" si="8"/>
        <v>6388.87</v>
      </c>
      <c r="AF125">
        <f t="shared" si="5"/>
        <v>15000</v>
      </c>
      <c r="AG125" s="4">
        <f t="shared" si="6"/>
        <v>21388.87</v>
      </c>
      <c r="AI125" t="s">
        <v>47</v>
      </c>
    </row>
    <row r="126" spans="1:35" x14ac:dyDescent="0.3">
      <c r="A126" t="s">
        <v>43</v>
      </c>
      <c r="B126" t="s">
        <v>43</v>
      </c>
      <c r="C126" t="s">
        <v>44</v>
      </c>
      <c r="E126">
        <v>127</v>
      </c>
      <c r="F126" s="6" t="s">
        <v>238</v>
      </c>
      <c r="G126" s="6" t="s">
        <v>71</v>
      </c>
      <c r="H126" s="9">
        <v>45882</v>
      </c>
      <c r="I126" s="2">
        <v>45908</v>
      </c>
      <c r="J126" s="6" t="s">
        <v>33</v>
      </c>
      <c r="K126" s="6" t="s">
        <v>34</v>
      </c>
      <c r="L126" s="6" t="s">
        <v>35</v>
      </c>
      <c r="M126" s="4">
        <f t="shared" si="7"/>
        <v>2664.74</v>
      </c>
      <c r="N126" s="4">
        <v>2664.74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>
        <v>0</v>
      </c>
      <c r="U126">
        <v>0</v>
      </c>
      <c r="W126">
        <v>0</v>
      </c>
      <c r="X126" t="s">
        <v>36</v>
      </c>
      <c r="AC126" t="s">
        <v>37</v>
      </c>
      <c r="AD126" t="s">
        <v>38</v>
      </c>
      <c r="AE126" s="4">
        <f t="shared" si="8"/>
        <v>2664.74</v>
      </c>
      <c r="AF126">
        <f t="shared" si="5"/>
        <v>0</v>
      </c>
      <c r="AG126" s="4">
        <f t="shared" si="6"/>
        <v>2664.74</v>
      </c>
      <c r="AI126" t="s">
        <v>47</v>
      </c>
    </row>
    <row r="127" spans="1:35" x14ac:dyDescent="0.3">
      <c r="A127" t="s">
        <v>43</v>
      </c>
      <c r="B127" t="s">
        <v>43</v>
      </c>
      <c r="C127" t="s">
        <v>44</v>
      </c>
      <c r="E127">
        <v>128</v>
      </c>
      <c r="F127" s="6" t="s">
        <v>239</v>
      </c>
      <c r="G127" s="6" t="s">
        <v>60</v>
      </c>
      <c r="H127" s="9">
        <v>45882</v>
      </c>
      <c r="I127" s="2">
        <v>45931</v>
      </c>
      <c r="J127" s="6" t="s">
        <v>33</v>
      </c>
      <c r="K127" s="6" t="s">
        <v>34</v>
      </c>
      <c r="L127" s="6" t="s">
        <v>35</v>
      </c>
      <c r="M127" s="4">
        <f t="shared" si="7"/>
        <v>2189.9699999999998</v>
      </c>
      <c r="N127" s="4">
        <v>2189.9699999999998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>
        <v>0</v>
      </c>
      <c r="U127">
        <v>0</v>
      </c>
      <c r="W127">
        <v>0</v>
      </c>
      <c r="X127" t="s">
        <v>36</v>
      </c>
      <c r="AC127" t="s">
        <v>37</v>
      </c>
      <c r="AD127" t="s">
        <v>38</v>
      </c>
      <c r="AE127" s="4">
        <f t="shared" si="8"/>
        <v>2189.9699999999998</v>
      </c>
      <c r="AF127">
        <f t="shared" si="5"/>
        <v>0</v>
      </c>
      <c r="AG127" s="4">
        <f t="shared" si="6"/>
        <v>2189.9699999999998</v>
      </c>
      <c r="AI127" t="s">
        <v>47</v>
      </c>
    </row>
    <row r="128" spans="1:35" x14ac:dyDescent="0.3">
      <c r="A128" t="s">
        <v>43</v>
      </c>
      <c r="B128" t="s">
        <v>43</v>
      </c>
      <c r="C128" t="s">
        <v>44</v>
      </c>
      <c r="E128">
        <v>129</v>
      </c>
      <c r="F128" s="6" t="s">
        <v>240</v>
      </c>
      <c r="G128" s="6" t="s">
        <v>57</v>
      </c>
      <c r="H128" s="9">
        <v>45882</v>
      </c>
      <c r="I128" s="2">
        <v>46034</v>
      </c>
      <c r="J128" s="6" t="s">
        <v>33</v>
      </c>
      <c r="K128" s="6" t="s">
        <v>34</v>
      </c>
      <c r="L128" s="6" t="s">
        <v>35</v>
      </c>
      <c r="M128" s="4">
        <f t="shared" si="7"/>
        <v>5114.5</v>
      </c>
      <c r="N128" s="4">
        <v>5114.5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>
        <v>0</v>
      </c>
      <c r="U128">
        <v>0</v>
      </c>
      <c r="W128">
        <v>0</v>
      </c>
      <c r="X128" t="s">
        <v>36</v>
      </c>
      <c r="AC128" t="s">
        <v>37</v>
      </c>
      <c r="AD128" t="s">
        <v>38</v>
      </c>
      <c r="AE128" s="4">
        <f t="shared" si="8"/>
        <v>5114.5</v>
      </c>
      <c r="AF128">
        <f t="shared" si="5"/>
        <v>0</v>
      </c>
      <c r="AG128" s="4">
        <f t="shared" si="6"/>
        <v>5114.5</v>
      </c>
      <c r="AI128" t="s">
        <v>47</v>
      </c>
    </row>
    <row r="129" spans="1:35" x14ac:dyDescent="0.3">
      <c r="A129" t="s">
        <v>77</v>
      </c>
      <c r="B129" t="s">
        <v>78</v>
      </c>
      <c r="C129" t="s">
        <v>30</v>
      </c>
      <c r="E129">
        <v>130</v>
      </c>
      <c r="F129" s="6" t="s">
        <v>168</v>
      </c>
      <c r="G129" s="6" t="s">
        <v>80</v>
      </c>
      <c r="H129" s="9">
        <v>45882</v>
      </c>
      <c r="J129" s="6" t="s">
        <v>52</v>
      </c>
      <c r="K129" s="6" t="s">
        <v>34</v>
      </c>
      <c r="L129" s="6" t="s">
        <v>35</v>
      </c>
      <c r="M129" s="4">
        <f t="shared" si="7"/>
        <v>13400</v>
      </c>
      <c r="N129" s="4">
        <v>5572.95</v>
      </c>
      <c r="O129" s="4">
        <v>4834.25</v>
      </c>
      <c r="P129" s="4">
        <v>810.5</v>
      </c>
      <c r="Q129" s="4">
        <v>2182.3000000000002</v>
      </c>
      <c r="R129" s="4">
        <v>2298.0691575000001</v>
      </c>
      <c r="S129" s="4">
        <v>2298.0691575000001</v>
      </c>
      <c r="T129">
        <v>988</v>
      </c>
      <c r="U129">
        <v>2000</v>
      </c>
      <c r="V129">
        <v>1000</v>
      </c>
      <c r="W129" t="s">
        <v>169</v>
      </c>
      <c r="X129" t="s">
        <v>170</v>
      </c>
      <c r="AC129" t="s">
        <v>37</v>
      </c>
      <c r="AD129" t="s">
        <v>38</v>
      </c>
      <c r="AE129" s="4">
        <f t="shared" si="8"/>
        <v>15388</v>
      </c>
      <c r="AF129">
        <f t="shared" si="5"/>
        <v>2000</v>
      </c>
      <c r="AG129" s="4">
        <f t="shared" si="6"/>
        <v>17388</v>
      </c>
      <c r="AI129" t="s">
        <v>47</v>
      </c>
    </row>
    <row r="130" spans="1:35" x14ac:dyDescent="0.3">
      <c r="A130" t="s">
        <v>43</v>
      </c>
      <c r="B130" t="s">
        <v>43</v>
      </c>
      <c r="C130" t="s">
        <v>44</v>
      </c>
      <c r="E130">
        <v>131</v>
      </c>
      <c r="F130" s="6" t="s">
        <v>242</v>
      </c>
      <c r="G130" s="6" t="s">
        <v>121</v>
      </c>
      <c r="H130" s="9">
        <v>45882</v>
      </c>
      <c r="I130" s="2">
        <v>45946</v>
      </c>
      <c r="J130" s="6" t="s">
        <v>33</v>
      </c>
      <c r="K130" s="6" t="s">
        <v>34</v>
      </c>
      <c r="L130" s="6" t="s">
        <v>35</v>
      </c>
      <c r="M130" s="4">
        <f t="shared" si="7"/>
        <v>6148</v>
      </c>
      <c r="N130" s="4">
        <v>6148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>
        <v>0</v>
      </c>
      <c r="U130">
        <v>0</v>
      </c>
      <c r="W130">
        <v>0</v>
      </c>
      <c r="X130" t="s">
        <v>36</v>
      </c>
      <c r="AC130" t="s">
        <v>37</v>
      </c>
      <c r="AD130" t="s">
        <v>38</v>
      </c>
      <c r="AE130" s="4">
        <f t="shared" si="8"/>
        <v>6148</v>
      </c>
      <c r="AF130">
        <f t="shared" si="5"/>
        <v>0</v>
      </c>
      <c r="AG130" s="4">
        <f t="shared" si="6"/>
        <v>6148</v>
      </c>
      <c r="AI130" t="s">
        <v>47</v>
      </c>
    </row>
    <row r="131" spans="1:35" x14ac:dyDescent="0.3">
      <c r="A131" t="s">
        <v>43</v>
      </c>
      <c r="B131" t="s">
        <v>43</v>
      </c>
      <c r="C131" t="s">
        <v>44</v>
      </c>
      <c r="D131" t="s">
        <v>387</v>
      </c>
      <c r="E131">
        <v>132</v>
      </c>
      <c r="F131" s="6" t="s">
        <v>536</v>
      </c>
      <c r="G131" s="6" t="s">
        <v>111</v>
      </c>
      <c r="H131" s="9">
        <v>45882</v>
      </c>
      <c r="J131" s="6" t="s">
        <v>52</v>
      </c>
      <c r="K131" s="6" t="s">
        <v>34</v>
      </c>
      <c r="L131" s="6" t="s">
        <v>35</v>
      </c>
      <c r="M131" s="4">
        <f t="shared" si="7"/>
        <v>9186.68</v>
      </c>
      <c r="N131" s="4">
        <v>3356.8</v>
      </c>
      <c r="O131" s="4">
        <v>3744.08</v>
      </c>
      <c r="P131" s="4">
        <v>1019.02</v>
      </c>
      <c r="Q131" s="4">
        <v>1066.78</v>
      </c>
      <c r="R131" s="4">
        <v>1551.5712152999999</v>
      </c>
      <c r="S131" s="4">
        <v>1551.5712152999999</v>
      </c>
      <c r="T131">
        <v>950</v>
      </c>
      <c r="U131">
        <v>0</v>
      </c>
      <c r="W131" t="s">
        <v>36</v>
      </c>
      <c r="X131" t="s">
        <v>36</v>
      </c>
      <c r="Y131" s="6">
        <v>10000</v>
      </c>
      <c r="AC131" t="s">
        <v>113</v>
      </c>
      <c r="AD131" t="s">
        <v>38</v>
      </c>
      <c r="AE131" s="4">
        <f t="shared" si="8"/>
        <v>10136.68</v>
      </c>
      <c r="AF131">
        <f t="shared" ref="AF131:AF194" si="9">U131+Y131</f>
        <v>10000</v>
      </c>
      <c r="AG131" s="4">
        <f t="shared" ref="AG131:AG194" si="10">AF131+AE131</f>
        <v>20136.68</v>
      </c>
      <c r="AI131" t="s">
        <v>47</v>
      </c>
    </row>
    <row r="132" spans="1:35" x14ac:dyDescent="0.3">
      <c r="A132" t="s">
        <v>43</v>
      </c>
      <c r="B132" t="s">
        <v>43</v>
      </c>
      <c r="C132" t="s">
        <v>44</v>
      </c>
      <c r="E132">
        <v>133</v>
      </c>
      <c r="F132" s="6" t="s">
        <v>244</v>
      </c>
      <c r="G132" s="6" t="s">
        <v>65</v>
      </c>
      <c r="H132" s="9">
        <v>45882</v>
      </c>
      <c r="I132" s="2">
        <v>46027</v>
      </c>
      <c r="J132" s="6" t="s">
        <v>33</v>
      </c>
      <c r="K132" s="6" t="s">
        <v>34</v>
      </c>
      <c r="L132" s="6" t="s">
        <v>35</v>
      </c>
      <c r="M132" s="4">
        <f t="shared" ref="M132:M195" si="11">N132+O132+P132+Q132-S132+R132</f>
        <v>2189.9699999999998</v>
      </c>
      <c r="N132" s="4">
        <v>2189.9699999999998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>
        <v>0</v>
      </c>
      <c r="U132">
        <v>0</v>
      </c>
      <c r="W132">
        <v>0</v>
      </c>
      <c r="X132" t="s">
        <v>36</v>
      </c>
      <c r="AC132" t="s">
        <v>37</v>
      </c>
      <c r="AD132" t="s">
        <v>38</v>
      </c>
      <c r="AE132" s="4">
        <f t="shared" ref="AE132:AE195" si="12">M132+T132+V132</f>
        <v>2189.9699999999998</v>
      </c>
      <c r="AF132">
        <f t="shared" si="9"/>
        <v>0</v>
      </c>
      <c r="AG132" s="4">
        <f t="shared" si="10"/>
        <v>2189.9699999999998</v>
      </c>
      <c r="AI132" t="s">
        <v>47</v>
      </c>
    </row>
    <row r="133" spans="1:35" x14ac:dyDescent="0.3">
      <c r="A133" t="s">
        <v>43</v>
      </c>
      <c r="B133" t="s">
        <v>43</v>
      </c>
      <c r="C133" t="s">
        <v>44</v>
      </c>
      <c r="E133">
        <v>134</v>
      </c>
      <c r="F133" s="6" t="s">
        <v>245</v>
      </c>
      <c r="G133" s="6" t="s">
        <v>71</v>
      </c>
      <c r="H133" s="9">
        <v>45882</v>
      </c>
      <c r="I133" s="2">
        <v>45994</v>
      </c>
      <c r="J133" s="6" t="s">
        <v>33</v>
      </c>
      <c r="K133" s="6" t="s">
        <v>34</v>
      </c>
      <c r="L133" s="6" t="s">
        <v>35</v>
      </c>
      <c r="M133" s="4">
        <f t="shared" si="11"/>
        <v>2664.74</v>
      </c>
      <c r="N133" s="4">
        <v>2664.74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>
        <v>0</v>
      </c>
      <c r="U133">
        <v>0</v>
      </c>
      <c r="W133">
        <v>0</v>
      </c>
      <c r="X133" t="s">
        <v>36</v>
      </c>
      <c r="AC133" t="s">
        <v>37</v>
      </c>
      <c r="AD133" t="s">
        <v>38</v>
      </c>
      <c r="AE133" s="4">
        <f t="shared" si="12"/>
        <v>2664.74</v>
      </c>
      <c r="AF133">
        <f t="shared" si="9"/>
        <v>0</v>
      </c>
      <c r="AG133" s="4">
        <f t="shared" si="10"/>
        <v>2664.74</v>
      </c>
      <c r="AI133" t="s">
        <v>47</v>
      </c>
    </row>
    <row r="134" spans="1:35" x14ac:dyDescent="0.3">
      <c r="A134" t="s">
        <v>40</v>
      </c>
      <c r="B134" t="s">
        <v>750</v>
      </c>
      <c r="C134" t="s">
        <v>30</v>
      </c>
      <c r="D134" t="s">
        <v>91</v>
      </c>
      <c r="E134">
        <v>135</v>
      </c>
      <c r="F134" s="6" t="s">
        <v>246</v>
      </c>
      <c r="G134" s="6" t="s">
        <v>93</v>
      </c>
      <c r="H134" s="9">
        <v>45882</v>
      </c>
      <c r="I134" s="2">
        <v>46063</v>
      </c>
      <c r="J134" s="6" t="s">
        <v>33</v>
      </c>
      <c r="K134" s="6" t="s">
        <v>34</v>
      </c>
      <c r="L134" s="6" t="s">
        <v>35</v>
      </c>
      <c r="M134" s="4">
        <f t="shared" si="11"/>
        <v>2681.3</v>
      </c>
      <c r="N134" s="4">
        <v>2681.3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>
        <v>0</v>
      </c>
      <c r="U134">
        <v>0</v>
      </c>
      <c r="W134">
        <v>0</v>
      </c>
      <c r="X134" t="s">
        <v>36</v>
      </c>
      <c r="AC134" t="s">
        <v>37</v>
      </c>
      <c r="AD134" t="s">
        <v>38</v>
      </c>
      <c r="AE134" s="4">
        <f t="shared" si="12"/>
        <v>2681.3</v>
      </c>
      <c r="AF134">
        <f t="shared" si="9"/>
        <v>0</v>
      </c>
      <c r="AG134" s="4">
        <f t="shared" si="10"/>
        <v>2681.3</v>
      </c>
      <c r="AI134" t="s">
        <v>47</v>
      </c>
    </row>
    <row r="135" spans="1:35" x14ac:dyDescent="0.3">
      <c r="A135" t="s">
        <v>43</v>
      </c>
      <c r="B135" t="s">
        <v>43</v>
      </c>
      <c r="C135" t="s">
        <v>44</v>
      </c>
      <c r="D135" t="s">
        <v>116</v>
      </c>
      <c r="E135">
        <v>136</v>
      </c>
      <c r="F135" s="6" t="s">
        <v>160</v>
      </c>
      <c r="G135" s="6" t="s">
        <v>65</v>
      </c>
      <c r="H135" s="9">
        <v>45882</v>
      </c>
      <c r="J135" s="6" t="s">
        <v>112</v>
      </c>
      <c r="K135" s="6" t="s">
        <v>34</v>
      </c>
      <c r="L135" s="6" t="s">
        <v>35</v>
      </c>
      <c r="M135" s="4">
        <f t="shared" si="11"/>
        <v>2302.753455</v>
      </c>
      <c r="N135" s="4">
        <v>2302.753455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>
        <v>836</v>
      </c>
      <c r="U135">
        <v>0</v>
      </c>
      <c r="W135" t="s">
        <v>36</v>
      </c>
      <c r="X135" t="s">
        <v>36</v>
      </c>
      <c r="AC135" t="s">
        <v>37</v>
      </c>
      <c r="AD135" t="s">
        <v>38</v>
      </c>
      <c r="AE135" s="4">
        <f t="shared" si="12"/>
        <v>3138.753455</v>
      </c>
      <c r="AF135">
        <f t="shared" si="9"/>
        <v>0</v>
      </c>
      <c r="AG135" s="4">
        <f t="shared" si="10"/>
        <v>3138.753455</v>
      </c>
      <c r="AI135" t="s">
        <v>47</v>
      </c>
    </row>
    <row r="136" spans="1:35" x14ac:dyDescent="0.3">
      <c r="A136" t="s">
        <v>43</v>
      </c>
      <c r="B136" t="s">
        <v>43</v>
      </c>
      <c r="C136" t="s">
        <v>44</v>
      </c>
      <c r="D136" t="s">
        <v>211</v>
      </c>
      <c r="E136">
        <v>137</v>
      </c>
      <c r="F136" s="6" t="s">
        <v>653</v>
      </c>
      <c r="G136" s="6" t="s">
        <v>106</v>
      </c>
      <c r="H136" s="9">
        <v>45882</v>
      </c>
      <c r="J136" s="6" t="s">
        <v>52</v>
      </c>
      <c r="K136" s="6" t="s">
        <v>34</v>
      </c>
      <c r="L136" s="6" t="s">
        <v>35</v>
      </c>
      <c r="M136" s="4">
        <f t="shared" si="11"/>
        <v>10601.24</v>
      </c>
      <c r="N136" s="4">
        <v>4681.28</v>
      </c>
      <c r="O136" s="4">
        <v>3392.2900000000004</v>
      </c>
      <c r="P136" s="4">
        <v>1102.92</v>
      </c>
      <c r="Q136" s="4">
        <v>1424.75</v>
      </c>
      <c r="R136" s="4">
        <v>1748.1913226999998</v>
      </c>
      <c r="S136" s="4">
        <v>1748.1913226999998</v>
      </c>
      <c r="T136">
        <v>874</v>
      </c>
      <c r="U136">
        <v>0</v>
      </c>
      <c r="W136" t="s">
        <v>36</v>
      </c>
      <c r="X136" t="s">
        <v>36</v>
      </c>
      <c r="Y136" s="6">
        <v>14000</v>
      </c>
      <c r="AC136" t="s">
        <v>53</v>
      </c>
      <c r="AD136" t="s">
        <v>38</v>
      </c>
      <c r="AE136" s="4">
        <f t="shared" si="12"/>
        <v>11475.24</v>
      </c>
      <c r="AF136">
        <f t="shared" si="9"/>
        <v>14000</v>
      </c>
      <c r="AG136" s="4">
        <f t="shared" si="10"/>
        <v>25475.239999999998</v>
      </c>
      <c r="AI136" t="s">
        <v>47</v>
      </c>
    </row>
    <row r="137" spans="1:35" x14ac:dyDescent="0.3">
      <c r="A137" t="s">
        <v>43</v>
      </c>
      <c r="B137" t="s">
        <v>72</v>
      </c>
      <c r="C137" t="s">
        <v>44</v>
      </c>
      <c r="D137" t="s">
        <v>426</v>
      </c>
      <c r="E137">
        <v>138</v>
      </c>
      <c r="F137" s="6" t="s">
        <v>452</v>
      </c>
      <c r="G137" s="6" t="s">
        <v>56</v>
      </c>
      <c r="H137" s="9">
        <v>45882</v>
      </c>
      <c r="I137" s="2">
        <v>46147</v>
      </c>
      <c r="J137" s="6" t="s">
        <v>33</v>
      </c>
      <c r="K137" s="6" t="s">
        <v>34</v>
      </c>
      <c r="L137" s="6" t="s">
        <v>35</v>
      </c>
      <c r="M137" s="4">
        <f t="shared" si="11"/>
        <v>8267.34</v>
      </c>
      <c r="N137" s="4">
        <v>5114.5</v>
      </c>
      <c r="O137" s="4">
        <v>2431.0600000000004</v>
      </c>
      <c r="P137" s="4">
        <v>443.72</v>
      </c>
      <c r="Q137" s="4">
        <v>278.06</v>
      </c>
      <c r="R137" s="4">
        <v>510.44966820000002</v>
      </c>
      <c r="S137" s="4">
        <v>510.44966820000002</v>
      </c>
      <c r="T137">
        <v>0</v>
      </c>
      <c r="U137">
        <v>0</v>
      </c>
      <c r="W137">
        <v>0</v>
      </c>
      <c r="X137" t="s">
        <v>36</v>
      </c>
      <c r="AC137" t="s">
        <v>37</v>
      </c>
      <c r="AD137" t="s">
        <v>38</v>
      </c>
      <c r="AE137" s="4">
        <f t="shared" si="12"/>
        <v>8267.34</v>
      </c>
      <c r="AF137">
        <f t="shared" si="9"/>
        <v>0</v>
      </c>
      <c r="AG137" s="4">
        <f t="shared" si="10"/>
        <v>8267.34</v>
      </c>
      <c r="AI137" t="s">
        <v>47</v>
      </c>
    </row>
    <row r="138" spans="1:35" x14ac:dyDescent="0.3">
      <c r="A138" t="s">
        <v>43</v>
      </c>
      <c r="B138" t="s">
        <v>43</v>
      </c>
      <c r="C138" t="s">
        <v>44</v>
      </c>
      <c r="D138" t="s">
        <v>54</v>
      </c>
      <c r="E138">
        <v>139</v>
      </c>
      <c r="F138" s="6" t="s">
        <v>643</v>
      </c>
      <c r="G138" s="6" t="s">
        <v>644</v>
      </c>
      <c r="H138" s="9">
        <v>45882</v>
      </c>
      <c r="J138" s="6" t="s">
        <v>52</v>
      </c>
      <c r="K138" s="6" t="s">
        <v>34</v>
      </c>
      <c r="L138" s="6" t="s">
        <v>35</v>
      </c>
      <c r="M138" s="4">
        <f t="shared" si="11"/>
        <v>6086.4299999999994</v>
      </c>
      <c r="N138" s="4">
        <v>4458.3599999999997</v>
      </c>
      <c r="O138" s="4">
        <v>642.95000000000005</v>
      </c>
      <c r="P138" s="4">
        <v>500</v>
      </c>
      <c r="Q138" s="4">
        <v>485.12</v>
      </c>
      <c r="R138" s="4">
        <v>1070.9057916000002</v>
      </c>
      <c r="S138" s="4">
        <v>1070.9057916000002</v>
      </c>
      <c r="T138">
        <v>836</v>
      </c>
      <c r="U138">
        <v>0</v>
      </c>
      <c r="W138" t="s">
        <v>36</v>
      </c>
      <c r="X138" t="s">
        <v>36</v>
      </c>
      <c r="AC138" t="s">
        <v>37</v>
      </c>
      <c r="AD138" t="s">
        <v>38</v>
      </c>
      <c r="AE138" s="4">
        <f t="shared" si="12"/>
        <v>6922.4299999999994</v>
      </c>
      <c r="AF138">
        <f t="shared" si="9"/>
        <v>0</v>
      </c>
      <c r="AG138" s="4">
        <f t="shared" si="10"/>
        <v>6922.4299999999994</v>
      </c>
      <c r="AI138" t="s">
        <v>47</v>
      </c>
    </row>
    <row r="139" spans="1:35" x14ac:dyDescent="0.3">
      <c r="A139" t="s">
        <v>43</v>
      </c>
      <c r="B139" t="s">
        <v>43</v>
      </c>
      <c r="C139" t="s">
        <v>44</v>
      </c>
      <c r="D139" t="s">
        <v>222</v>
      </c>
      <c r="E139">
        <v>140</v>
      </c>
      <c r="F139" s="6" t="s">
        <v>391</v>
      </c>
      <c r="G139" s="6" t="s">
        <v>71</v>
      </c>
      <c r="H139" s="9">
        <v>45882</v>
      </c>
      <c r="J139" s="6" t="s">
        <v>52</v>
      </c>
      <c r="K139" s="6" t="s">
        <v>34</v>
      </c>
      <c r="L139" s="6" t="s">
        <v>35</v>
      </c>
      <c r="M139" s="4">
        <f t="shared" si="11"/>
        <v>7451.42</v>
      </c>
      <c r="N139" s="4">
        <v>2801.97</v>
      </c>
      <c r="O139" s="4">
        <v>2437.5299999999997</v>
      </c>
      <c r="P139" s="4">
        <v>1649.63</v>
      </c>
      <c r="Q139" s="4">
        <v>562.29</v>
      </c>
      <c r="R139" s="4">
        <v>1202.5149876</v>
      </c>
      <c r="S139" s="4">
        <v>1202.5149876</v>
      </c>
      <c r="T139">
        <v>912</v>
      </c>
      <c r="U139">
        <v>0</v>
      </c>
      <c r="W139" t="s">
        <v>36</v>
      </c>
      <c r="X139" t="s">
        <v>36</v>
      </c>
      <c r="AC139" t="s">
        <v>37</v>
      </c>
      <c r="AD139" t="s">
        <v>38</v>
      </c>
      <c r="AE139" s="4">
        <f t="shared" si="12"/>
        <v>8363.42</v>
      </c>
      <c r="AF139">
        <f t="shared" si="9"/>
        <v>0</v>
      </c>
      <c r="AG139" s="4">
        <f t="shared" si="10"/>
        <v>8363.42</v>
      </c>
      <c r="AI139" t="s">
        <v>47</v>
      </c>
    </row>
    <row r="140" spans="1:35" x14ac:dyDescent="0.3">
      <c r="A140" t="s">
        <v>43</v>
      </c>
      <c r="B140" t="s">
        <v>43</v>
      </c>
      <c r="C140" t="s">
        <v>44</v>
      </c>
      <c r="D140" t="s">
        <v>426</v>
      </c>
      <c r="E140">
        <v>141</v>
      </c>
      <c r="F140" s="6" t="s">
        <v>557</v>
      </c>
      <c r="G140" s="6" t="s">
        <v>558</v>
      </c>
      <c r="H140" s="9">
        <v>45890</v>
      </c>
      <c r="J140" s="6" t="s">
        <v>52</v>
      </c>
      <c r="K140" s="6" t="s">
        <v>34</v>
      </c>
      <c r="L140" s="6" t="s">
        <v>35</v>
      </c>
      <c r="M140" s="4">
        <f t="shared" si="11"/>
        <v>4648.2800000000007</v>
      </c>
      <c r="N140" s="4">
        <v>2801.97</v>
      </c>
      <c r="O140" s="4">
        <v>509.38</v>
      </c>
      <c r="P140" s="4">
        <v>1084.8400000000001</v>
      </c>
      <c r="Q140" s="4">
        <v>252.09</v>
      </c>
      <c r="R140" s="4">
        <v>776.53625040000009</v>
      </c>
      <c r="S140" s="4">
        <v>776.53625040000009</v>
      </c>
      <c r="T140">
        <v>798</v>
      </c>
      <c r="U140">
        <v>0</v>
      </c>
      <c r="W140" t="s">
        <v>36</v>
      </c>
      <c r="X140" t="s">
        <v>36</v>
      </c>
      <c r="AC140" t="s">
        <v>37</v>
      </c>
      <c r="AD140" t="s">
        <v>38</v>
      </c>
      <c r="AE140" s="4">
        <f t="shared" si="12"/>
        <v>5446.2800000000007</v>
      </c>
      <c r="AF140">
        <f t="shared" si="9"/>
        <v>0</v>
      </c>
      <c r="AG140" s="4">
        <f t="shared" si="10"/>
        <v>5446.2800000000007</v>
      </c>
      <c r="AI140" t="s">
        <v>47</v>
      </c>
    </row>
    <row r="141" spans="1:35" x14ac:dyDescent="0.3">
      <c r="A141" t="s">
        <v>43</v>
      </c>
      <c r="B141" t="s">
        <v>43</v>
      </c>
      <c r="C141" t="s">
        <v>44</v>
      </c>
      <c r="D141" t="s">
        <v>326</v>
      </c>
      <c r="E141">
        <v>142</v>
      </c>
      <c r="F141" s="6" t="s">
        <v>327</v>
      </c>
      <c r="G141" s="6" t="s">
        <v>106</v>
      </c>
      <c r="H141" s="9">
        <v>45890</v>
      </c>
      <c r="J141" s="6" t="s">
        <v>33</v>
      </c>
      <c r="K141" s="6" t="s">
        <v>34</v>
      </c>
      <c r="L141" s="6" t="s">
        <v>35</v>
      </c>
      <c r="M141" s="4">
        <f t="shared" si="11"/>
        <v>6989.57</v>
      </c>
      <c r="N141" s="4">
        <v>4452</v>
      </c>
      <c r="O141" s="4">
        <v>1302.4099999999999</v>
      </c>
      <c r="P141" s="4">
        <v>624.20000000000005</v>
      </c>
      <c r="Q141" s="4">
        <v>610.96</v>
      </c>
      <c r="R141" s="4">
        <v>1245.8380977000002</v>
      </c>
      <c r="S141" s="4">
        <v>1245.8380977000002</v>
      </c>
      <c r="T141">
        <v>0</v>
      </c>
      <c r="U141">
        <v>0</v>
      </c>
      <c r="W141" t="s">
        <v>36</v>
      </c>
      <c r="X141" t="s">
        <v>36</v>
      </c>
      <c r="AC141" t="s">
        <v>53</v>
      </c>
      <c r="AD141" t="s">
        <v>38</v>
      </c>
      <c r="AE141" s="4">
        <f t="shared" si="12"/>
        <v>6989.57</v>
      </c>
      <c r="AF141">
        <f t="shared" si="9"/>
        <v>0</v>
      </c>
      <c r="AG141" s="4">
        <f t="shared" si="10"/>
        <v>6989.57</v>
      </c>
      <c r="AI141" t="s">
        <v>47</v>
      </c>
    </row>
    <row r="142" spans="1:35" x14ac:dyDescent="0.3">
      <c r="A142" t="s">
        <v>43</v>
      </c>
      <c r="B142" t="s">
        <v>43</v>
      </c>
      <c r="C142" t="s">
        <v>44</v>
      </c>
      <c r="E142">
        <v>143</v>
      </c>
      <c r="F142" s="6" t="s">
        <v>259</v>
      </c>
      <c r="G142" s="6" t="s">
        <v>175</v>
      </c>
      <c r="H142" s="9">
        <v>45901</v>
      </c>
      <c r="I142" s="2">
        <v>46063</v>
      </c>
      <c r="J142" s="6" t="s">
        <v>33</v>
      </c>
      <c r="K142" s="6" t="s">
        <v>34</v>
      </c>
      <c r="L142" s="6" t="s">
        <v>35</v>
      </c>
      <c r="M142" s="4">
        <f t="shared" si="11"/>
        <v>3192.39</v>
      </c>
      <c r="N142" s="4">
        <v>3192.39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>
        <v>0</v>
      </c>
      <c r="U142">
        <v>0</v>
      </c>
      <c r="W142">
        <v>0</v>
      </c>
      <c r="X142" t="s">
        <v>36</v>
      </c>
      <c r="AC142" t="s">
        <v>37</v>
      </c>
      <c r="AD142" t="s">
        <v>38</v>
      </c>
      <c r="AE142" s="4">
        <f t="shared" si="12"/>
        <v>3192.39</v>
      </c>
      <c r="AF142">
        <f t="shared" si="9"/>
        <v>0</v>
      </c>
      <c r="AG142" s="4">
        <f t="shared" si="10"/>
        <v>3192.39</v>
      </c>
      <c r="AI142" t="s">
        <v>47</v>
      </c>
    </row>
    <row r="143" spans="1:35" x14ac:dyDescent="0.3">
      <c r="A143" t="s">
        <v>43</v>
      </c>
      <c r="B143" t="s">
        <v>43</v>
      </c>
      <c r="C143" t="s">
        <v>44</v>
      </c>
      <c r="D143" t="s">
        <v>81</v>
      </c>
      <c r="E143">
        <v>144</v>
      </c>
      <c r="F143" s="6" t="s">
        <v>82</v>
      </c>
      <c r="G143" s="6" t="s">
        <v>60</v>
      </c>
      <c r="H143" s="9">
        <v>45890</v>
      </c>
      <c r="J143" s="6" t="s">
        <v>52</v>
      </c>
      <c r="K143" s="6" t="s">
        <v>34</v>
      </c>
      <c r="L143" s="6" t="s">
        <v>35</v>
      </c>
      <c r="M143" s="4">
        <f t="shared" si="11"/>
        <v>3983.37</v>
      </c>
      <c r="N143" s="4">
        <v>2302.75</v>
      </c>
      <c r="O143" s="4">
        <v>847.75</v>
      </c>
      <c r="P143" s="4">
        <v>565.20000000000005</v>
      </c>
      <c r="Q143" s="4">
        <v>267.67</v>
      </c>
      <c r="R143" s="4">
        <v>756.50511239999992</v>
      </c>
      <c r="S143" s="4">
        <v>756.50511239999992</v>
      </c>
      <c r="T143">
        <v>798</v>
      </c>
      <c r="U143">
        <v>0</v>
      </c>
      <c r="W143" t="s">
        <v>36</v>
      </c>
      <c r="X143" t="s">
        <v>36</v>
      </c>
      <c r="AC143" t="s">
        <v>37</v>
      </c>
      <c r="AD143" t="s">
        <v>38</v>
      </c>
      <c r="AE143" s="4">
        <f t="shared" si="12"/>
        <v>4781.37</v>
      </c>
      <c r="AF143">
        <f t="shared" si="9"/>
        <v>0</v>
      </c>
      <c r="AG143" s="4">
        <f t="shared" si="10"/>
        <v>4781.37</v>
      </c>
      <c r="AI143" t="s">
        <v>47</v>
      </c>
    </row>
    <row r="144" spans="1:35" x14ac:dyDescent="0.3">
      <c r="A144" t="s">
        <v>43</v>
      </c>
      <c r="B144" t="s">
        <v>43</v>
      </c>
      <c r="C144" t="s">
        <v>44</v>
      </c>
      <c r="E144">
        <v>145</v>
      </c>
      <c r="F144" s="6" t="s">
        <v>261</v>
      </c>
      <c r="G144" s="6" t="s">
        <v>175</v>
      </c>
      <c r="H144" s="9">
        <v>45901</v>
      </c>
      <c r="I144" s="2">
        <v>46034</v>
      </c>
      <c r="J144" s="6" t="s">
        <v>33</v>
      </c>
      <c r="K144" s="6" t="s">
        <v>34</v>
      </c>
      <c r="L144" s="6" t="s">
        <v>35</v>
      </c>
      <c r="M144" s="4">
        <f t="shared" si="11"/>
        <v>3192.39</v>
      </c>
      <c r="N144" s="4">
        <v>3192.39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>
        <v>0</v>
      </c>
      <c r="U144">
        <v>0</v>
      </c>
      <c r="W144">
        <v>0</v>
      </c>
      <c r="X144" t="s">
        <v>36</v>
      </c>
      <c r="AC144" t="s">
        <v>37</v>
      </c>
      <c r="AD144" t="s">
        <v>38</v>
      </c>
      <c r="AE144" s="4">
        <f t="shared" si="12"/>
        <v>3192.39</v>
      </c>
      <c r="AF144">
        <f t="shared" si="9"/>
        <v>0</v>
      </c>
      <c r="AG144" s="4">
        <f t="shared" si="10"/>
        <v>3192.39</v>
      </c>
      <c r="AI144" t="s">
        <v>47</v>
      </c>
    </row>
    <row r="145" spans="1:35" x14ac:dyDescent="0.3">
      <c r="A145" t="s">
        <v>43</v>
      </c>
      <c r="B145" t="s">
        <v>43</v>
      </c>
      <c r="C145" t="s">
        <v>44</v>
      </c>
      <c r="D145" t="s">
        <v>387</v>
      </c>
      <c r="E145">
        <v>146</v>
      </c>
      <c r="F145" s="6" t="s">
        <v>388</v>
      </c>
      <c r="G145" s="6" t="s">
        <v>136</v>
      </c>
      <c r="H145" s="9">
        <v>45901</v>
      </c>
      <c r="J145" s="6" t="s">
        <v>52</v>
      </c>
      <c r="K145" s="6" t="s">
        <v>34</v>
      </c>
      <c r="L145" s="6" t="s">
        <v>35</v>
      </c>
      <c r="M145" s="4">
        <f t="shared" si="11"/>
        <v>7598.9699999999993</v>
      </c>
      <c r="N145" s="4">
        <v>2801.97</v>
      </c>
      <c r="O145" s="4">
        <v>3294.42</v>
      </c>
      <c r="P145" s="4">
        <v>713.53</v>
      </c>
      <c r="Q145" s="4">
        <v>789.05</v>
      </c>
      <c r="R145" s="4">
        <v>1391.5572777000002</v>
      </c>
      <c r="S145" s="4">
        <v>1391.5572777000002</v>
      </c>
      <c r="T145">
        <v>912</v>
      </c>
      <c r="U145">
        <v>0</v>
      </c>
      <c r="W145" t="s">
        <v>36</v>
      </c>
      <c r="X145" t="s">
        <v>36</v>
      </c>
      <c r="AC145" t="s">
        <v>37</v>
      </c>
      <c r="AD145" t="s">
        <v>38</v>
      </c>
      <c r="AE145" s="4">
        <f t="shared" si="12"/>
        <v>8510.9699999999993</v>
      </c>
      <c r="AF145">
        <f t="shared" si="9"/>
        <v>0</v>
      </c>
      <c r="AG145" s="4">
        <f t="shared" si="10"/>
        <v>8510.9699999999993</v>
      </c>
      <c r="AI145" t="s">
        <v>47</v>
      </c>
    </row>
    <row r="146" spans="1:35" x14ac:dyDescent="0.3">
      <c r="A146" t="s">
        <v>72</v>
      </c>
      <c r="B146" t="s">
        <v>43</v>
      </c>
      <c r="C146" t="s">
        <v>44</v>
      </c>
      <c r="D146" t="s">
        <v>426</v>
      </c>
      <c r="E146">
        <v>147</v>
      </c>
      <c r="F146" s="6" t="s">
        <v>427</v>
      </c>
      <c r="G146" s="6" t="s">
        <v>111</v>
      </c>
      <c r="H146" s="9">
        <v>45901</v>
      </c>
      <c r="J146" s="6" t="s">
        <v>52</v>
      </c>
      <c r="K146" s="6" t="s">
        <v>34</v>
      </c>
      <c r="L146" s="6" t="s">
        <v>35</v>
      </c>
      <c r="M146" s="4">
        <f t="shared" si="11"/>
        <v>8084.3799999999992</v>
      </c>
      <c r="N146" s="4">
        <v>3356.8</v>
      </c>
      <c r="O146" s="4">
        <v>2977.26</v>
      </c>
      <c r="P146" s="4">
        <v>1029.1199999999999</v>
      </c>
      <c r="Q146" s="4">
        <v>721.2</v>
      </c>
      <c r="R146" s="4">
        <v>1358.4324105000001</v>
      </c>
      <c r="S146" s="4">
        <v>1358.4324105000001</v>
      </c>
      <c r="T146">
        <v>1064</v>
      </c>
      <c r="U146">
        <v>0</v>
      </c>
      <c r="W146" t="s">
        <v>36</v>
      </c>
      <c r="X146" t="s">
        <v>36</v>
      </c>
      <c r="Y146" s="6">
        <v>12000</v>
      </c>
      <c r="AC146" t="s">
        <v>113</v>
      </c>
      <c r="AD146" t="s">
        <v>38</v>
      </c>
      <c r="AE146" s="4">
        <f t="shared" si="12"/>
        <v>9148.3799999999992</v>
      </c>
      <c r="AF146">
        <f t="shared" si="9"/>
        <v>12000</v>
      </c>
      <c r="AG146" s="4">
        <f t="shared" si="10"/>
        <v>21148.379999999997</v>
      </c>
      <c r="AI146" t="s">
        <v>47</v>
      </c>
    </row>
    <row r="147" spans="1:35" x14ac:dyDescent="0.3">
      <c r="A147" t="s">
        <v>43</v>
      </c>
      <c r="B147" t="s">
        <v>43</v>
      </c>
      <c r="C147" t="s">
        <v>44</v>
      </c>
      <c r="E147">
        <v>148</v>
      </c>
      <c r="F147" s="6" t="s">
        <v>264</v>
      </c>
      <c r="G147" s="6" t="s">
        <v>65</v>
      </c>
      <c r="H147" s="9">
        <v>45901</v>
      </c>
      <c r="I147" s="2">
        <v>46027</v>
      </c>
      <c r="J147" s="6" t="s">
        <v>33</v>
      </c>
      <c r="K147" s="6" t="s">
        <v>34</v>
      </c>
      <c r="L147" s="6" t="s">
        <v>35</v>
      </c>
      <c r="M147" s="4">
        <f t="shared" si="11"/>
        <v>2189.9699999999998</v>
      </c>
      <c r="N147" s="4">
        <v>2189.9699999999998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>
        <v>0</v>
      </c>
      <c r="U147">
        <v>0</v>
      </c>
      <c r="W147">
        <v>0</v>
      </c>
      <c r="X147" t="s">
        <v>36</v>
      </c>
      <c r="AC147" t="s">
        <v>37</v>
      </c>
      <c r="AD147" t="s">
        <v>38</v>
      </c>
      <c r="AE147" s="4">
        <f t="shared" si="12"/>
        <v>2189.9699999999998</v>
      </c>
      <c r="AF147">
        <f t="shared" si="9"/>
        <v>0</v>
      </c>
      <c r="AG147" s="4">
        <f t="shared" si="10"/>
        <v>2189.9699999999998</v>
      </c>
      <c r="AI147" t="s">
        <v>47</v>
      </c>
    </row>
    <row r="148" spans="1:35" x14ac:dyDescent="0.3">
      <c r="A148" t="s">
        <v>77</v>
      </c>
      <c r="B148" t="s">
        <v>195</v>
      </c>
      <c r="C148" t="s">
        <v>44</v>
      </c>
      <c r="D148" t="s">
        <v>341</v>
      </c>
      <c r="E148">
        <v>149</v>
      </c>
      <c r="F148" s="6" t="s">
        <v>629</v>
      </c>
      <c r="G148" s="6" t="s">
        <v>60</v>
      </c>
      <c r="H148" s="9">
        <v>45901</v>
      </c>
      <c r="J148" s="6" t="s">
        <v>52</v>
      </c>
      <c r="K148" s="6" t="s">
        <v>34</v>
      </c>
      <c r="L148" s="6" t="s">
        <v>35</v>
      </c>
      <c r="M148" s="4">
        <f t="shared" si="11"/>
        <v>3818.27</v>
      </c>
      <c r="N148" s="4">
        <v>2302.75</v>
      </c>
      <c r="O148" s="4">
        <v>689.5</v>
      </c>
      <c r="P148" s="4">
        <v>552.57999999999993</v>
      </c>
      <c r="Q148" s="4">
        <v>273.44</v>
      </c>
      <c r="R148" s="4">
        <v>720.6275384999999</v>
      </c>
      <c r="S148" s="4">
        <v>720.6275384999999</v>
      </c>
      <c r="T148">
        <v>874</v>
      </c>
      <c r="U148">
        <v>0</v>
      </c>
      <c r="W148" t="s">
        <v>36</v>
      </c>
      <c r="X148" t="s">
        <v>36</v>
      </c>
      <c r="AC148" t="s">
        <v>37</v>
      </c>
      <c r="AD148" t="s">
        <v>38</v>
      </c>
      <c r="AE148" s="4">
        <f t="shared" si="12"/>
        <v>4692.2700000000004</v>
      </c>
      <c r="AF148">
        <f t="shared" si="9"/>
        <v>0</v>
      </c>
      <c r="AG148" s="4">
        <f t="shared" si="10"/>
        <v>4692.2700000000004</v>
      </c>
      <c r="AI148" t="s">
        <v>47</v>
      </c>
    </row>
    <row r="149" spans="1:35" x14ac:dyDescent="0.3">
      <c r="A149" t="s">
        <v>77</v>
      </c>
      <c r="B149" t="s">
        <v>195</v>
      </c>
      <c r="C149" t="s">
        <v>44</v>
      </c>
      <c r="D149" t="s">
        <v>341</v>
      </c>
      <c r="E149">
        <v>150</v>
      </c>
      <c r="F149" s="6" t="s">
        <v>648</v>
      </c>
      <c r="G149" s="6" t="s">
        <v>649</v>
      </c>
      <c r="H149" s="9">
        <v>45901</v>
      </c>
      <c r="I149" s="2">
        <v>46121</v>
      </c>
      <c r="J149" s="6" t="s">
        <v>33</v>
      </c>
      <c r="K149" s="6" t="s">
        <v>34</v>
      </c>
      <c r="L149" s="6" t="s">
        <v>35</v>
      </c>
      <c r="M149" s="4">
        <f t="shared" si="11"/>
        <v>2900</v>
      </c>
      <c r="N149" s="4">
        <v>2900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>
        <v>0</v>
      </c>
      <c r="U149">
        <v>0</v>
      </c>
      <c r="W149">
        <v>0</v>
      </c>
      <c r="X149" t="s">
        <v>36</v>
      </c>
      <c r="AB149" t="s">
        <v>650</v>
      </c>
      <c r="AC149" t="s">
        <v>37</v>
      </c>
      <c r="AD149" t="s">
        <v>38</v>
      </c>
      <c r="AE149" s="4">
        <f t="shared" si="12"/>
        <v>2900</v>
      </c>
      <c r="AF149">
        <f t="shared" si="9"/>
        <v>0</v>
      </c>
      <c r="AG149" s="4">
        <f t="shared" si="10"/>
        <v>2900</v>
      </c>
      <c r="AI149" t="s">
        <v>47</v>
      </c>
    </row>
    <row r="150" spans="1:35" x14ac:dyDescent="0.3">
      <c r="A150" t="s">
        <v>77</v>
      </c>
      <c r="B150" t="s">
        <v>195</v>
      </c>
      <c r="C150" t="s">
        <v>44</v>
      </c>
      <c r="D150" t="s">
        <v>341</v>
      </c>
      <c r="E150">
        <v>151</v>
      </c>
      <c r="F150" s="6" t="s">
        <v>461</v>
      </c>
      <c r="G150" s="6" t="s">
        <v>60</v>
      </c>
      <c r="H150" s="9">
        <v>45901</v>
      </c>
      <c r="J150" s="6" t="s">
        <v>52</v>
      </c>
      <c r="K150" s="6" t="s">
        <v>34</v>
      </c>
      <c r="L150" s="6" t="s">
        <v>35</v>
      </c>
      <c r="M150" s="4">
        <f t="shared" si="11"/>
        <v>3890.24</v>
      </c>
      <c r="N150" s="4">
        <v>2302.75</v>
      </c>
      <c r="O150" s="4">
        <v>264.88</v>
      </c>
      <c r="P150" s="4">
        <v>1098.2</v>
      </c>
      <c r="Q150" s="4">
        <v>224.41</v>
      </c>
      <c r="R150" s="4">
        <v>615.01262850000001</v>
      </c>
      <c r="S150" s="4">
        <v>615.01262850000001</v>
      </c>
      <c r="T150">
        <v>874</v>
      </c>
      <c r="U150">
        <v>0</v>
      </c>
      <c r="W150" t="s">
        <v>36</v>
      </c>
      <c r="X150" t="s">
        <v>36</v>
      </c>
      <c r="AC150" t="s">
        <v>37</v>
      </c>
      <c r="AD150" t="s">
        <v>38</v>
      </c>
      <c r="AE150" s="4">
        <f t="shared" si="12"/>
        <v>4764.24</v>
      </c>
      <c r="AF150">
        <f t="shared" si="9"/>
        <v>0</v>
      </c>
      <c r="AG150" s="4">
        <f t="shared" si="10"/>
        <v>4764.24</v>
      </c>
      <c r="AI150" t="s">
        <v>47</v>
      </c>
    </row>
    <row r="151" spans="1:35" x14ac:dyDescent="0.3">
      <c r="A151" t="s">
        <v>43</v>
      </c>
      <c r="B151" t="s">
        <v>43</v>
      </c>
      <c r="C151" t="s">
        <v>44</v>
      </c>
      <c r="E151">
        <v>152</v>
      </c>
      <c r="F151" s="6" t="s">
        <v>268</v>
      </c>
      <c r="G151" s="6" t="s">
        <v>175</v>
      </c>
      <c r="H151" s="9">
        <v>45908</v>
      </c>
      <c r="I151" s="2">
        <v>46027</v>
      </c>
      <c r="J151" s="6" t="s">
        <v>33</v>
      </c>
      <c r="K151" s="6" t="s">
        <v>34</v>
      </c>
      <c r="L151" s="6" t="s">
        <v>35</v>
      </c>
      <c r="M151" s="4">
        <f t="shared" si="11"/>
        <v>3192.39</v>
      </c>
      <c r="N151" s="4">
        <v>3192.39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>
        <v>0</v>
      </c>
      <c r="U151">
        <v>0</v>
      </c>
      <c r="W151">
        <v>0</v>
      </c>
      <c r="X151" t="s">
        <v>36</v>
      </c>
      <c r="AC151" t="s">
        <v>37</v>
      </c>
      <c r="AD151" t="s">
        <v>38</v>
      </c>
      <c r="AE151" s="4">
        <f t="shared" si="12"/>
        <v>3192.39</v>
      </c>
      <c r="AF151">
        <f t="shared" si="9"/>
        <v>0</v>
      </c>
      <c r="AG151" s="4">
        <f t="shared" si="10"/>
        <v>3192.39</v>
      </c>
      <c r="AI151" t="s">
        <v>47</v>
      </c>
    </row>
    <row r="152" spans="1:35" x14ac:dyDescent="0.3">
      <c r="A152" t="s">
        <v>43</v>
      </c>
      <c r="B152" t="s">
        <v>43</v>
      </c>
      <c r="C152" t="s">
        <v>44</v>
      </c>
      <c r="E152">
        <v>153</v>
      </c>
      <c r="F152" s="6" t="s">
        <v>269</v>
      </c>
      <c r="G152" s="6" t="s">
        <v>136</v>
      </c>
      <c r="H152" s="9">
        <v>45908</v>
      </c>
      <c r="I152" s="2">
        <v>45933</v>
      </c>
      <c r="J152" s="6" t="s">
        <v>33</v>
      </c>
      <c r="K152" s="6" t="s">
        <v>34</v>
      </c>
      <c r="L152" s="6" t="s">
        <v>35</v>
      </c>
      <c r="M152" s="4">
        <f t="shared" si="11"/>
        <v>2664.74</v>
      </c>
      <c r="N152" s="4">
        <v>2664.74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>
        <v>0</v>
      </c>
      <c r="U152">
        <v>0</v>
      </c>
      <c r="W152">
        <v>0</v>
      </c>
      <c r="X152" t="s">
        <v>36</v>
      </c>
      <c r="AC152" t="s">
        <v>37</v>
      </c>
      <c r="AD152" t="s">
        <v>38</v>
      </c>
      <c r="AE152" s="4">
        <f t="shared" si="12"/>
        <v>2664.74</v>
      </c>
      <c r="AF152">
        <f t="shared" si="9"/>
        <v>0</v>
      </c>
      <c r="AG152" s="4">
        <f t="shared" si="10"/>
        <v>2664.74</v>
      </c>
      <c r="AI152" t="s">
        <v>47</v>
      </c>
    </row>
    <row r="153" spans="1:35" x14ac:dyDescent="0.3">
      <c r="A153" t="s">
        <v>43</v>
      </c>
      <c r="B153" t="s">
        <v>43</v>
      </c>
      <c r="C153" t="s">
        <v>44</v>
      </c>
      <c r="E153">
        <v>154</v>
      </c>
      <c r="F153" s="6" t="s">
        <v>270</v>
      </c>
      <c r="G153" s="6" t="s">
        <v>65</v>
      </c>
      <c r="H153" s="9">
        <v>45908</v>
      </c>
      <c r="I153" s="2">
        <v>46034</v>
      </c>
      <c r="J153" s="6" t="s">
        <v>33</v>
      </c>
      <c r="K153" s="6" t="s">
        <v>34</v>
      </c>
      <c r="L153" s="6" t="s">
        <v>35</v>
      </c>
      <c r="M153" s="4">
        <f t="shared" si="11"/>
        <v>2189.9699999999998</v>
      </c>
      <c r="N153" s="4">
        <v>2189.9699999999998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>
        <v>0</v>
      </c>
      <c r="U153">
        <v>0</v>
      </c>
      <c r="W153">
        <v>0</v>
      </c>
      <c r="X153" t="s">
        <v>36</v>
      </c>
      <c r="AC153" t="s">
        <v>37</v>
      </c>
      <c r="AD153" t="s">
        <v>38</v>
      </c>
      <c r="AE153" s="4">
        <f t="shared" si="12"/>
        <v>2189.9699999999998</v>
      </c>
      <c r="AF153">
        <f t="shared" si="9"/>
        <v>0</v>
      </c>
      <c r="AG153" s="4">
        <f t="shared" si="10"/>
        <v>2189.9699999999998</v>
      </c>
      <c r="AI153" t="s">
        <v>47</v>
      </c>
    </row>
    <row r="154" spans="1:35" x14ac:dyDescent="0.3">
      <c r="A154" t="s">
        <v>72</v>
      </c>
      <c r="B154" t="s">
        <v>43</v>
      </c>
      <c r="C154" t="s">
        <v>44</v>
      </c>
      <c r="D154" t="s">
        <v>54</v>
      </c>
      <c r="E154">
        <v>156</v>
      </c>
      <c r="F154" s="6" t="s">
        <v>398</v>
      </c>
      <c r="G154" s="6" t="s">
        <v>56</v>
      </c>
      <c r="H154" s="9">
        <v>45908</v>
      </c>
      <c r="J154" s="6" t="s">
        <v>52</v>
      </c>
      <c r="K154" s="6" t="s">
        <v>34</v>
      </c>
      <c r="L154" s="6" t="s">
        <v>35</v>
      </c>
      <c r="M154" s="4">
        <f t="shared" si="11"/>
        <v>12993.12</v>
      </c>
      <c r="N154" s="4">
        <v>5377.9</v>
      </c>
      <c r="O154" s="4">
        <v>4702.8600000000006</v>
      </c>
      <c r="P154" s="4">
        <v>800</v>
      </c>
      <c r="Q154" s="4">
        <v>2112.36</v>
      </c>
      <c r="R154" s="4">
        <v>2229.3270791999998</v>
      </c>
      <c r="S154" s="4">
        <v>2229.3270791999998</v>
      </c>
      <c r="T154">
        <v>1026</v>
      </c>
      <c r="U154">
        <v>0</v>
      </c>
      <c r="V154">
        <v>600</v>
      </c>
      <c r="W154" t="s">
        <v>36</v>
      </c>
      <c r="X154" t="s">
        <v>36</v>
      </c>
      <c r="AC154" t="s">
        <v>37</v>
      </c>
      <c r="AD154" t="s">
        <v>38</v>
      </c>
      <c r="AE154" s="4">
        <f t="shared" si="12"/>
        <v>14619.12</v>
      </c>
      <c r="AF154">
        <f t="shared" si="9"/>
        <v>0</v>
      </c>
      <c r="AG154" s="4">
        <f t="shared" si="10"/>
        <v>14619.12</v>
      </c>
      <c r="AI154" t="s">
        <v>47</v>
      </c>
    </row>
    <row r="155" spans="1:35" x14ac:dyDescent="0.3">
      <c r="A155" t="s">
        <v>43</v>
      </c>
      <c r="B155" t="s">
        <v>43</v>
      </c>
      <c r="C155" t="s">
        <v>44</v>
      </c>
      <c r="D155" t="s">
        <v>54</v>
      </c>
      <c r="E155">
        <v>157</v>
      </c>
      <c r="F155" s="6" t="s">
        <v>537</v>
      </c>
      <c r="G155" s="6" t="s">
        <v>182</v>
      </c>
      <c r="H155" s="9">
        <v>45908</v>
      </c>
      <c r="J155" s="6" t="s">
        <v>52</v>
      </c>
      <c r="K155" s="6" t="s">
        <v>34</v>
      </c>
      <c r="L155" s="6" t="s">
        <v>35</v>
      </c>
      <c r="M155" s="4">
        <f t="shared" si="11"/>
        <v>14397.73</v>
      </c>
      <c r="N155" s="4">
        <v>5377.9</v>
      </c>
      <c r="O155" s="4">
        <v>5016.9699999999993</v>
      </c>
      <c r="P155" s="4">
        <v>1732.4299999999998</v>
      </c>
      <c r="Q155" s="4">
        <v>2270.4299999999998</v>
      </c>
      <c r="R155" s="4">
        <v>2311.0872975000007</v>
      </c>
      <c r="S155" s="4">
        <v>2311.0872975000007</v>
      </c>
      <c r="T155">
        <v>950</v>
      </c>
      <c r="U155">
        <v>0</v>
      </c>
      <c r="W155" t="s">
        <v>36</v>
      </c>
      <c r="X155" t="s">
        <v>36</v>
      </c>
      <c r="AC155" t="s">
        <v>37</v>
      </c>
      <c r="AD155" t="s">
        <v>38</v>
      </c>
      <c r="AE155" s="4">
        <f t="shared" si="12"/>
        <v>15347.73</v>
      </c>
      <c r="AF155">
        <f t="shared" si="9"/>
        <v>0</v>
      </c>
      <c r="AG155" s="4">
        <f t="shared" si="10"/>
        <v>15347.73</v>
      </c>
      <c r="AI155" t="s">
        <v>47</v>
      </c>
    </row>
    <row r="156" spans="1:35" x14ac:dyDescent="0.3">
      <c r="A156" t="s">
        <v>43</v>
      </c>
      <c r="B156" t="s">
        <v>43</v>
      </c>
      <c r="C156" t="s">
        <v>44</v>
      </c>
      <c r="E156">
        <v>158</v>
      </c>
      <c r="F156" s="6" t="s">
        <v>274</v>
      </c>
      <c r="G156" s="6" t="s">
        <v>65</v>
      </c>
      <c r="H156" s="9">
        <v>45910</v>
      </c>
      <c r="J156" s="6" t="s">
        <v>112</v>
      </c>
      <c r="K156" s="6" t="s">
        <v>34</v>
      </c>
      <c r="L156" s="6" t="s">
        <v>35</v>
      </c>
      <c r="M156" s="4">
        <f t="shared" si="11"/>
        <v>2189.9699999999998</v>
      </c>
      <c r="N156" s="4">
        <v>2189.9699999999998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>
        <v>836</v>
      </c>
      <c r="U156">
        <v>0</v>
      </c>
      <c r="W156" t="s">
        <v>36</v>
      </c>
      <c r="X156" t="s">
        <v>36</v>
      </c>
      <c r="AC156" t="s">
        <v>37</v>
      </c>
      <c r="AD156" t="s">
        <v>38</v>
      </c>
      <c r="AE156" s="4">
        <f t="shared" si="12"/>
        <v>3025.97</v>
      </c>
      <c r="AF156">
        <f t="shared" si="9"/>
        <v>0</v>
      </c>
      <c r="AG156" s="4">
        <f t="shared" si="10"/>
        <v>3025.97</v>
      </c>
      <c r="AI156" t="s">
        <v>47</v>
      </c>
    </row>
    <row r="157" spans="1:35" x14ac:dyDescent="0.3">
      <c r="A157" t="s">
        <v>43</v>
      </c>
      <c r="B157" t="s">
        <v>43</v>
      </c>
      <c r="C157" t="s">
        <v>44</v>
      </c>
      <c r="E157">
        <v>159</v>
      </c>
      <c r="F157" s="6" t="s">
        <v>275</v>
      </c>
      <c r="G157" s="6" t="s">
        <v>56</v>
      </c>
      <c r="H157" s="9">
        <v>45908</v>
      </c>
      <c r="I157" s="2">
        <v>45978</v>
      </c>
      <c r="J157" s="6" t="s">
        <v>33</v>
      </c>
      <c r="K157" s="6" t="s">
        <v>34</v>
      </c>
      <c r="L157" s="6" t="s">
        <v>35</v>
      </c>
      <c r="M157" s="4">
        <f t="shared" si="11"/>
        <v>5114.5</v>
      </c>
      <c r="N157" s="4">
        <v>5114.5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>
        <v>0</v>
      </c>
      <c r="U157">
        <v>0</v>
      </c>
      <c r="W157">
        <v>0</v>
      </c>
      <c r="X157" t="s">
        <v>36</v>
      </c>
      <c r="AC157" t="s">
        <v>37</v>
      </c>
      <c r="AD157" t="s">
        <v>38</v>
      </c>
      <c r="AE157" s="4">
        <f t="shared" si="12"/>
        <v>5114.5</v>
      </c>
      <c r="AF157">
        <f t="shared" si="9"/>
        <v>0</v>
      </c>
      <c r="AG157" s="4">
        <f t="shared" si="10"/>
        <v>5114.5</v>
      </c>
      <c r="AI157" t="s">
        <v>47</v>
      </c>
    </row>
    <row r="158" spans="1:35" x14ac:dyDescent="0.3">
      <c r="A158" t="s">
        <v>77</v>
      </c>
      <c r="B158" t="s">
        <v>78</v>
      </c>
      <c r="C158" t="s">
        <v>30</v>
      </c>
      <c r="E158">
        <v>160</v>
      </c>
      <c r="F158" s="6" t="s">
        <v>284</v>
      </c>
      <c r="G158" s="6" t="s">
        <v>80</v>
      </c>
      <c r="H158" s="9">
        <v>45910</v>
      </c>
      <c r="J158" s="6" t="s">
        <v>52</v>
      </c>
      <c r="K158" s="6" t="s">
        <v>34</v>
      </c>
      <c r="L158" s="6" t="s">
        <v>35</v>
      </c>
      <c r="M158" s="4">
        <f t="shared" si="11"/>
        <v>11795.81</v>
      </c>
      <c r="N158" s="4">
        <v>5572.95</v>
      </c>
      <c r="O158" s="4">
        <v>3570.87</v>
      </c>
      <c r="P158" s="4">
        <v>817.3</v>
      </c>
      <c r="Q158" s="4">
        <v>1834.69</v>
      </c>
      <c r="R158" s="4">
        <v>2034.2250548999996</v>
      </c>
      <c r="S158" s="4">
        <v>2034.2250548999996</v>
      </c>
      <c r="T158">
        <v>950</v>
      </c>
      <c r="U158">
        <v>2000</v>
      </c>
      <c r="V158">
        <v>1200</v>
      </c>
      <c r="W158" t="s">
        <v>285</v>
      </c>
      <c r="X158" t="s">
        <v>286</v>
      </c>
      <c r="AC158" t="s">
        <v>37</v>
      </c>
      <c r="AD158" t="s">
        <v>38</v>
      </c>
      <c r="AE158" s="4">
        <f t="shared" si="12"/>
        <v>13945.81</v>
      </c>
      <c r="AF158">
        <f t="shared" si="9"/>
        <v>2000</v>
      </c>
      <c r="AG158" s="4">
        <f t="shared" si="10"/>
        <v>15945.81</v>
      </c>
      <c r="AI158" t="s">
        <v>47</v>
      </c>
    </row>
    <row r="159" spans="1:35" x14ac:dyDescent="0.3">
      <c r="A159" t="s">
        <v>43</v>
      </c>
      <c r="B159" t="s">
        <v>43</v>
      </c>
      <c r="C159" t="s">
        <v>44</v>
      </c>
      <c r="E159">
        <v>161</v>
      </c>
      <c r="F159" s="6" t="s">
        <v>277</v>
      </c>
      <c r="G159" s="6" t="s">
        <v>106</v>
      </c>
      <c r="H159" s="9">
        <v>45910</v>
      </c>
      <c r="I159" s="2">
        <v>45940</v>
      </c>
      <c r="J159" s="6" t="s">
        <v>33</v>
      </c>
      <c r="K159" s="6" t="s">
        <v>34</v>
      </c>
      <c r="L159" s="6" t="s">
        <v>35</v>
      </c>
      <c r="M159" s="4">
        <f t="shared" si="11"/>
        <v>4452</v>
      </c>
      <c r="N159" s="4">
        <v>4452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>
        <v>0</v>
      </c>
      <c r="U159">
        <v>0</v>
      </c>
      <c r="W159">
        <v>0</v>
      </c>
      <c r="X159" t="s">
        <v>36</v>
      </c>
      <c r="AC159" t="s">
        <v>37</v>
      </c>
      <c r="AD159" t="s">
        <v>38</v>
      </c>
      <c r="AE159" s="4">
        <f t="shared" si="12"/>
        <v>4452</v>
      </c>
      <c r="AF159">
        <f t="shared" si="9"/>
        <v>0</v>
      </c>
      <c r="AG159" s="4">
        <f t="shared" si="10"/>
        <v>4452</v>
      </c>
      <c r="AI159" t="s">
        <v>47</v>
      </c>
    </row>
    <row r="160" spans="1:35" x14ac:dyDescent="0.3">
      <c r="A160" t="s">
        <v>43</v>
      </c>
      <c r="B160" t="s">
        <v>43</v>
      </c>
      <c r="C160" t="s">
        <v>44</v>
      </c>
      <c r="D160" t="s">
        <v>69</v>
      </c>
      <c r="E160">
        <v>162</v>
      </c>
      <c r="F160" s="6" t="s">
        <v>70</v>
      </c>
      <c r="G160" s="6" t="s">
        <v>71</v>
      </c>
      <c r="H160" s="9">
        <v>45931</v>
      </c>
      <c r="J160" s="6" t="s">
        <v>52</v>
      </c>
      <c r="K160" s="6" t="s">
        <v>34</v>
      </c>
      <c r="L160" s="6" t="s">
        <v>35</v>
      </c>
      <c r="M160" s="4">
        <f t="shared" si="11"/>
        <v>5856.76</v>
      </c>
      <c r="N160" s="4">
        <v>2801.97</v>
      </c>
      <c r="O160" s="4">
        <v>1763.71</v>
      </c>
      <c r="P160" s="4">
        <v>824.2</v>
      </c>
      <c r="Q160" s="4">
        <v>466.88</v>
      </c>
      <c r="R160" s="4">
        <v>1102.8989204999998</v>
      </c>
      <c r="S160" s="4">
        <v>1102.8989204999998</v>
      </c>
      <c r="T160">
        <v>912</v>
      </c>
      <c r="U160">
        <v>0</v>
      </c>
      <c r="W160" t="s">
        <v>36</v>
      </c>
      <c r="X160" t="s">
        <v>36</v>
      </c>
      <c r="AC160" t="s">
        <v>37</v>
      </c>
      <c r="AD160" t="s">
        <v>38</v>
      </c>
      <c r="AE160" s="4">
        <f t="shared" si="12"/>
        <v>6768.76</v>
      </c>
      <c r="AF160">
        <f t="shared" si="9"/>
        <v>0</v>
      </c>
      <c r="AG160" s="4">
        <f t="shared" si="10"/>
        <v>6768.76</v>
      </c>
      <c r="AI160" t="s">
        <v>47</v>
      </c>
    </row>
    <row r="161" spans="1:35" x14ac:dyDescent="0.3">
      <c r="A161" t="s">
        <v>43</v>
      </c>
      <c r="B161" t="s">
        <v>43</v>
      </c>
      <c r="C161" t="s">
        <v>44</v>
      </c>
      <c r="E161">
        <v>163</v>
      </c>
      <c r="F161" s="6" t="s">
        <v>226</v>
      </c>
      <c r="G161" s="6" t="s">
        <v>111</v>
      </c>
      <c r="H161" s="9">
        <v>45931</v>
      </c>
      <c r="J161" s="6" t="s">
        <v>52</v>
      </c>
      <c r="K161" s="6" t="s">
        <v>34</v>
      </c>
      <c r="L161" s="6" t="s">
        <v>35</v>
      </c>
      <c r="M161" s="4">
        <f t="shared" si="11"/>
        <v>7030.3099999999995</v>
      </c>
      <c r="N161" s="4">
        <v>3356.8</v>
      </c>
      <c r="O161" s="4">
        <v>2275.8199999999997</v>
      </c>
      <c r="P161" s="4">
        <v>836.66000000000008</v>
      </c>
      <c r="Q161" s="4">
        <v>561.03</v>
      </c>
      <c r="R161" s="4">
        <v>1211.4072171</v>
      </c>
      <c r="S161" s="4">
        <v>1211.4072171</v>
      </c>
      <c r="T161">
        <v>912</v>
      </c>
      <c r="U161">
        <v>0</v>
      </c>
      <c r="W161" t="s">
        <v>36</v>
      </c>
      <c r="X161" t="s">
        <v>36</v>
      </c>
      <c r="Y161" s="6">
        <v>15000</v>
      </c>
      <c r="AC161" t="s">
        <v>37</v>
      </c>
      <c r="AD161" t="s">
        <v>38</v>
      </c>
      <c r="AE161" s="4">
        <f t="shared" si="12"/>
        <v>7942.3099999999995</v>
      </c>
      <c r="AF161">
        <f t="shared" si="9"/>
        <v>15000</v>
      </c>
      <c r="AG161" s="4">
        <f t="shared" si="10"/>
        <v>22942.309999999998</v>
      </c>
      <c r="AI161" t="s">
        <v>47</v>
      </c>
    </row>
    <row r="162" spans="1:35" x14ac:dyDescent="0.3">
      <c r="A162" t="s">
        <v>43</v>
      </c>
      <c r="B162" t="s">
        <v>43</v>
      </c>
      <c r="C162" t="s">
        <v>44</v>
      </c>
      <c r="E162">
        <v>165</v>
      </c>
      <c r="F162" s="6" t="s">
        <v>435</v>
      </c>
      <c r="G162" s="6" t="s">
        <v>60</v>
      </c>
      <c r="H162" s="9">
        <v>45931</v>
      </c>
      <c r="J162" s="6" t="s">
        <v>52</v>
      </c>
      <c r="K162" s="6" t="s">
        <v>34</v>
      </c>
      <c r="L162" s="6" t="s">
        <v>35</v>
      </c>
      <c r="M162" s="4">
        <f t="shared" si="11"/>
        <v>4841.9999999999991</v>
      </c>
      <c r="N162" s="4">
        <v>2302.75</v>
      </c>
      <c r="O162" s="4">
        <v>891.91</v>
      </c>
      <c r="P162" s="4">
        <v>1351.73</v>
      </c>
      <c r="Q162" s="4">
        <v>295.61</v>
      </c>
      <c r="R162" s="4">
        <v>746.67011759999991</v>
      </c>
      <c r="S162" s="4">
        <v>746.67011759999991</v>
      </c>
      <c r="T162">
        <v>988</v>
      </c>
      <c r="U162">
        <v>0</v>
      </c>
      <c r="W162" t="s">
        <v>36</v>
      </c>
      <c r="X162" t="s">
        <v>36</v>
      </c>
      <c r="AC162" t="s">
        <v>37</v>
      </c>
      <c r="AD162" t="s">
        <v>38</v>
      </c>
      <c r="AE162" s="4">
        <f t="shared" si="12"/>
        <v>5829.9999999999991</v>
      </c>
      <c r="AF162">
        <f t="shared" si="9"/>
        <v>0</v>
      </c>
      <c r="AG162" s="4">
        <f t="shared" si="10"/>
        <v>5829.9999999999991</v>
      </c>
      <c r="AI162" t="s">
        <v>47</v>
      </c>
    </row>
    <row r="163" spans="1:35" x14ac:dyDescent="0.3">
      <c r="A163" t="s">
        <v>43</v>
      </c>
      <c r="B163" t="s">
        <v>43</v>
      </c>
      <c r="C163" t="s">
        <v>44</v>
      </c>
      <c r="D163" t="s">
        <v>54</v>
      </c>
      <c r="E163">
        <v>166</v>
      </c>
      <c r="F163" s="6" t="s">
        <v>632</v>
      </c>
      <c r="G163" s="6" t="s">
        <v>86</v>
      </c>
      <c r="H163" s="9">
        <v>45931</v>
      </c>
      <c r="J163" s="6" t="s">
        <v>52</v>
      </c>
      <c r="K163" s="6" t="s">
        <v>34</v>
      </c>
      <c r="L163" s="6" t="s">
        <v>35</v>
      </c>
      <c r="M163" s="4">
        <f t="shared" si="11"/>
        <v>17190.39</v>
      </c>
      <c r="N163" s="4">
        <v>7244.84</v>
      </c>
      <c r="O163" s="4">
        <v>5557.68</v>
      </c>
      <c r="P163" s="4">
        <v>1544.22</v>
      </c>
      <c r="Q163" s="4">
        <v>2843.65</v>
      </c>
      <c r="R163" s="4">
        <v>2937.8792429999999</v>
      </c>
      <c r="S163" s="4">
        <v>2937.8792429999999</v>
      </c>
      <c r="T163">
        <v>950</v>
      </c>
      <c r="U163">
        <v>2000</v>
      </c>
      <c r="V163">
        <v>1000</v>
      </c>
      <c r="W163" t="s">
        <v>723</v>
      </c>
      <c r="X163" t="s">
        <v>722</v>
      </c>
      <c r="AC163" t="s">
        <v>37</v>
      </c>
      <c r="AD163" t="s">
        <v>38</v>
      </c>
      <c r="AE163" s="4">
        <f t="shared" si="12"/>
        <v>19140.39</v>
      </c>
      <c r="AF163">
        <f t="shared" si="9"/>
        <v>2000</v>
      </c>
      <c r="AG163" s="4">
        <f t="shared" si="10"/>
        <v>21140.39</v>
      </c>
      <c r="AI163" t="s">
        <v>47</v>
      </c>
    </row>
    <row r="164" spans="1:35" x14ac:dyDescent="0.3">
      <c r="A164" t="s">
        <v>43</v>
      </c>
      <c r="B164" t="s">
        <v>43</v>
      </c>
      <c r="C164" t="s">
        <v>44</v>
      </c>
      <c r="E164">
        <v>167</v>
      </c>
      <c r="F164" s="6" t="s">
        <v>287</v>
      </c>
      <c r="G164" s="6" t="s">
        <v>60</v>
      </c>
      <c r="H164" s="9">
        <v>45931</v>
      </c>
      <c r="I164" s="2">
        <v>45952</v>
      </c>
      <c r="J164" s="6" t="s">
        <v>33</v>
      </c>
      <c r="K164" s="6" t="s">
        <v>34</v>
      </c>
      <c r="L164" s="6" t="s">
        <v>35</v>
      </c>
      <c r="M164" s="4">
        <f t="shared" si="11"/>
        <v>2189.9699999999998</v>
      </c>
      <c r="N164" s="4">
        <v>2189.9699999999998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>
        <v>0</v>
      </c>
      <c r="U164">
        <v>0</v>
      </c>
      <c r="W164">
        <v>0</v>
      </c>
      <c r="X164" t="s">
        <v>36</v>
      </c>
      <c r="AC164" t="s">
        <v>37</v>
      </c>
      <c r="AD164" t="s">
        <v>38</v>
      </c>
      <c r="AE164" s="4">
        <f t="shared" si="12"/>
        <v>2189.9699999999998</v>
      </c>
      <c r="AF164">
        <f t="shared" si="9"/>
        <v>0</v>
      </c>
      <c r="AG164" s="4">
        <f t="shared" si="10"/>
        <v>2189.9699999999998</v>
      </c>
      <c r="AI164" t="s">
        <v>47</v>
      </c>
    </row>
    <row r="165" spans="1:35" x14ac:dyDescent="0.3">
      <c r="A165" t="s">
        <v>43</v>
      </c>
      <c r="B165" t="s">
        <v>43</v>
      </c>
      <c r="C165" t="s">
        <v>44</v>
      </c>
      <c r="D165" t="s">
        <v>54</v>
      </c>
      <c r="E165">
        <v>168</v>
      </c>
      <c r="F165" s="6" t="s">
        <v>493</v>
      </c>
      <c r="G165" s="6" t="s">
        <v>86</v>
      </c>
      <c r="H165" s="9">
        <v>45932</v>
      </c>
      <c r="I165" s="2">
        <v>46070</v>
      </c>
      <c r="J165" s="6" t="s">
        <v>33</v>
      </c>
      <c r="K165" s="6" t="s">
        <v>34</v>
      </c>
      <c r="L165" s="6" t="s">
        <v>35</v>
      </c>
      <c r="M165" s="4">
        <f t="shared" si="11"/>
        <v>6890</v>
      </c>
      <c r="N165" s="4">
        <v>6890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>
        <v>0</v>
      </c>
      <c r="U165">
        <v>0</v>
      </c>
      <c r="W165" t="s">
        <v>36</v>
      </c>
      <c r="X165" t="s">
        <v>36</v>
      </c>
      <c r="AC165" t="s">
        <v>37</v>
      </c>
      <c r="AD165" t="s">
        <v>38</v>
      </c>
      <c r="AE165" s="4">
        <f t="shared" si="12"/>
        <v>6890</v>
      </c>
      <c r="AF165">
        <f t="shared" si="9"/>
        <v>0</v>
      </c>
      <c r="AG165" s="4">
        <f t="shared" si="10"/>
        <v>6890</v>
      </c>
      <c r="AI165" t="s">
        <v>47</v>
      </c>
    </row>
    <row r="166" spans="1:35" x14ac:dyDescent="0.3">
      <c r="A166" t="s">
        <v>29</v>
      </c>
      <c r="B166" t="s">
        <v>748</v>
      </c>
      <c r="C166" t="s">
        <v>30</v>
      </c>
      <c r="D166" t="s">
        <v>485</v>
      </c>
      <c r="E166">
        <v>169</v>
      </c>
      <c r="F166" s="6" t="s">
        <v>486</v>
      </c>
      <c r="G166" s="6" t="s">
        <v>32</v>
      </c>
      <c r="H166" s="9">
        <v>45932</v>
      </c>
      <c r="J166" s="6" t="s">
        <v>52</v>
      </c>
      <c r="K166" s="6" t="s">
        <v>34</v>
      </c>
      <c r="L166" s="6" t="s">
        <v>35</v>
      </c>
      <c r="M166" s="4">
        <f t="shared" si="11"/>
        <v>4988.59</v>
      </c>
      <c r="N166" s="4">
        <v>3195.53</v>
      </c>
      <c r="O166" s="4">
        <v>1106.95</v>
      </c>
      <c r="P166" s="4">
        <v>300</v>
      </c>
      <c r="Q166" s="4">
        <v>386.11</v>
      </c>
      <c r="R166" s="4">
        <v>933.5203209</v>
      </c>
      <c r="S166" s="4">
        <v>933.5203209</v>
      </c>
      <c r="T166">
        <v>912</v>
      </c>
      <c r="U166">
        <v>0</v>
      </c>
      <c r="V166">
        <v>600</v>
      </c>
      <c r="W166" t="s">
        <v>36</v>
      </c>
      <c r="X166" t="s">
        <v>36</v>
      </c>
      <c r="AC166" t="s">
        <v>37</v>
      </c>
      <c r="AD166" t="s">
        <v>38</v>
      </c>
      <c r="AE166" s="4">
        <f t="shared" si="12"/>
        <v>6500.59</v>
      </c>
      <c r="AF166">
        <f t="shared" si="9"/>
        <v>0</v>
      </c>
      <c r="AG166" s="4">
        <f t="shared" si="10"/>
        <v>6500.59</v>
      </c>
      <c r="AI166" t="s">
        <v>39</v>
      </c>
    </row>
    <row r="167" spans="1:35" x14ac:dyDescent="0.3">
      <c r="A167" t="s">
        <v>43</v>
      </c>
      <c r="B167" t="s">
        <v>43</v>
      </c>
      <c r="C167" t="s">
        <v>44</v>
      </c>
      <c r="E167">
        <v>170</v>
      </c>
      <c r="F167" s="6" t="s">
        <v>290</v>
      </c>
      <c r="G167" s="6" t="s">
        <v>56</v>
      </c>
      <c r="H167" s="9">
        <v>45938</v>
      </c>
      <c r="I167" s="2">
        <v>45980</v>
      </c>
      <c r="J167" s="6" t="s">
        <v>33</v>
      </c>
      <c r="K167" s="6" t="s">
        <v>34</v>
      </c>
      <c r="L167" s="6" t="s">
        <v>35</v>
      </c>
      <c r="M167" s="4">
        <f t="shared" si="11"/>
        <v>5114.5</v>
      </c>
      <c r="N167" s="4">
        <v>5114.5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>
        <v>0</v>
      </c>
      <c r="U167">
        <v>0</v>
      </c>
      <c r="W167" t="s">
        <v>36</v>
      </c>
      <c r="X167" t="s">
        <v>36</v>
      </c>
      <c r="AC167" t="s">
        <v>37</v>
      </c>
      <c r="AD167" t="s">
        <v>38</v>
      </c>
      <c r="AE167" s="4">
        <f t="shared" si="12"/>
        <v>5114.5</v>
      </c>
      <c r="AF167">
        <f t="shared" si="9"/>
        <v>0</v>
      </c>
      <c r="AG167" s="4">
        <f t="shared" si="10"/>
        <v>5114.5</v>
      </c>
      <c r="AI167" t="s">
        <v>47</v>
      </c>
    </row>
    <row r="168" spans="1:35" x14ac:dyDescent="0.3">
      <c r="A168" t="s">
        <v>43</v>
      </c>
      <c r="B168" t="s">
        <v>43</v>
      </c>
      <c r="C168" t="s">
        <v>44</v>
      </c>
      <c r="E168">
        <v>171</v>
      </c>
      <c r="F168" s="6" t="s">
        <v>291</v>
      </c>
      <c r="G168" s="6" t="s">
        <v>292</v>
      </c>
      <c r="H168" s="9">
        <v>45938</v>
      </c>
      <c r="I168" s="2">
        <v>46027</v>
      </c>
      <c r="J168" s="6" t="s">
        <v>33</v>
      </c>
      <c r="K168" s="6" t="s">
        <v>34</v>
      </c>
      <c r="L168" s="6" t="s">
        <v>35</v>
      </c>
      <c r="M168" s="4">
        <f t="shared" si="11"/>
        <v>4452</v>
      </c>
      <c r="N168" s="4">
        <v>4452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>
        <v>0</v>
      </c>
      <c r="U168">
        <v>0</v>
      </c>
      <c r="W168">
        <v>0</v>
      </c>
      <c r="X168" t="s">
        <v>36</v>
      </c>
      <c r="AC168" t="s">
        <v>37</v>
      </c>
      <c r="AD168" t="s">
        <v>38</v>
      </c>
      <c r="AE168" s="4">
        <f t="shared" si="12"/>
        <v>4452</v>
      </c>
      <c r="AF168">
        <f t="shared" si="9"/>
        <v>0</v>
      </c>
      <c r="AG168" s="4">
        <f t="shared" si="10"/>
        <v>4452</v>
      </c>
      <c r="AI168" t="s">
        <v>47</v>
      </c>
    </row>
    <row r="169" spans="1:35" x14ac:dyDescent="0.3">
      <c r="A169" t="s">
        <v>43</v>
      </c>
      <c r="B169" t="s">
        <v>43</v>
      </c>
      <c r="C169" t="s">
        <v>44</v>
      </c>
      <c r="D169" t="s">
        <v>155</v>
      </c>
      <c r="E169">
        <v>172</v>
      </c>
      <c r="F169" s="6" t="s">
        <v>423</v>
      </c>
      <c r="G169" s="6" t="s">
        <v>106</v>
      </c>
      <c r="H169" s="9">
        <v>45938</v>
      </c>
      <c r="J169" s="6" t="s">
        <v>52</v>
      </c>
      <c r="K169" s="6" t="s">
        <v>34</v>
      </c>
      <c r="L169" s="6" t="s">
        <v>35</v>
      </c>
      <c r="M169" s="4">
        <f t="shared" si="11"/>
        <v>9455.619999999999</v>
      </c>
      <c r="N169" s="4">
        <v>4681.28</v>
      </c>
      <c r="O169" s="4">
        <v>2952.0899999999997</v>
      </c>
      <c r="P169" s="4">
        <v>624.20000000000005</v>
      </c>
      <c r="Q169" s="4">
        <v>1198.05</v>
      </c>
      <c r="R169" s="4">
        <v>1685.7000513000003</v>
      </c>
      <c r="S169" s="4">
        <v>1685.7000513000003</v>
      </c>
      <c r="T169">
        <v>988</v>
      </c>
      <c r="U169">
        <v>0</v>
      </c>
      <c r="W169" t="s">
        <v>36</v>
      </c>
      <c r="X169" t="s">
        <v>36</v>
      </c>
      <c r="Y169" s="6">
        <v>15000</v>
      </c>
      <c r="AC169" t="s">
        <v>53</v>
      </c>
      <c r="AD169" t="s">
        <v>38</v>
      </c>
      <c r="AE169" s="4">
        <f t="shared" si="12"/>
        <v>10443.619999999999</v>
      </c>
      <c r="AF169">
        <f t="shared" si="9"/>
        <v>15000</v>
      </c>
      <c r="AG169" s="4">
        <f t="shared" si="10"/>
        <v>25443.62</v>
      </c>
      <c r="AI169" t="s">
        <v>47</v>
      </c>
    </row>
    <row r="170" spans="1:35" x14ac:dyDescent="0.3">
      <c r="A170" t="s">
        <v>43</v>
      </c>
      <c r="B170" t="s">
        <v>43</v>
      </c>
      <c r="C170" t="s">
        <v>44</v>
      </c>
      <c r="D170" t="s">
        <v>81</v>
      </c>
      <c r="E170">
        <v>173</v>
      </c>
      <c r="F170" s="6" t="s">
        <v>578</v>
      </c>
      <c r="G170" s="6" t="s">
        <v>579</v>
      </c>
      <c r="H170" s="9">
        <v>45938</v>
      </c>
      <c r="I170" s="2">
        <v>46122</v>
      </c>
      <c r="J170" s="6" t="s">
        <v>33</v>
      </c>
      <c r="K170" s="6" t="s">
        <v>34</v>
      </c>
      <c r="L170" s="6" t="s">
        <v>35</v>
      </c>
      <c r="M170" s="4">
        <f t="shared" si="11"/>
        <v>3353.12</v>
      </c>
      <c r="N170" s="4">
        <v>3353.12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>
        <v>0</v>
      </c>
      <c r="U170">
        <v>0</v>
      </c>
      <c r="W170">
        <v>0</v>
      </c>
      <c r="X170" t="s">
        <v>36</v>
      </c>
      <c r="AC170" t="s">
        <v>37</v>
      </c>
      <c r="AD170" t="s">
        <v>38</v>
      </c>
      <c r="AE170" s="4">
        <f t="shared" si="12"/>
        <v>3353.12</v>
      </c>
      <c r="AF170">
        <f t="shared" si="9"/>
        <v>0</v>
      </c>
      <c r="AG170" s="4">
        <f t="shared" si="10"/>
        <v>3353.12</v>
      </c>
      <c r="AI170" t="s">
        <v>47</v>
      </c>
    </row>
    <row r="171" spans="1:35" x14ac:dyDescent="0.3">
      <c r="A171" t="s">
        <v>43</v>
      </c>
      <c r="B171" t="s">
        <v>43</v>
      </c>
      <c r="C171" t="s">
        <v>44</v>
      </c>
      <c r="D171" t="s">
        <v>54</v>
      </c>
      <c r="E171">
        <v>174</v>
      </c>
      <c r="F171" s="6" t="s">
        <v>569</v>
      </c>
      <c r="G171" s="6" t="s">
        <v>182</v>
      </c>
      <c r="H171" s="9">
        <v>45938</v>
      </c>
      <c r="J171" s="6" t="s">
        <v>52</v>
      </c>
      <c r="K171" s="6" t="s">
        <v>34</v>
      </c>
      <c r="L171" s="6" t="s">
        <v>35</v>
      </c>
      <c r="M171" s="4">
        <f t="shared" si="11"/>
        <v>10970.76</v>
      </c>
      <c r="N171" s="4">
        <v>5377.9</v>
      </c>
      <c r="O171" s="4">
        <v>3740.62</v>
      </c>
      <c r="P171" s="4">
        <v>365.38</v>
      </c>
      <c r="Q171" s="4">
        <v>1486.8600000000001</v>
      </c>
      <c r="R171" s="4">
        <v>1936.0283849999998</v>
      </c>
      <c r="S171" s="4">
        <v>1936.0283849999998</v>
      </c>
      <c r="T171">
        <v>836</v>
      </c>
      <c r="U171">
        <v>0</v>
      </c>
      <c r="W171" t="s">
        <v>36</v>
      </c>
      <c r="X171" t="s">
        <v>36</v>
      </c>
      <c r="AC171" t="s">
        <v>37</v>
      </c>
      <c r="AD171" t="s">
        <v>38</v>
      </c>
      <c r="AE171" s="4">
        <f t="shared" si="12"/>
        <v>11806.76</v>
      </c>
      <c r="AF171">
        <f t="shared" si="9"/>
        <v>0</v>
      </c>
      <c r="AG171" s="4">
        <f t="shared" si="10"/>
        <v>11806.76</v>
      </c>
      <c r="AI171" t="s">
        <v>47</v>
      </c>
    </row>
    <row r="172" spans="1:35" x14ac:dyDescent="0.3">
      <c r="A172" t="s">
        <v>43</v>
      </c>
      <c r="B172" t="s">
        <v>43</v>
      </c>
      <c r="C172" t="s">
        <v>44</v>
      </c>
      <c r="E172">
        <v>175</v>
      </c>
      <c r="F172" s="6" t="s">
        <v>296</v>
      </c>
      <c r="G172" s="6" t="s">
        <v>136</v>
      </c>
      <c r="H172" s="9">
        <v>45938</v>
      </c>
      <c r="I172" s="2">
        <v>46066</v>
      </c>
      <c r="J172" s="6" t="s">
        <v>33</v>
      </c>
      <c r="K172" s="6" t="s">
        <v>34</v>
      </c>
      <c r="L172" s="6" t="s">
        <v>35</v>
      </c>
      <c r="M172" s="4">
        <f t="shared" si="11"/>
        <v>2664.74</v>
      </c>
      <c r="N172" s="4">
        <v>2664.74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>
        <v>0</v>
      </c>
      <c r="U172">
        <v>0</v>
      </c>
      <c r="W172">
        <v>0</v>
      </c>
      <c r="X172" t="s">
        <v>36</v>
      </c>
      <c r="AC172" t="s">
        <v>37</v>
      </c>
      <c r="AD172" t="s">
        <v>38</v>
      </c>
      <c r="AE172" s="4">
        <f t="shared" si="12"/>
        <v>2664.74</v>
      </c>
      <c r="AF172">
        <f t="shared" si="9"/>
        <v>0</v>
      </c>
      <c r="AG172" s="4">
        <f t="shared" si="10"/>
        <v>2664.74</v>
      </c>
      <c r="AI172" t="s">
        <v>47</v>
      </c>
    </row>
    <row r="173" spans="1:35" x14ac:dyDescent="0.3">
      <c r="A173" t="s">
        <v>43</v>
      </c>
      <c r="B173" t="s">
        <v>43</v>
      </c>
      <c r="C173" t="s">
        <v>44</v>
      </c>
      <c r="E173">
        <v>176</v>
      </c>
      <c r="F173" s="6" t="s">
        <v>297</v>
      </c>
      <c r="G173" s="6" t="s">
        <v>136</v>
      </c>
      <c r="H173" s="9">
        <v>45938</v>
      </c>
      <c r="I173" s="2">
        <v>46066</v>
      </c>
      <c r="J173" s="6" t="s">
        <v>33</v>
      </c>
      <c r="K173" s="6" t="s">
        <v>34</v>
      </c>
      <c r="L173" s="6" t="s">
        <v>35</v>
      </c>
      <c r="M173" s="4">
        <f t="shared" si="11"/>
        <v>2664.74</v>
      </c>
      <c r="N173" s="4">
        <v>2664.74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>
        <v>0</v>
      </c>
      <c r="U173">
        <v>0</v>
      </c>
      <c r="W173">
        <v>0</v>
      </c>
      <c r="X173" t="s">
        <v>36</v>
      </c>
      <c r="AC173" t="s">
        <v>37</v>
      </c>
      <c r="AD173" t="s">
        <v>38</v>
      </c>
      <c r="AE173" s="4">
        <f t="shared" si="12"/>
        <v>2664.74</v>
      </c>
      <c r="AF173">
        <f t="shared" si="9"/>
        <v>0</v>
      </c>
      <c r="AG173" s="4">
        <f t="shared" si="10"/>
        <v>2664.74</v>
      </c>
      <c r="AI173" t="s">
        <v>47</v>
      </c>
    </row>
    <row r="174" spans="1:35" x14ac:dyDescent="0.3">
      <c r="A174" t="s">
        <v>43</v>
      </c>
      <c r="B174" t="s">
        <v>43</v>
      </c>
      <c r="C174" t="s">
        <v>44</v>
      </c>
      <c r="D174" t="s">
        <v>222</v>
      </c>
      <c r="E174">
        <v>177</v>
      </c>
      <c r="F174" s="6" t="s">
        <v>631</v>
      </c>
      <c r="G174" s="6" t="s">
        <v>322</v>
      </c>
      <c r="H174" s="9">
        <v>45938</v>
      </c>
      <c r="J174" s="6" t="s">
        <v>52</v>
      </c>
      <c r="K174" s="6" t="s">
        <v>34</v>
      </c>
      <c r="L174" s="6" t="s">
        <v>35</v>
      </c>
      <c r="M174" s="4">
        <f t="shared" si="11"/>
        <v>5807.5599999999995</v>
      </c>
      <c r="N174" s="4">
        <v>2801.97</v>
      </c>
      <c r="O174" s="4">
        <v>1037.42</v>
      </c>
      <c r="P174" s="4">
        <v>1643</v>
      </c>
      <c r="Q174" s="4">
        <v>325.17</v>
      </c>
      <c r="R174" s="4">
        <v>908.40580919999991</v>
      </c>
      <c r="S174" s="4">
        <v>908.40580919999991</v>
      </c>
      <c r="T174">
        <v>912</v>
      </c>
      <c r="U174">
        <v>0</v>
      </c>
      <c r="W174" t="s">
        <v>36</v>
      </c>
      <c r="X174" t="s">
        <v>36</v>
      </c>
      <c r="AC174" t="s">
        <v>37</v>
      </c>
      <c r="AD174" t="s">
        <v>38</v>
      </c>
      <c r="AE174" s="4">
        <f t="shared" si="12"/>
        <v>6719.5599999999995</v>
      </c>
      <c r="AF174">
        <f t="shared" si="9"/>
        <v>0</v>
      </c>
      <c r="AG174" s="4">
        <f t="shared" si="10"/>
        <v>6719.5599999999995</v>
      </c>
      <c r="AI174" t="s">
        <v>47</v>
      </c>
    </row>
    <row r="175" spans="1:35" x14ac:dyDescent="0.3">
      <c r="A175" t="s">
        <v>43</v>
      </c>
      <c r="B175" t="s">
        <v>43</v>
      </c>
      <c r="C175" t="s">
        <v>44</v>
      </c>
      <c r="E175">
        <v>178</v>
      </c>
      <c r="F175" s="6" t="s">
        <v>299</v>
      </c>
      <c r="G175" s="6" t="s">
        <v>60</v>
      </c>
      <c r="H175" s="9">
        <v>45938</v>
      </c>
      <c r="I175" s="2">
        <v>45975</v>
      </c>
      <c r="J175" s="6" t="s">
        <v>33</v>
      </c>
      <c r="K175" s="6" t="s">
        <v>34</v>
      </c>
      <c r="L175" s="6" t="s">
        <v>35</v>
      </c>
      <c r="M175" s="4">
        <f t="shared" si="11"/>
        <v>2189.9699999999998</v>
      </c>
      <c r="N175" s="4">
        <v>2189.9699999999998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>
        <v>0</v>
      </c>
      <c r="U175">
        <v>0</v>
      </c>
      <c r="W175">
        <v>0</v>
      </c>
      <c r="X175" t="s">
        <v>36</v>
      </c>
      <c r="AC175" t="s">
        <v>37</v>
      </c>
      <c r="AD175" t="s">
        <v>38</v>
      </c>
      <c r="AE175" s="4">
        <f t="shared" si="12"/>
        <v>2189.9699999999998</v>
      </c>
      <c r="AF175">
        <f t="shared" si="9"/>
        <v>0</v>
      </c>
      <c r="AG175" s="4">
        <f t="shared" si="10"/>
        <v>2189.9699999999998</v>
      </c>
      <c r="AI175" t="s">
        <v>47</v>
      </c>
    </row>
    <row r="176" spans="1:35" x14ac:dyDescent="0.3">
      <c r="A176" t="s">
        <v>77</v>
      </c>
      <c r="B176" t="s">
        <v>148</v>
      </c>
      <c r="C176" t="s">
        <v>30</v>
      </c>
      <c r="D176" t="s">
        <v>149</v>
      </c>
      <c r="E176">
        <v>179</v>
      </c>
      <c r="F176" s="6" t="s">
        <v>150</v>
      </c>
      <c r="G176" s="6" t="s">
        <v>151</v>
      </c>
      <c r="H176" s="9">
        <v>45950</v>
      </c>
      <c r="I176" s="2">
        <v>46120</v>
      </c>
      <c r="J176" s="6" t="s">
        <v>33</v>
      </c>
      <c r="K176" s="6" t="s">
        <v>34</v>
      </c>
      <c r="L176" s="6" t="s">
        <v>35</v>
      </c>
      <c r="M176" s="4">
        <f t="shared" si="11"/>
        <v>6360</v>
      </c>
      <c r="N176" s="4">
        <v>6360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>
        <v>0</v>
      </c>
      <c r="U176">
        <v>0</v>
      </c>
      <c r="W176">
        <v>0</v>
      </c>
      <c r="X176" t="s">
        <v>36</v>
      </c>
      <c r="AC176" t="s">
        <v>37</v>
      </c>
      <c r="AD176" t="s">
        <v>38</v>
      </c>
      <c r="AE176" s="4">
        <f t="shared" si="12"/>
        <v>6360</v>
      </c>
      <c r="AF176">
        <f t="shared" si="9"/>
        <v>0</v>
      </c>
      <c r="AG176" s="4">
        <f t="shared" si="10"/>
        <v>6360</v>
      </c>
      <c r="AI176" t="s">
        <v>39</v>
      </c>
    </row>
    <row r="177" spans="1:35" x14ac:dyDescent="0.3">
      <c r="A177" t="s">
        <v>40</v>
      </c>
      <c r="B177" t="s">
        <v>40</v>
      </c>
      <c r="C177" t="s">
        <v>30</v>
      </c>
      <c r="D177" t="s">
        <v>91</v>
      </c>
      <c r="E177">
        <v>180</v>
      </c>
      <c r="F177" s="6" t="s">
        <v>593</v>
      </c>
      <c r="G177" s="6" t="s">
        <v>594</v>
      </c>
      <c r="H177" s="9">
        <v>45971</v>
      </c>
      <c r="J177" s="6" t="s">
        <v>52</v>
      </c>
      <c r="K177" s="6" t="s">
        <v>34</v>
      </c>
      <c r="L177" s="6" t="s">
        <v>35</v>
      </c>
      <c r="M177" s="4">
        <f t="shared" si="11"/>
        <v>15411.82</v>
      </c>
      <c r="N177" s="4">
        <v>7360.5</v>
      </c>
      <c r="O177" s="4">
        <v>3559.75</v>
      </c>
      <c r="P177" s="4">
        <v>2000</v>
      </c>
      <c r="Q177" s="4">
        <v>2491.5700000000002</v>
      </c>
      <c r="R177" s="4">
        <v>2637.1707074999999</v>
      </c>
      <c r="S177" s="4">
        <v>2637.1707074999999</v>
      </c>
      <c r="T177">
        <v>1026</v>
      </c>
      <c r="U177">
        <v>0</v>
      </c>
      <c r="V177">
        <v>600</v>
      </c>
      <c r="W177" t="s">
        <v>36</v>
      </c>
      <c r="X177" t="s">
        <v>36</v>
      </c>
      <c r="AC177" t="s">
        <v>37</v>
      </c>
      <c r="AD177" t="s">
        <v>38</v>
      </c>
      <c r="AE177" s="4">
        <f t="shared" si="12"/>
        <v>17037.82</v>
      </c>
      <c r="AF177">
        <f t="shared" si="9"/>
        <v>0</v>
      </c>
      <c r="AG177" s="4">
        <f t="shared" si="10"/>
        <v>17037.82</v>
      </c>
      <c r="AI177" t="s">
        <v>47</v>
      </c>
    </row>
    <row r="178" spans="1:35" x14ac:dyDescent="0.3">
      <c r="A178" t="s">
        <v>43</v>
      </c>
      <c r="B178" t="s">
        <v>43</v>
      </c>
      <c r="C178" t="s">
        <v>44</v>
      </c>
      <c r="D178" t="s">
        <v>387</v>
      </c>
      <c r="E178">
        <v>181</v>
      </c>
      <c r="F178" s="6" t="s">
        <v>432</v>
      </c>
      <c r="G178" s="6" t="s">
        <v>71</v>
      </c>
      <c r="H178" s="9">
        <v>45964</v>
      </c>
      <c r="J178" s="6" t="s">
        <v>52</v>
      </c>
      <c r="K178" s="6" t="s">
        <v>34</v>
      </c>
      <c r="L178" s="6" t="s">
        <v>35</v>
      </c>
      <c r="M178" s="4">
        <f t="shared" si="11"/>
        <v>6331.55</v>
      </c>
      <c r="N178" s="4">
        <v>2801.97</v>
      </c>
      <c r="O178" s="4">
        <v>2254.5100000000002</v>
      </c>
      <c r="P178" s="4">
        <v>734.93000000000006</v>
      </c>
      <c r="Q178" s="4">
        <v>540.14</v>
      </c>
      <c r="R178" s="4">
        <v>1149.9070040999995</v>
      </c>
      <c r="S178" s="4">
        <v>1149.9070040999995</v>
      </c>
      <c r="T178">
        <v>760</v>
      </c>
      <c r="U178">
        <v>0</v>
      </c>
      <c r="W178" t="s">
        <v>36</v>
      </c>
      <c r="X178" t="s">
        <v>36</v>
      </c>
      <c r="AC178" t="s">
        <v>37</v>
      </c>
      <c r="AD178" t="s">
        <v>38</v>
      </c>
      <c r="AE178" s="4">
        <f t="shared" si="12"/>
        <v>7091.55</v>
      </c>
      <c r="AF178">
        <f t="shared" si="9"/>
        <v>0</v>
      </c>
      <c r="AG178" s="4">
        <f t="shared" si="10"/>
        <v>7091.55</v>
      </c>
      <c r="AI178" t="s">
        <v>47</v>
      </c>
    </row>
    <row r="179" spans="1:35" x14ac:dyDescent="0.3">
      <c r="A179" t="s">
        <v>43</v>
      </c>
      <c r="B179" t="s">
        <v>43</v>
      </c>
      <c r="C179" t="s">
        <v>44</v>
      </c>
      <c r="D179" t="s">
        <v>211</v>
      </c>
      <c r="E179">
        <v>182</v>
      </c>
      <c r="F179" s="6" t="s">
        <v>212</v>
      </c>
      <c r="G179" s="6" t="s">
        <v>182</v>
      </c>
      <c r="H179" s="9">
        <v>45964</v>
      </c>
      <c r="J179" s="6" t="s">
        <v>52</v>
      </c>
      <c r="K179" s="6" t="s">
        <v>34</v>
      </c>
      <c r="L179" s="6" t="s">
        <v>35</v>
      </c>
      <c r="M179" s="4">
        <f t="shared" si="11"/>
        <v>11868.15</v>
      </c>
      <c r="N179" s="4">
        <v>5377.9</v>
      </c>
      <c r="O179" s="4">
        <v>3870.92</v>
      </c>
      <c r="P179" s="4">
        <v>892.93000000000006</v>
      </c>
      <c r="Q179" s="4">
        <v>1726.4</v>
      </c>
      <c r="R179" s="4">
        <v>1942.4135726999998</v>
      </c>
      <c r="S179" s="4">
        <v>1942.4135726999998</v>
      </c>
      <c r="T179">
        <v>874</v>
      </c>
      <c r="U179">
        <v>0</v>
      </c>
      <c r="W179" t="s">
        <v>36</v>
      </c>
      <c r="X179" t="s">
        <v>36</v>
      </c>
      <c r="AC179" t="s">
        <v>37</v>
      </c>
      <c r="AD179" t="s">
        <v>38</v>
      </c>
      <c r="AE179" s="4">
        <f t="shared" si="12"/>
        <v>12742.15</v>
      </c>
      <c r="AF179">
        <f t="shared" si="9"/>
        <v>0</v>
      </c>
      <c r="AG179" s="4">
        <f t="shared" si="10"/>
        <v>12742.15</v>
      </c>
      <c r="AI179" t="s">
        <v>47</v>
      </c>
    </row>
    <row r="180" spans="1:35" x14ac:dyDescent="0.3">
      <c r="A180" t="s">
        <v>43</v>
      </c>
      <c r="B180" t="s">
        <v>43</v>
      </c>
      <c r="C180" t="s">
        <v>44</v>
      </c>
      <c r="E180">
        <v>183</v>
      </c>
      <c r="F180" s="6" t="s">
        <v>305</v>
      </c>
      <c r="G180" s="6" t="s">
        <v>60</v>
      </c>
      <c r="H180" s="9">
        <v>45950</v>
      </c>
      <c r="J180" s="6" t="s">
        <v>52</v>
      </c>
      <c r="K180" s="6" t="s">
        <v>34</v>
      </c>
      <c r="L180" s="6" t="s">
        <v>35</v>
      </c>
      <c r="M180" s="4">
        <f t="shared" si="11"/>
        <v>2789.1234549999999</v>
      </c>
      <c r="N180" s="4">
        <v>2302.753455</v>
      </c>
      <c r="O180" s="4">
        <v>35.82</v>
      </c>
      <c r="P180" s="4">
        <v>324.2</v>
      </c>
      <c r="Q180" s="4">
        <v>126.35</v>
      </c>
      <c r="R180" s="4">
        <v>412.80101999999999</v>
      </c>
      <c r="S180" s="4">
        <v>412.80101999999999</v>
      </c>
      <c r="T180">
        <v>304</v>
      </c>
      <c r="U180">
        <v>0</v>
      </c>
      <c r="W180" t="s">
        <v>36</v>
      </c>
      <c r="X180" t="s">
        <v>36</v>
      </c>
      <c r="AC180" t="s">
        <v>37</v>
      </c>
      <c r="AD180" t="s">
        <v>38</v>
      </c>
      <c r="AE180" s="4">
        <f t="shared" si="12"/>
        <v>3093.1234549999999</v>
      </c>
      <c r="AF180">
        <f t="shared" si="9"/>
        <v>0</v>
      </c>
      <c r="AG180" s="4">
        <f t="shared" si="10"/>
        <v>3093.1234549999999</v>
      </c>
      <c r="AI180" t="s">
        <v>47</v>
      </c>
    </row>
    <row r="181" spans="1:35" x14ac:dyDescent="0.3">
      <c r="A181" t="s">
        <v>43</v>
      </c>
      <c r="B181" t="s">
        <v>43</v>
      </c>
      <c r="C181" t="s">
        <v>44</v>
      </c>
      <c r="E181">
        <v>184</v>
      </c>
      <c r="F181" s="6" t="s">
        <v>308</v>
      </c>
      <c r="G181" s="6" t="s">
        <v>65</v>
      </c>
      <c r="H181" s="9">
        <v>45950</v>
      </c>
      <c r="I181" s="2">
        <v>46038</v>
      </c>
      <c r="J181" s="6" t="s">
        <v>33</v>
      </c>
      <c r="K181" s="6" t="s">
        <v>34</v>
      </c>
      <c r="L181" s="6" t="s">
        <v>35</v>
      </c>
      <c r="M181" s="4">
        <f t="shared" si="11"/>
        <v>2189.9699999999998</v>
      </c>
      <c r="N181" s="4">
        <v>2189.9699999999998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>
        <v>0</v>
      </c>
      <c r="U181">
        <v>0</v>
      </c>
      <c r="W181">
        <v>0</v>
      </c>
      <c r="X181" t="s">
        <v>36</v>
      </c>
      <c r="AC181" t="s">
        <v>37</v>
      </c>
      <c r="AD181" t="s">
        <v>38</v>
      </c>
      <c r="AE181" s="4">
        <f t="shared" si="12"/>
        <v>2189.9699999999998</v>
      </c>
      <c r="AF181">
        <f t="shared" si="9"/>
        <v>0</v>
      </c>
      <c r="AG181" s="4">
        <f t="shared" si="10"/>
        <v>2189.9699999999998</v>
      </c>
      <c r="AI181" t="s">
        <v>47</v>
      </c>
    </row>
    <row r="182" spans="1:35" x14ac:dyDescent="0.3">
      <c r="A182" t="s">
        <v>43</v>
      </c>
      <c r="B182" t="s">
        <v>43</v>
      </c>
      <c r="C182" t="s">
        <v>44</v>
      </c>
      <c r="E182">
        <v>186</v>
      </c>
      <c r="F182" s="6" t="s">
        <v>309</v>
      </c>
      <c r="G182" s="6" t="s">
        <v>65</v>
      </c>
      <c r="H182" s="9">
        <v>45950</v>
      </c>
      <c r="I182" s="2">
        <v>46058</v>
      </c>
      <c r="J182" s="6" t="s">
        <v>33</v>
      </c>
      <c r="K182" s="6" t="s">
        <v>34</v>
      </c>
      <c r="L182" s="6" t="s">
        <v>35</v>
      </c>
      <c r="M182" s="4">
        <f t="shared" si="11"/>
        <v>2189.9699999999998</v>
      </c>
      <c r="N182" s="4">
        <v>2189.9699999999998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>
        <v>0</v>
      </c>
      <c r="U182">
        <v>0</v>
      </c>
      <c r="W182">
        <v>0</v>
      </c>
      <c r="X182" t="s">
        <v>36</v>
      </c>
      <c r="AC182" t="s">
        <v>37</v>
      </c>
      <c r="AD182" t="s">
        <v>38</v>
      </c>
      <c r="AE182" s="4">
        <f t="shared" si="12"/>
        <v>2189.9699999999998</v>
      </c>
      <c r="AF182">
        <f t="shared" si="9"/>
        <v>0</v>
      </c>
      <c r="AG182" s="4">
        <f t="shared" si="10"/>
        <v>2189.9699999999998</v>
      </c>
      <c r="AI182" t="s">
        <v>47</v>
      </c>
    </row>
    <row r="183" spans="1:35" x14ac:dyDescent="0.3">
      <c r="A183" t="s">
        <v>43</v>
      </c>
      <c r="B183" t="s">
        <v>43</v>
      </c>
      <c r="C183" t="s">
        <v>44</v>
      </c>
      <c r="D183" t="s">
        <v>428</v>
      </c>
      <c r="E183">
        <v>187</v>
      </c>
      <c r="F183" s="6" t="s">
        <v>646</v>
      </c>
      <c r="G183" s="6" t="s">
        <v>65</v>
      </c>
      <c r="H183" s="9">
        <v>45950</v>
      </c>
      <c r="I183" s="2">
        <v>46128</v>
      </c>
      <c r="J183" s="6" t="s">
        <v>33</v>
      </c>
      <c r="K183" s="6" t="s">
        <v>34</v>
      </c>
      <c r="L183" s="6" t="s">
        <v>35</v>
      </c>
      <c r="M183" s="4">
        <f t="shared" si="11"/>
        <v>2189.9699999999998</v>
      </c>
      <c r="N183" s="4">
        <v>2189.9699999999998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>
        <v>0</v>
      </c>
      <c r="U183">
        <v>0</v>
      </c>
      <c r="W183">
        <v>0</v>
      </c>
      <c r="X183" t="s">
        <v>36</v>
      </c>
      <c r="AC183" t="s">
        <v>37</v>
      </c>
      <c r="AD183" t="s">
        <v>38</v>
      </c>
      <c r="AE183" s="4">
        <f t="shared" si="12"/>
        <v>2189.9699999999998</v>
      </c>
      <c r="AF183">
        <f t="shared" si="9"/>
        <v>0</v>
      </c>
      <c r="AG183" s="4">
        <f t="shared" si="10"/>
        <v>2189.9699999999998</v>
      </c>
      <c r="AI183" t="s">
        <v>47</v>
      </c>
    </row>
    <row r="184" spans="1:35" x14ac:dyDescent="0.3">
      <c r="A184" t="s">
        <v>77</v>
      </c>
      <c r="B184" t="s">
        <v>78</v>
      </c>
      <c r="C184" t="s">
        <v>30</v>
      </c>
      <c r="E184">
        <v>188</v>
      </c>
      <c r="F184" s="6" t="s">
        <v>79</v>
      </c>
      <c r="G184" s="6" t="s">
        <v>628</v>
      </c>
      <c r="H184" s="9">
        <v>45953</v>
      </c>
      <c r="I184" s="2">
        <v>46149</v>
      </c>
      <c r="J184" s="6" t="s">
        <v>33</v>
      </c>
      <c r="K184" s="6" t="s">
        <v>34</v>
      </c>
      <c r="L184" s="6" t="s">
        <v>35</v>
      </c>
      <c r="M184" s="4">
        <f t="shared" si="11"/>
        <v>10168.200000000001</v>
      </c>
      <c r="N184" s="4">
        <v>6360</v>
      </c>
      <c r="O184" s="4">
        <v>3349.29</v>
      </c>
      <c r="P184" s="4">
        <v>8.15</v>
      </c>
      <c r="Q184" s="4">
        <v>450.76</v>
      </c>
      <c r="R184" s="4">
        <v>704.96167679999996</v>
      </c>
      <c r="S184" s="4">
        <v>704.96167679999996</v>
      </c>
      <c r="T184">
        <v>0</v>
      </c>
      <c r="U184">
        <v>0</v>
      </c>
      <c r="W184" t="s">
        <v>36</v>
      </c>
      <c r="X184" t="s">
        <v>36</v>
      </c>
      <c r="AC184" t="s">
        <v>37</v>
      </c>
      <c r="AD184" t="s">
        <v>38</v>
      </c>
      <c r="AE184" s="4">
        <f t="shared" si="12"/>
        <v>10168.200000000001</v>
      </c>
      <c r="AF184">
        <f t="shared" si="9"/>
        <v>0</v>
      </c>
      <c r="AG184" s="4">
        <f t="shared" si="10"/>
        <v>10168.200000000001</v>
      </c>
      <c r="AI184" t="s">
        <v>47</v>
      </c>
    </row>
    <row r="185" spans="1:35" x14ac:dyDescent="0.3">
      <c r="A185" t="s">
        <v>43</v>
      </c>
      <c r="B185" t="s">
        <v>43</v>
      </c>
      <c r="C185" t="s">
        <v>44</v>
      </c>
      <c r="E185">
        <v>189</v>
      </c>
      <c r="F185" s="6" t="s">
        <v>313</v>
      </c>
      <c r="G185" s="6" t="s">
        <v>175</v>
      </c>
      <c r="H185" s="9">
        <v>45964</v>
      </c>
      <c r="I185" s="2">
        <v>46057</v>
      </c>
      <c r="J185" s="6" t="s">
        <v>33</v>
      </c>
      <c r="K185" s="6" t="s">
        <v>34</v>
      </c>
      <c r="L185" s="6" t="s">
        <v>35</v>
      </c>
      <c r="M185" s="4">
        <f t="shared" si="11"/>
        <v>3192.39</v>
      </c>
      <c r="N185" s="4">
        <v>3192.39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>
        <v>0</v>
      </c>
      <c r="U185">
        <v>0</v>
      </c>
      <c r="W185">
        <v>0</v>
      </c>
      <c r="X185" t="s">
        <v>36</v>
      </c>
      <c r="AC185" t="s">
        <v>37</v>
      </c>
      <c r="AD185" t="s">
        <v>38</v>
      </c>
      <c r="AE185" s="4">
        <f t="shared" si="12"/>
        <v>3192.39</v>
      </c>
      <c r="AF185">
        <f t="shared" si="9"/>
        <v>0</v>
      </c>
      <c r="AG185" s="4">
        <f t="shared" si="10"/>
        <v>3192.39</v>
      </c>
      <c r="AI185" t="s">
        <v>47</v>
      </c>
    </row>
    <row r="186" spans="1:35" x14ac:dyDescent="0.3">
      <c r="A186" t="s">
        <v>43</v>
      </c>
      <c r="B186" t="s">
        <v>43</v>
      </c>
      <c r="C186" t="s">
        <v>44</v>
      </c>
      <c r="E186">
        <v>190</v>
      </c>
      <c r="F186" s="6" t="s">
        <v>314</v>
      </c>
      <c r="G186" s="6" t="s">
        <v>136</v>
      </c>
      <c r="H186" s="9">
        <v>45964</v>
      </c>
      <c r="I186" s="2">
        <v>46030</v>
      </c>
      <c r="J186" s="6" t="s">
        <v>33</v>
      </c>
      <c r="K186" s="6" t="s">
        <v>34</v>
      </c>
      <c r="L186" s="6" t="s">
        <v>35</v>
      </c>
      <c r="M186" s="4">
        <f t="shared" si="11"/>
        <v>2664.74</v>
      </c>
      <c r="N186" s="4">
        <v>2664.74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>
        <v>0</v>
      </c>
      <c r="U186">
        <v>0</v>
      </c>
      <c r="W186">
        <v>0</v>
      </c>
      <c r="X186" t="s">
        <v>36</v>
      </c>
      <c r="AC186" t="s">
        <v>37</v>
      </c>
      <c r="AD186" t="s">
        <v>38</v>
      </c>
      <c r="AE186" s="4">
        <f t="shared" si="12"/>
        <v>2664.74</v>
      </c>
      <c r="AF186">
        <f t="shared" si="9"/>
        <v>0</v>
      </c>
      <c r="AG186" s="4">
        <f t="shared" si="10"/>
        <v>2664.74</v>
      </c>
      <c r="AI186" t="s">
        <v>47</v>
      </c>
    </row>
    <row r="187" spans="1:35" x14ac:dyDescent="0.3">
      <c r="A187" t="s">
        <v>43</v>
      </c>
      <c r="B187" t="s">
        <v>43</v>
      </c>
      <c r="C187" t="s">
        <v>44</v>
      </c>
      <c r="E187">
        <v>191</v>
      </c>
      <c r="F187" s="6" t="s">
        <v>352</v>
      </c>
      <c r="G187" s="6" t="s">
        <v>111</v>
      </c>
      <c r="H187" s="9">
        <v>45967</v>
      </c>
      <c r="J187" s="6" t="s">
        <v>52</v>
      </c>
      <c r="K187" s="6" t="s">
        <v>34</v>
      </c>
      <c r="L187" s="6" t="s">
        <v>35</v>
      </c>
      <c r="M187" s="4">
        <f t="shared" si="11"/>
        <v>7522.43</v>
      </c>
      <c r="N187" s="4">
        <v>3356.8</v>
      </c>
      <c r="O187" s="4">
        <v>3092</v>
      </c>
      <c r="P187" s="4">
        <v>338.25</v>
      </c>
      <c r="Q187" s="4">
        <v>735.38</v>
      </c>
      <c r="R187" s="4">
        <v>1390.5557207999998</v>
      </c>
      <c r="S187" s="4">
        <v>1390.5557207999998</v>
      </c>
      <c r="T187">
        <v>988</v>
      </c>
      <c r="U187">
        <v>0</v>
      </c>
      <c r="W187" t="s">
        <v>36</v>
      </c>
      <c r="X187" t="s">
        <v>36</v>
      </c>
      <c r="Y187" s="6">
        <v>11000</v>
      </c>
      <c r="AC187" t="s">
        <v>113</v>
      </c>
      <c r="AD187" t="s">
        <v>38</v>
      </c>
      <c r="AE187" s="4">
        <f t="shared" si="12"/>
        <v>8510.43</v>
      </c>
      <c r="AF187">
        <f t="shared" si="9"/>
        <v>11000</v>
      </c>
      <c r="AG187" s="4">
        <f t="shared" si="10"/>
        <v>19510.43</v>
      </c>
      <c r="AI187" t="s">
        <v>47</v>
      </c>
    </row>
    <row r="188" spans="1:35" x14ac:dyDescent="0.3">
      <c r="A188" t="s">
        <v>43</v>
      </c>
      <c r="B188" t="s">
        <v>43</v>
      </c>
      <c r="C188" t="s">
        <v>44</v>
      </c>
      <c r="E188">
        <v>193</v>
      </c>
      <c r="F188" s="6" t="s">
        <v>316</v>
      </c>
      <c r="G188" s="6" t="s">
        <v>65</v>
      </c>
      <c r="H188" s="9">
        <v>45964</v>
      </c>
      <c r="I188" s="2">
        <v>46042</v>
      </c>
      <c r="J188" s="6" t="s">
        <v>33</v>
      </c>
      <c r="K188" s="6" t="s">
        <v>34</v>
      </c>
      <c r="L188" s="6" t="s">
        <v>35</v>
      </c>
      <c r="M188" s="4">
        <f t="shared" si="11"/>
        <v>2189.9699999999998</v>
      </c>
      <c r="N188" s="4">
        <v>2189.9699999999998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>
        <v>0</v>
      </c>
      <c r="U188">
        <v>0</v>
      </c>
      <c r="W188">
        <v>0</v>
      </c>
      <c r="X188" t="s">
        <v>36</v>
      </c>
      <c r="AC188" t="s">
        <v>37</v>
      </c>
      <c r="AD188" t="s">
        <v>38</v>
      </c>
      <c r="AE188" s="4">
        <f t="shared" si="12"/>
        <v>2189.9699999999998</v>
      </c>
      <c r="AF188">
        <f t="shared" si="9"/>
        <v>0</v>
      </c>
      <c r="AG188" s="4">
        <f t="shared" si="10"/>
        <v>2189.9699999999998</v>
      </c>
      <c r="AI188" t="s">
        <v>47</v>
      </c>
    </row>
    <row r="189" spans="1:35" x14ac:dyDescent="0.3">
      <c r="A189" t="s">
        <v>77</v>
      </c>
      <c r="B189" t="s">
        <v>43</v>
      </c>
      <c r="C189" t="s">
        <v>44</v>
      </c>
      <c r="D189" t="s">
        <v>54</v>
      </c>
      <c r="E189">
        <v>194</v>
      </c>
      <c r="F189" s="6" t="s">
        <v>617</v>
      </c>
      <c r="G189" s="6" t="s">
        <v>612</v>
      </c>
      <c r="H189" s="9">
        <v>45967</v>
      </c>
      <c r="I189" s="2">
        <v>46125</v>
      </c>
      <c r="J189" s="6" t="s">
        <v>33</v>
      </c>
      <c r="K189" s="6" t="s">
        <v>34</v>
      </c>
      <c r="L189" s="6" t="s">
        <v>35</v>
      </c>
      <c r="M189" s="4">
        <f t="shared" si="11"/>
        <v>2900</v>
      </c>
      <c r="N189" s="4">
        <v>2900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>
        <v>0</v>
      </c>
      <c r="U189">
        <v>0</v>
      </c>
      <c r="W189">
        <v>0</v>
      </c>
      <c r="X189" t="s">
        <v>36</v>
      </c>
      <c r="AC189" t="s">
        <v>37</v>
      </c>
      <c r="AD189" t="s">
        <v>38</v>
      </c>
      <c r="AE189" s="4">
        <f t="shared" si="12"/>
        <v>2900</v>
      </c>
      <c r="AF189">
        <f t="shared" si="9"/>
        <v>0</v>
      </c>
      <c r="AG189" s="4">
        <f t="shared" si="10"/>
        <v>2900</v>
      </c>
      <c r="AI189" t="s">
        <v>39</v>
      </c>
    </row>
    <row r="190" spans="1:35" x14ac:dyDescent="0.3">
      <c r="A190" t="s">
        <v>43</v>
      </c>
      <c r="B190" t="s">
        <v>43</v>
      </c>
      <c r="C190" t="s">
        <v>44</v>
      </c>
      <c r="E190">
        <v>195</v>
      </c>
      <c r="F190" s="6" t="s">
        <v>318</v>
      </c>
      <c r="G190" s="6" t="s">
        <v>65</v>
      </c>
      <c r="H190" s="9">
        <v>45967</v>
      </c>
      <c r="I190" s="2">
        <v>46027</v>
      </c>
      <c r="J190" s="6" t="s">
        <v>33</v>
      </c>
      <c r="K190" s="6" t="s">
        <v>34</v>
      </c>
      <c r="L190" s="6" t="s">
        <v>35</v>
      </c>
      <c r="M190" s="4">
        <f t="shared" si="11"/>
        <v>2189.9699999999998</v>
      </c>
      <c r="N190" s="4">
        <v>2189.9699999999998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>
        <v>0</v>
      </c>
      <c r="U190">
        <v>0</v>
      </c>
      <c r="W190">
        <v>0</v>
      </c>
      <c r="X190" t="s">
        <v>36</v>
      </c>
      <c r="AC190" t="s">
        <v>37</v>
      </c>
      <c r="AD190" t="s">
        <v>38</v>
      </c>
      <c r="AE190" s="4">
        <f t="shared" si="12"/>
        <v>2189.9699999999998</v>
      </c>
      <c r="AF190">
        <f t="shared" si="9"/>
        <v>0</v>
      </c>
      <c r="AG190" s="4">
        <f t="shared" si="10"/>
        <v>2189.9699999999998</v>
      </c>
      <c r="AI190" t="s">
        <v>39</v>
      </c>
    </row>
    <row r="191" spans="1:35" x14ac:dyDescent="0.3">
      <c r="A191" t="s">
        <v>40</v>
      </c>
      <c r="B191" t="s">
        <v>750</v>
      </c>
      <c r="C191" t="s">
        <v>30</v>
      </c>
      <c r="D191" t="s">
        <v>91</v>
      </c>
      <c r="E191">
        <v>196</v>
      </c>
      <c r="F191" s="6" t="s">
        <v>397</v>
      </c>
      <c r="G191" s="6" t="s">
        <v>46</v>
      </c>
      <c r="H191" s="9">
        <v>45995</v>
      </c>
      <c r="I191" s="2">
        <v>46125</v>
      </c>
      <c r="J191" s="6" t="s">
        <v>33</v>
      </c>
      <c r="K191" s="6" t="s">
        <v>34</v>
      </c>
      <c r="L191" s="6" t="s">
        <v>35</v>
      </c>
      <c r="M191" s="4">
        <f t="shared" si="11"/>
        <v>3922</v>
      </c>
      <c r="N191" s="4">
        <v>3922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>
        <v>0</v>
      </c>
      <c r="U191">
        <v>0</v>
      </c>
      <c r="W191">
        <v>0</v>
      </c>
      <c r="X191">
        <v>0</v>
      </c>
      <c r="AC191" t="s">
        <v>37</v>
      </c>
      <c r="AD191" t="s">
        <v>38</v>
      </c>
      <c r="AE191" s="4">
        <f t="shared" si="12"/>
        <v>3922</v>
      </c>
      <c r="AF191">
        <f t="shared" si="9"/>
        <v>0</v>
      </c>
      <c r="AG191" s="4">
        <f t="shared" si="10"/>
        <v>3922</v>
      </c>
      <c r="AI191" t="s">
        <v>47</v>
      </c>
    </row>
    <row r="192" spans="1:35" x14ac:dyDescent="0.3">
      <c r="A192" t="s">
        <v>43</v>
      </c>
      <c r="B192" t="s">
        <v>43</v>
      </c>
      <c r="C192" t="s">
        <v>44</v>
      </c>
      <c r="E192">
        <v>197</v>
      </c>
      <c r="F192" s="6" t="s">
        <v>323</v>
      </c>
      <c r="G192" s="6" t="s">
        <v>182</v>
      </c>
      <c r="H192" s="9">
        <v>45995</v>
      </c>
      <c r="J192" s="6" t="s">
        <v>52</v>
      </c>
      <c r="K192" s="6" t="s">
        <v>34</v>
      </c>
      <c r="L192" s="6" t="s">
        <v>35</v>
      </c>
      <c r="M192" s="4">
        <f t="shared" si="11"/>
        <v>12945.949999999997</v>
      </c>
      <c r="N192" s="4">
        <v>5377.9</v>
      </c>
      <c r="O192" s="4">
        <v>4151.2299999999996</v>
      </c>
      <c r="P192" s="4">
        <v>1403.2399999999998</v>
      </c>
      <c r="Q192" s="4">
        <v>2013.58</v>
      </c>
      <c r="R192" s="4">
        <v>2113.9506639000001</v>
      </c>
      <c r="S192" s="4">
        <v>2113.9506639000001</v>
      </c>
      <c r="T192">
        <v>950</v>
      </c>
      <c r="U192">
        <v>0</v>
      </c>
      <c r="W192" t="s">
        <v>36</v>
      </c>
      <c r="X192" t="s">
        <v>36</v>
      </c>
      <c r="AC192" t="s">
        <v>37</v>
      </c>
      <c r="AD192" t="s">
        <v>38</v>
      </c>
      <c r="AE192" s="4">
        <f t="shared" si="12"/>
        <v>13895.949999999997</v>
      </c>
      <c r="AF192">
        <f t="shared" si="9"/>
        <v>0</v>
      </c>
      <c r="AG192" s="4">
        <f t="shared" si="10"/>
        <v>13895.949999999997</v>
      </c>
      <c r="AI192" t="s">
        <v>47</v>
      </c>
    </row>
    <row r="193" spans="1:35" x14ac:dyDescent="0.3">
      <c r="A193" t="s">
        <v>43</v>
      </c>
      <c r="B193" t="s">
        <v>43</v>
      </c>
      <c r="C193" t="s">
        <v>44</v>
      </c>
      <c r="D193" t="s">
        <v>69</v>
      </c>
      <c r="E193">
        <v>198</v>
      </c>
      <c r="F193" s="6" t="s">
        <v>410</v>
      </c>
      <c r="G193" s="6" t="s">
        <v>60</v>
      </c>
      <c r="H193" s="9">
        <v>45995</v>
      </c>
      <c r="J193" s="6" t="s">
        <v>52</v>
      </c>
      <c r="K193" s="6" t="s">
        <v>34</v>
      </c>
      <c r="L193" s="6" t="s">
        <v>35</v>
      </c>
      <c r="M193" s="4">
        <f t="shared" si="11"/>
        <v>5307.57</v>
      </c>
      <c r="N193" s="4">
        <v>2302.75</v>
      </c>
      <c r="O193" s="4">
        <v>1912.82</v>
      </c>
      <c r="P193" s="4">
        <v>670.57999999999993</v>
      </c>
      <c r="Q193" s="4">
        <v>421.42</v>
      </c>
      <c r="R193" s="4">
        <v>992.75705730000004</v>
      </c>
      <c r="S193" s="4">
        <v>992.75705730000004</v>
      </c>
      <c r="T193">
        <v>912</v>
      </c>
      <c r="U193">
        <v>0</v>
      </c>
      <c r="W193" t="s">
        <v>36</v>
      </c>
      <c r="X193" t="s">
        <v>36</v>
      </c>
      <c r="AC193" t="s">
        <v>37</v>
      </c>
      <c r="AD193" t="s">
        <v>38</v>
      </c>
      <c r="AE193" s="4">
        <f t="shared" si="12"/>
        <v>6219.57</v>
      </c>
      <c r="AF193">
        <f t="shared" si="9"/>
        <v>0</v>
      </c>
      <c r="AG193" s="4">
        <f t="shared" si="10"/>
        <v>6219.57</v>
      </c>
      <c r="AI193" t="s">
        <v>47</v>
      </c>
    </row>
    <row r="194" spans="1:35" x14ac:dyDescent="0.3">
      <c r="A194" t="s">
        <v>72</v>
      </c>
      <c r="B194" t="s">
        <v>43</v>
      </c>
      <c r="C194" t="s">
        <v>44</v>
      </c>
      <c r="D194" t="s">
        <v>132</v>
      </c>
      <c r="E194">
        <v>199</v>
      </c>
      <c r="F194" s="6" t="s">
        <v>456</v>
      </c>
      <c r="G194" s="6" t="s">
        <v>106</v>
      </c>
      <c r="H194" s="9">
        <v>46006</v>
      </c>
      <c r="J194" s="6" t="s">
        <v>52</v>
      </c>
      <c r="K194" s="6" t="s">
        <v>34</v>
      </c>
      <c r="L194" s="6" t="s">
        <v>35</v>
      </c>
      <c r="M194" s="4">
        <f t="shared" si="11"/>
        <v>10760.009999999998</v>
      </c>
      <c r="N194" s="4">
        <v>4681.28</v>
      </c>
      <c r="O194" s="4">
        <v>3199.44</v>
      </c>
      <c r="P194" s="4">
        <v>1497.65</v>
      </c>
      <c r="Q194" s="4">
        <v>1381.6399999999999</v>
      </c>
      <c r="R194" s="4">
        <v>1739.5594560000002</v>
      </c>
      <c r="S194" s="4">
        <v>1739.5594560000002</v>
      </c>
      <c r="T194">
        <v>912</v>
      </c>
      <c r="U194">
        <v>0</v>
      </c>
      <c r="W194" t="s">
        <v>36</v>
      </c>
      <c r="X194" t="s">
        <v>36</v>
      </c>
      <c r="Y194" s="6">
        <v>15000</v>
      </c>
      <c r="AC194" t="s">
        <v>53</v>
      </c>
      <c r="AD194" t="s">
        <v>38</v>
      </c>
      <c r="AE194" s="4">
        <f t="shared" si="12"/>
        <v>11672.009999999998</v>
      </c>
      <c r="AF194">
        <f t="shared" si="9"/>
        <v>15000</v>
      </c>
      <c r="AG194" s="4">
        <f t="shared" si="10"/>
        <v>26672.01</v>
      </c>
      <c r="AI194" t="s">
        <v>47</v>
      </c>
    </row>
    <row r="195" spans="1:35" x14ac:dyDescent="0.3">
      <c r="A195" t="s">
        <v>72</v>
      </c>
      <c r="B195" t="s">
        <v>43</v>
      </c>
      <c r="C195" t="s">
        <v>44</v>
      </c>
      <c r="D195" t="s">
        <v>326</v>
      </c>
      <c r="E195">
        <v>200</v>
      </c>
      <c r="F195" s="6" t="s">
        <v>610</v>
      </c>
      <c r="G195" s="6" t="s">
        <v>60</v>
      </c>
      <c r="H195" s="9">
        <v>45995</v>
      </c>
      <c r="J195" s="6" t="s">
        <v>52</v>
      </c>
      <c r="K195" s="6" t="s">
        <v>34</v>
      </c>
      <c r="L195" s="6" t="s">
        <v>35</v>
      </c>
      <c r="M195" s="4">
        <f t="shared" si="11"/>
        <v>6748.57</v>
      </c>
      <c r="N195" s="4">
        <v>2302.75</v>
      </c>
      <c r="O195" s="4">
        <v>2179.75</v>
      </c>
      <c r="P195" s="4">
        <v>1848.3200000000002</v>
      </c>
      <c r="Q195" s="4">
        <v>417.75</v>
      </c>
      <c r="R195" s="4">
        <v>1032.8256324000001</v>
      </c>
      <c r="S195" s="4">
        <v>1032.8256324000001</v>
      </c>
      <c r="T195">
        <v>1026</v>
      </c>
      <c r="U195">
        <v>0</v>
      </c>
      <c r="W195" t="s">
        <v>36</v>
      </c>
      <c r="X195" t="s">
        <v>36</v>
      </c>
      <c r="AC195" t="s">
        <v>37</v>
      </c>
      <c r="AD195" t="s">
        <v>38</v>
      </c>
      <c r="AE195" s="4">
        <f t="shared" si="12"/>
        <v>7774.57</v>
      </c>
      <c r="AF195">
        <f t="shared" ref="AF195:AF258" si="13">U195+Y195</f>
        <v>0</v>
      </c>
      <c r="AG195" s="4">
        <f t="shared" ref="AG195:AG258" si="14">AF195+AE195</f>
        <v>7774.57</v>
      </c>
      <c r="AI195" t="s">
        <v>47</v>
      </c>
    </row>
    <row r="196" spans="1:35" x14ac:dyDescent="0.3">
      <c r="A196" t="s">
        <v>43</v>
      </c>
      <c r="B196" t="s">
        <v>43</v>
      </c>
      <c r="C196" t="s">
        <v>44</v>
      </c>
      <c r="D196" t="s">
        <v>54</v>
      </c>
      <c r="E196">
        <v>201</v>
      </c>
      <c r="F196" s="6" t="s">
        <v>248</v>
      </c>
      <c r="G196" s="6" t="s">
        <v>249</v>
      </c>
      <c r="H196" s="9">
        <v>46030</v>
      </c>
      <c r="J196" s="6" t="s">
        <v>52</v>
      </c>
      <c r="K196" s="6" t="s">
        <v>34</v>
      </c>
      <c r="L196" s="6" t="s">
        <v>35</v>
      </c>
      <c r="M196" s="4">
        <f t="shared" ref="M196:M259" si="15">N196+O196+P196+Q196-S196+R196</f>
        <v>6551.3000000000011</v>
      </c>
      <c r="N196" s="4">
        <v>4416.3</v>
      </c>
      <c r="O196" s="4">
        <v>77.260000000000005</v>
      </c>
      <c r="P196" s="4">
        <v>1655.87</v>
      </c>
      <c r="Q196" s="4">
        <v>401.87</v>
      </c>
      <c r="R196" s="4">
        <v>893.89688220000016</v>
      </c>
      <c r="S196" s="4">
        <v>893.89688220000016</v>
      </c>
      <c r="T196">
        <v>684</v>
      </c>
      <c r="U196">
        <v>0</v>
      </c>
      <c r="W196" t="s">
        <v>36</v>
      </c>
      <c r="X196" t="s">
        <v>36</v>
      </c>
      <c r="AC196" t="s">
        <v>113</v>
      </c>
      <c r="AD196" t="s">
        <v>38</v>
      </c>
      <c r="AE196" s="4">
        <f t="shared" ref="AE196:AE259" si="16">M196+T196+V196</f>
        <v>7235.3000000000011</v>
      </c>
      <c r="AF196">
        <f t="shared" si="13"/>
        <v>0</v>
      </c>
      <c r="AG196" s="4">
        <f t="shared" si="14"/>
        <v>7235.3000000000011</v>
      </c>
      <c r="AI196" t="s">
        <v>47</v>
      </c>
    </row>
    <row r="197" spans="1:35" x14ac:dyDescent="0.3">
      <c r="A197" t="s">
        <v>43</v>
      </c>
      <c r="B197" t="s">
        <v>43</v>
      </c>
      <c r="C197" t="s">
        <v>44</v>
      </c>
      <c r="E197">
        <v>202</v>
      </c>
      <c r="F197" s="6" t="s">
        <v>330</v>
      </c>
      <c r="G197" s="6" t="s">
        <v>136</v>
      </c>
      <c r="H197" s="9">
        <v>46006</v>
      </c>
      <c r="I197" s="2">
        <v>46034</v>
      </c>
      <c r="J197" s="6" t="s">
        <v>33</v>
      </c>
      <c r="K197" s="6" t="s">
        <v>34</v>
      </c>
      <c r="L197" s="6" t="s">
        <v>35</v>
      </c>
      <c r="M197" s="4">
        <f t="shared" si="15"/>
        <v>2664.74</v>
      </c>
      <c r="N197" s="4">
        <v>2664.74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>
        <v>0</v>
      </c>
      <c r="U197">
        <v>0</v>
      </c>
      <c r="W197">
        <v>0</v>
      </c>
      <c r="X197">
        <v>0</v>
      </c>
      <c r="AC197" t="s">
        <v>37</v>
      </c>
      <c r="AD197" t="s">
        <v>38</v>
      </c>
      <c r="AE197" s="4">
        <f t="shared" si="16"/>
        <v>2664.74</v>
      </c>
      <c r="AF197">
        <f t="shared" si="13"/>
        <v>0</v>
      </c>
      <c r="AG197" s="4">
        <f t="shared" si="14"/>
        <v>2664.74</v>
      </c>
      <c r="AI197" t="s">
        <v>47</v>
      </c>
    </row>
    <row r="198" spans="1:35" x14ac:dyDescent="0.3">
      <c r="A198" t="s">
        <v>43</v>
      </c>
      <c r="B198" t="s">
        <v>43</v>
      </c>
      <c r="C198" t="s">
        <v>44</v>
      </c>
      <c r="E198">
        <v>203</v>
      </c>
      <c r="F198" s="6" t="s">
        <v>331</v>
      </c>
      <c r="G198" s="6" t="s">
        <v>57</v>
      </c>
      <c r="H198" s="9">
        <v>46006</v>
      </c>
      <c r="I198" s="2">
        <v>46034</v>
      </c>
      <c r="J198" s="6" t="s">
        <v>33</v>
      </c>
      <c r="K198" s="6" t="s">
        <v>34</v>
      </c>
      <c r="L198" s="6" t="s">
        <v>35</v>
      </c>
      <c r="M198" s="4">
        <f t="shared" si="15"/>
        <v>5114.5</v>
      </c>
      <c r="N198" s="4">
        <v>5114.5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>
        <v>0</v>
      </c>
      <c r="U198">
        <v>0</v>
      </c>
      <c r="W198">
        <v>0</v>
      </c>
      <c r="X198">
        <v>0</v>
      </c>
      <c r="AC198" t="s">
        <v>37</v>
      </c>
      <c r="AD198" t="s">
        <v>38</v>
      </c>
      <c r="AE198" s="4">
        <f t="shared" si="16"/>
        <v>5114.5</v>
      </c>
      <c r="AF198">
        <f t="shared" si="13"/>
        <v>0</v>
      </c>
      <c r="AG198" s="4">
        <f t="shared" si="14"/>
        <v>5114.5</v>
      </c>
      <c r="AI198" t="s">
        <v>47</v>
      </c>
    </row>
    <row r="199" spans="1:35" x14ac:dyDescent="0.3">
      <c r="A199" t="s">
        <v>43</v>
      </c>
      <c r="B199" t="s">
        <v>43</v>
      </c>
      <c r="C199" t="s">
        <v>44</v>
      </c>
      <c r="E199">
        <v>204</v>
      </c>
      <c r="F199" s="6" t="s">
        <v>344</v>
      </c>
      <c r="G199" s="6" t="s">
        <v>51</v>
      </c>
      <c r="H199" s="9">
        <v>46030</v>
      </c>
      <c r="I199" s="2">
        <v>46084</v>
      </c>
      <c r="J199" s="6" t="s">
        <v>33</v>
      </c>
      <c r="K199" s="6" t="s">
        <v>345</v>
      </c>
      <c r="L199" s="6" t="s">
        <v>35</v>
      </c>
      <c r="M199" s="4">
        <f t="shared" si="15"/>
        <v>4700</v>
      </c>
      <c r="N199" s="4">
        <v>4700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>
        <v>0</v>
      </c>
      <c r="U199">
        <v>0</v>
      </c>
      <c r="W199" t="s">
        <v>36</v>
      </c>
      <c r="X199" t="s">
        <v>36</v>
      </c>
      <c r="AC199" t="s">
        <v>37</v>
      </c>
      <c r="AD199" t="s">
        <v>38</v>
      </c>
      <c r="AE199" s="4">
        <f t="shared" si="16"/>
        <v>4700</v>
      </c>
      <c r="AF199">
        <f t="shared" si="13"/>
        <v>0</v>
      </c>
      <c r="AG199" s="4">
        <f t="shared" si="14"/>
        <v>4700</v>
      </c>
      <c r="AI199" t="s">
        <v>47</v>
      </c>
    </row>
    <row r="200" spans="1:35" x14ac:dyDescent="0.3">
      <c r="A200" t="s">
        <v>43</v>
      </c>
      <c r="B200" t="s">
        <v>43</v>
      </c>
      <c r="C200" t="s">
        <v>44</v>
      </c>
      <c r="D200" t="s">
        <v>387</v>
      </c>
      <c r="E200">
        <v>205</v>
      </c>
      <c r="F200" s="6" t="s">
        <v>442</v>
      </c>
      <c r="G200" s="6" t="s">
        <v>60</v>
      </c>
      <c r="H200" s="9">
        <v>46006</v>
      </c>
      <c r="J200" s="6" t="s">
        <v>52</v>
      </c>
      <c r="K200" s="6" t="s">
        <v>34</v>
      </c>
      <c r="L200" s="6" t="s">
        <v>35</v>
      </c>
      <c r="M200" s="4">
        <f t="shared" si="15"/>
        <v>6381.7</v>
      </c>
      <c r="N200" s="4">
        <v>2302.75</v>
      </c>
      <c r="O200" s="4">
        <v>2922.8</v>
      </c>
      <c r="P200" s="4">
        <v>588.34999999999991</v>
      </c>
      <c r="Q200" s="4">
        <v>567.79999999999995</v>
      </c>
      <c r="R200" s="4">
        <v>1197.0641663999997</v>
      </c>
      <c r="S200" s="4">
        <v>1197.0641663999997</v>
      </c>
      <c r="T200">
        <v>950</v>
      </c>
      <c r="U200">
        <v>0</v>
      </c>
      <c r="W200" t="s">
        <v>36</v>
      </c>
      <c r="X200" t="s">
        <v>36</v>
      </c>
      <c r="AC200" t="s">
        <v>37</v>
      </c>
      <c r="AD200" t="s">
        <v>38</v>
      </c>
      <c r="AE200" s="4">
        <f t="shared" si="16"/>
        <v>7331.7</v>
      </c>
      <c r="AF200">
        <f t="shared" si="13"/>
        <v>0</v>
      </c>
      <c r="AG200" s="4">
        <f t="shared" si="14"/>
        <v>7331.7</v>
      </c>
      <c r="AI200" t="s">
        <v>47</v>
      </c>
    </row>
    <row r="201" spans="1:35" x14ac:dyDescent="0.3">
      <c r="A201" t="s">
        <v>43</v>
      </c>
      <c r="B201" t="s">
        <v>43</v>
      </c>
      <c r="C201" t="s">
        <v>44</v>
      </c>
      <c r="E201">
        <v>206</v>
      </c>
      <c r="F201" s="6" t="s">
        <v>334</v>
      </c>
      <c r="G201" s="6" t="s">
        <v>111</v>
      </c>
      <c r="H201" s="9">
        <v>46030</v>
      </c>
      <c r="I201" s="2">
        <v>46059</v>
      </c>
      <c r="J201" s="6" t="s">
        <v>33</v>
      </c>
      <c r="K201" s="6" t="s">
        <v>335</v>
      </c>
      <c r="L201" s="6" t="s">
        <v>35</v>
      </c>
      <c r="M201" s="4">
        <f t="shared" si="15"/>
        <v>3192.39</v>
      </c>
      <c r="N201" s="4">
        <v>3192.39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>
        <v>0</v>
      </c>
      <c r="U201">
        <v>0</v>
      </c>
      <c r="W201">
        <v>0</v>
      </c>
      <c r="X201" t="s">
        <v>36</v>
      </c>
      <c r="AC201" t="s">
        <v>37</v>
      </c>
      <c r="AD201" t="s">
        <v>38</v>
      </c>
      <c r="AE201" s="4">
        <f t="shared" si="16"/>
        <v>3192.39</v>
      </c>
      <c r="AF201">
        <f t="shared" si="13"/>
        <v>0</v>
      </c>
      <c r="AG201" s="4">
        <f t="shared" si="14"/>
        <v>3192.39</v>
      </c>
      <c r="AI201" t="s">
        <v>47</v>
      </c>
    </row>
    <row r="202" spans="1:35" x14ac:dyDescent="0.3">
      <c r="A202" t="s">
        <v>43</v>
      </c>
      <c r="B202" t="s">
        <v>43</v>
      </c>
      <c r="C202" t="s">
        <v>44</v>
      </c>
      <c r="D202" t="s">
        <v>49</v>
      </c>
      <c r="E202">
        <v>207</v>
      </c>
      <c r="F202" s="6" t="s">
        <v>315</v>
      </c>
      <c r="G202" s="6" t="s">
        <v>111</v>
      </c>
      <c r="H202" s="9">
        <v>46030</v>
      </c>
      <c r="J202" s="6" t="s">
        <v>52</v>
      </c>
      <c r="K202" s="6" t="s">
        <v>34</v>
      </c>
      <c r="L202" s="6" t="s">
        <v>35</v>
      </c>
      <c r="M202" s="4">
        <f t="shared" si="15"/>
        <v>8110.49</v>
      </c>
      <c r="N202" s="4">
        <v>3356.8</v>
      </c>
      <c r="O202" s="4">
        <v>3551.3999999999996</v>
      </c>
      <c r="P202" s="4">
        <v>300.99</v>
      </c>
      <c r="Q202" s="4">
        <v>901.3</v>
      </c>
      <c r="R202" s="4">
        <v>1479.1924566</v>
      </c>
      <c r="S202" s="4">
        <v>1479.1924566</v>
      </c>
      <c r="T202">
        <v>988</v>
      </c>
      <c r="U202">
        <v>0</v>
      </c>
      <c r="W202" t="s">
        <v>36</v>
      </c>
      <c r="X202" t="s">
        <v>36</v>
      </c>
      <c r="Y202" s="6">
        <v>11000</v>
      </c>
      <c r="AC202" t="s">
        <v>113</v>
      </c>
      <c r="AD202" t="s">
        <v>38</v>
      </c>
      <c r="AE202" s="4">
        <f t="shared" si="16"/>
        <v>9098.49</v>
      </c>
      <c r="AF202">
        <f t="shared" si="13"/>
        <v>11000</v>
      </c>
      <c r="AG202" s="4">
        <f t="shared" si="14"/>
        <v>20098.489999999998</v>
      </c>
      <c r="AI202" t="s">
        <v>47</v>
      </c>
    </row>
    <row r="203" spans="1:35" x14ac:dyDescent="0.3">
      <c r="A203" t="s">
        <v>77</v>
      </c>
      <c r="B203" t="s">
        <v>78</v>
      </c>
      <c r="C203" t="s">
        <v>30</v>
      </c>
      <c r="E203">
        <v>208</v>
      </c>
      <c r="F203" s="6" t="s">
        <v>521</v>
      </c>
      <c r="G203" s="6" t="s">
        <v>80</v>
      </c>
      <c r="H203" s="9">
        <v>46030</v>
      </c>
      <c r="J203" s="6" t="s">
        <v>52</v>
      </c>
      <c r="K203" s="6" t="s">
        <v>34</v>
      </c>
      <c r="L203" s="6" t="s">
        <v>35</v>
      </c>
      <c r="M203" s="4">
        <f t="shared" si="15"/>
        <v>12091.83</v>
      </c>
      <c r="N203" s="4">
        <v>5572.95</v>
      </c>
      <c r="O203" s="4">
        <v>3771.3700000000003</v>
      </c>
      <c r="P203" s="4">
        <v>806.99</v>
      </c>
      <c r="Q203" s="4">
        <v>1940.52</v>
      </c>
      <c r="R203" s="4">
        <v>2074.1592492</v>
      </c>
      <c r="S203" s="4">
        <v>2074.1592492</v>
      </c>
      <c r="T203">
        <v>988</v>
      </c>
      <c r="U203">
        <v>2000</v>
      </c>
      <c r="V203">
        <v>600</v>
      </c>
      <c r="W203" t="s">
        <v>522</v>
      </c>
      <c r="X203" t="s">
        <v>523</v>
      </c>
      <c r="AC203" t="s">
        <v>37</v>
      </c>
      <c r="AD203" t="s">
        <v>38</v>
      </c>
      <c r="AE203" s="4">
        <f t="shared" si="16"/>
        <v>13679.83</v>
      </c>
      <c r="AF203">
        <f t="shared" si="13"/>
        <v>2000</v>
      </c>
      <c r="AG203" s="4">
        <f t="shared" si="14"/>
        <v>15679.83</v>
      </c>
      <c r="AI203" t="s">
        <v>47</v>
      </c>
    </row>
    <row r="204" spans="1:35" x14ac:dyDescent="0.3">
      <c r="A204" t="s">
        <v>43</v>
      </c>
      <c r="B204" t="s">
        <v>43</v>
      </c>
      <c r="C204" t="s">
        <v>44</v>
      </c>
      <c r="D204" t="s">
        <v>54</v>
      </c>
      <c r="E204">
        <v>209</v>
      </c>
      <c r="F204" s="6" t="s">
        <v>474</v>
      </c>
      <c r="G204" s="6" t="s">
        <v>86</v>
      </c>
      <c r="H204" s="9">
        <v>46030</v>
      </c>
      <c r="J204" s="6" t="s">
        <v>52</v>
      </c>
      <c r="K204" s="6" t="s">
        <v>34</v>
      </c>
      <c r="L204" s="6" t="s">
        <v>35</v>
      </c>
      <c r="M204" s="4">
        <f t="shared" si="15"/>
        <v>19732.39</v>
      </c>
      <c r="N204" s="4">
        <v>7244.84</v>
      </c>
      <c r="O204" s="4">
        <v>7590.76</v>
      </c>
      <c r="P204" s="4">
        <v>1544.41</v>
      </c>
      <c r="Q204" s="4">
        <v>3352.38</v>
      </c>
      <c r="R204" s="4">
        <v>3364.8049448999996</v>
      </c>
      <c r="S204" s="4">
        <v>3364.8049448999996</v>
      </c>
      <c r="T204">
        <v>1026</v>
      </c>
      <c r="U204">
        <v>2000</v>
      </c>
      <c r="V204">
        <v>1000</v>
      </c>
      <c r="W204" t="s">
        <v>475</v>
      </c>
      <c r="X204" t="s">
        <v>476</v>
      </c>
      <c r="AC204" t="s">
        <v>37</v>
      </c>
      <c r="AD204" t="s">
        <v>38</v>
      </c>
      <c r="AE204" s="4">
        <f t="shared" si="16"/>
        <v>21758.39</v>
      </c>
      <c r="AF204">
        <f t="shared" si="13"/>
        <v>2000</v>
      </c>
      <c r="AG204" s="4">
        <f t="shared" si="14"/>
        <v>23758.39</v>
      </c>
      <c r="AI204" t="s">
        <v>47</v>
      </c>
    </row>
    <row r="205" spans="1:35" x14ac:dyDescent="0.3">
      <c r="A205" t="s">
        <v>72</v>
      </c>
      <c r="B205" t="s">
        <v>43</v>
      </c>
      <c r="C205" t="s">
        <v>44</v>
      </c>
      <c r="D205" t="s">
        <v>326</v>
      </c>
      <c r="E205">
        <v>210</v>
      </c>
      <c r="F205" s="6" t="s">
        <v>375</v>
      </c>
      <c r="G205" s="6" t="s">
        <v>111</v>
      </c>
      <c r="H205" s="9">
        <v>46030</v>
      </c>
      <c r="J205" s="6" t="s">
        <v>52</v>
      </c>
      <c r="K205" s="6" t="s">
        <v>34</v>
      </c>
      <c r="L205" s="6" t="s">
        <v>35</v>
      </c>
      <c r="M205" s="4">
        <f t="shared" si="15"/>
        <v>6650.9500000000007</v>
      </c>
      <c r="N205" s="4">
        <v>3356.8</v>
      </c>
      <c r="O205" s="4">
        <v>1894.5000000000002</v>
      </c>
      <c r="P205" s="4">
        <v>888.64</v>
      </c>
      <c r="Q205" s="4">
        <v>511.01</v>
      </c>
      <c r="R205" s="4">
        <v>1131.0852933000001</v>
      </c>
      <c r="S205" s="4">
        <v>1131.0852933000001</v>
      </c>
      <c r="T205">
        <v>950</v>
      </c>
      <c r="U205">
        <v>0</v>
      </c>
      <c r="W205" t="s">
        <v>36</v>
      </c>
      <c r="X205" t="s">
        <v>36</v>
      </c>
      <c r="Y205" s="6">
        <v>15000</v>
      </c>
      <c r="AC205" t="s">
        <v>113</v>
      </c>
      <c r="AD205" t="s">
        <v>38</v>
      </c>
      <c r="AE205" s="4">
        <f t="shared" si="16"/>
        <v>7600.9500000000007</v>
      </c>
      <c r="AF205">
        <f t="shared" si="13"/>
        <v>15000</v>
      </c>
      <c r="AG205" s="4">
        <f t="shared" si="14"/>
        <v>22600.95</v>
      </c>
      <c r="AI205" t="s">
        <v>47</v>
      </c>
    </row>
    <row r="206" spans="1:35" x14ac:dyDescent="0.3">
      <c r="A206" t="s">
        <v>43</v>
      </c>
      <c r="B206" t="s">
        <v>43</v>
      </c>
      <c r="C206" t="s">
        <v>44</v>
      </c>
      <c r="E206">
        <v>211</v>
      </c>
      <c r="F206" s="6" t="s">
        <v>135</v>
      </c>
      <c r="G206" s="6" t="s">
        <v>136</v>
      </c>
      <c r="H206" s="9">
        <v>46030</v>
      </c>
      <c r="I206" s="2">
        <v>46160</v>
      </c>
      <c r="J206" s="6" t="s">
        <v>33</v>
      </c>
      <c r="K206" s="6" t="s">
        <v>34</v>
      </c>
      <c r="L206" s="6" t="s">
        <v>35</v>
      </c>
      <c r="M206" s="4">
        <f t="shared" si="15"/>
        <v>4792.67</v>
      </c>
      <c r="N206" s="4">
        <v>2664.74</v>
      </c>
      <c r="O206" s="4">
        <v>1543.17</v>
      </c>
      <c r="P206" s="4">
        <v>346.84</v>
      </c>
      <c r="Q206" s="4">
        <v>237.92</v>
      </c>
      <c r="R206" s="4">
        <v>392.09167889999998</v>
      </c>
      <c r="S206" s="4">
        <v>392.09167889999998</v>
      </c>
      <c r="T206">
        <v>0</v>
      </c>
      <c r="U206">
        <v>0</v>
      </c>
      <c r="W206">
        <v>0</v>
      </c>
      <c r="X206" t="s">
        <v>36</v>
      </c>
      <c r="AC206" t="s">
        <v>37</v>
      </c>
      <c r="AD206" t="s">
        <v>38</v>
      </c>
      <c r="AE206" s="4">
        <f t="shared" si="16"/>
        <v>4792.67</v>
      </c>
      <c r="AF206">
        <f t="shared" si="13"/>
        <v>0</v>
      </c>
      <c r="AG206" s="4">
        <f t="shared" si="14"/>
        <v>4792.67</v>
      </c>
      <c r="AI206" t="s">
        <v>47</v>
      </c>
    </row>
    <row r="207" spans="1:35" x14ac:dyDescent="0.3">
      <c r="A207" t="s">
        <v>43</v>
      </c>
      <c r="B207" t="s">
        <v>43</v>
      </c>
      <c r="C207" t="s">
        <v>44</v>
      </c>
      <c r="D207" t="s">
        <v>138</v>
      </c>
      <c r="E207">
        <v>212</v>
      </c>
      <c r="F207" s="6" t="s">
        <v>276</v>
      </c>
      <c r="G207" s="6" t="s">
        <v>111</v>
      </c>
      <c r="H207" s="9">
        <v>46030</v>
      </c>
      <c r="J207" s="6" t="s">
        <v>52</v>
      </c>
      <c r="K207" s="6" t="s">
        <v>34</v>
      </c>
      <c r="L207" s="6" t="s">
        <v>35</v>
      </c>
      <c r="M207" s="4">
        <f t="shared" si="15"/>
        <v>5532.88</v>
      </c>
      <c r="N207" s="4">
        <v>3356.8</v>
      </c>
      <c r="O207" s="4">
        <v>1427.7499999999998</v>
      </c>
      <c r="P207" s="4">
        <v>300</v>
      </c>
      <c r="Q207" s="4">
        <v>448.33</v>
      </c>
      <c r="R207" s="4">
        <v>1033.0817958</v>
      </c>
      <c r="S207" s="4">
        <v>1033.0817958</v>
      </c>
      <c r="T207">
        <v>988</v>
      </c>
      <c r="U207">
        <v>0</v>
      </c>
      <c r="W207" t="s">
        <v>36</v>
      </c>
      <c r="X207" t="s">
        <v>36</v>
      </c>
      <c r="Y207" s="6">
        <v>5000</v>
      </c>
      <c r="AC207" t="s">
        <v>113</v>
      </c>
      <c r="AD207" t="s">
        <v>38</v>
      </c>
      <c r="AE207" s="4">
        <f t="shared" si="16"/>
        <v>6520.88</v>
      </c>
      <c r="AF207">
        <f t="shared" si="13"/>
        <v>5000</v>
      </c>
      <c r="AG207" s="4">
        <f t="shared" si="14"/>
        <v>11520.880000000001</v>
      </c>
      <c r="AI207" t="s">
        <v>47</v>
      </c>
    </row>
    <row r="208" spans="1:35" x14ac:dyDescent="0.3">
      <c r="A208" t="s">
        <v>43</v>
      </c>
      <c r="B208" t="s">
        <v>43</v>
      </c>
      <c r="C208" t="s">
        <v>44</v>
      </c>
      <c r="D208" t="s">
        <v>58</v>
      </c>
      <c r="E208">
        <v>213</v>
      </c>
      <c r="F208" s="6" t="s">
        <v>110</v>
      </c>
      <c r="G208" s="6" t="s">
        <v>111</v>
      </c>
      <c r="H208" s="9">
        <v>46030</v>
      </c>
      <c r="J208" s="6" t="s">
        <v>112</v>
      </c>
      <c r="K208" s="6" t="s">
        <v>34</v>
      </c>
      <c r="L208" s="6" t="s">
        <v>35</v>
      </c>
      <c r="M208" s="4">
        <f t="shared" si="15"/>
        <v>5594.7880850000001</v>
      </c>
      <c r="N208" s="4">
        <v>3356.7980849999999</v>
      </c>
      <c r="O208" s="4">
        <v>1782.21</v>
      </c>
      <c r="P208" s="4">
        <v>186.1</v>
      </c>
      <c r="Q208" s="4">
        <v>269.68</v>
      </c>
      <c r="R208" s="4">
        <v>681.40934190000007</v>
      </c>
      <c r="S208" s="4">
        <v>681.40934190000007</v>
      </c>
      <c r="T208">
        <v>798</v>
      </c>
      <c r="U208">
        <v>0</v>
      </c>
      <c r="W208" t="s">
        <v>36</v>
      </c>
      <c r="X208" t="s">
        <v>36</v>
      </c>
      <c r="AC208" t="s">
        <v>113</v>
      </c>
      <c r="AD208" t="s">
        <v>38</v>
      </c>
      <c r="AE208" s="4">
        <f t="shared" si="16"/>
        <v>6392.7880850000001</v>
      </c>
      <c r="AF208">
        <f t="shared" si="13"/>
        <v>0</v>
      </c>
      <c r="AG208" s="4">
        <f t="shared" si="14"/>
        <v>6392.7880850000001</v>
      </c>
      <c r="AI208" t="s">
        <v>47</v>
      </c>
    </row>
    <row r="209" spans="1:35" x14ac:dyDescent="0.3">
      <c r="A209" t="s">
        <v>77</v>
      </c>
      <c r="B209" t="s">
        <v>148</v>
      </c>
      <c r="C209" t="s">
        <v>30</v>
      </c>
      <c r="D209" t="s">
        <v>149</v>
      </c>
      <c r="E209">
        <v>214</v>
      </c>
      <c r="F209" s="6" t="s">
        <v>626</v>
      </c>
      <c r="G209" s="6" t="s">
        <v>140</v>
      </c>
      <c r="H209" s="9">
        <v>46030</v>
      </c>
      <c r="J209" s="6" t="s">
        <v>52</v>
      </c>
      <c r="K209" s="6" t="s">
        <v>34</v>
      </c>
      <c r="L209" s="6" t="s">
        <v>35</v>
      </c>
      <c r="M209" s="4">
        <f t="shared" si="15"/>
        <v>13202.469999999998</v>
      </c>
      <c r="N209" s="4">
        <v>5572.95</v>
      </c>
      <c r="O209" s="4">
        <v>4723.7199999999993</v>
      </c>
      <c r="P209" s="4">
        <v>806.99</v>
      </c>
      <c r="Q209" s="4">
        <v>2098.81</v>
      </c>
      <c r="R209" s="4">
        <v>2274.1241787000004</v>
      </c>
      <c r="S209" s="4">
        <v>2274.1241787000004</v>
      </c>
      <c r="T209">
        <v>1102</v>
      </c>
      <c r="U209">
        <v>2300</v>
      </c>
      <c r="V209">
        <v>1000</v>
      </c>
      <c r="W209" t="s">
        <v>721</v>
      </c>
      <c r="X209" t="s">
        <v>720</v>
      </c>
      <c r="AC209" t="s">
        <v>37</v>
      </c>
      <c r="AD209" t="s">
        <v>38</v>
      </c>
      <c r="AE209" s="4">
        <f t="shared" si="16"/>
        <v>15304.469999999998</v>
      </c>
      <c r="AF209">
        <f t="shared" si="13"/>
        <v>2300</v>
      </c>
      <c r="AG209" s="4">
        <f t="shared" si="14"/>
        <v>17604.469999999998</v>
      </c>
      <c r="AI209" t="s">
        <v>47</v>
      </c>
    </row>
    <row r="210" spans="1:35" x14ac:dyDescent="0.3">
      <c r="A210" t="s">
        <v>43</v>
      </c>
      <c r="B210" t="s">
        <v>43</v>
      </c>
      <c r="C210" t="s">
        <v>44</v>
      </c>
      <c r="D210" t="s">
        <v>132</v>
      </c>
      <c r="E210">
        <v>215</v>
      </c>
      <c r="F210" s="6" t="s">
        <v>133</v>
      </c>
      <c r="G210" s="6" t="s">
        <v>111</v>
      </c>
      <c r="H210" s="9">
        <v>46030</v>
      </c>
      <c r="J210" s="6" t="s">
        <v>52</v>
      </c>
      <c r="K210" s="6" t="s">
        <v>34</v>
      </c>
      <c r="L210" s="6" t="s">
        <v>35</v>
      </c>
      <c r="M210" s="4">
        <f t="shared" si="15"/>
        <v>6672.91</v>
      </c>
      <c r="N210" s="4">
        <v>3356.8</v>
      </c>
      <c r="O210" s="4">
        <v>2210.61</v>
      </c>
      <c r="P210" s="4">
        <v>556.07999999999993</v>
      </c>
      <c r="Q210" s="4">
        <v>549.41999999999996</v>
      </c>
      <c r="R210" s="4">
        <v>1197.4589099999998</v>
      </c>
      <c r="S210" s="4">
        <v>1197.4589099999998</v>
      </c>
      <c r="T210">
        <v>950</v>
      </c>
      <c r="U210">
        <v>0</v>
      </c>
      <c r="W210" t="s">
        <v>36</v>
      </c>
      <c r="X210" t="s">
        <v>36</v>
      </c>
      <c r="Y210" s="6">
        <v>11000</v>
      </c>
      <c r="AC210" t="s">
        <v>113</v>
      </c>
      <c r="AD210" t="s">
        <v>38</v>
      </c>
      <c r="AE210" s="4">
        <f t="shared" si="16"/>
        <v>7622.91</v>
      </c>
      <c r="AF210">
        <f t="shared" si="13"/>
        <v>11000</v>
      </c>
      <c r="AG210" s="4">
        <f t="shared" si="14"/>
        <v>18622.91</v>
      </c>
      <c r="AI210" t="s">
        <v>47</v>
      </c>
    </row>
    <row r="211" spans="1:35" x14ac:dyDescent="0.3">
      <c r="A211" t="s">
        <v>43</v>
      </c>
      <c r="B211" t="s">
        <v>43</v>
      </c>
      <c r="C211" t="s">
        <v>44</v>
      </c>
      <c r="D211" t="s">
        <v>49</v>
      </c>
      <c r="E211">
        <v>216</v>
      </c>
      <c r="F211" s="6" t="s">
        <v>354</v>
      </c>
      <c r="G211" s="6" t="s">
        <v>71</v>
      </c>
      <c r="H211" s="9">
        <v>46030</v>
      </c>
      <c r="J211" s="6" t="s">
        <v>52</v>
      </c>
      <c r="K211" s="6" t="s">
        <v>34</v>
      </c>
      <c r="L211" s="6" t="s">
        <v>35</v>
      </c>
      <c r="M211" s="4">
        <f t="shared" si="15"/>
        <v>7269.8099999999995</v>
      </c>
      <c r="N211" s="4">
        <v>2801.97</v>
      </c>
      <c r="O211" s="4">
        <v>2902.9</v>
      </c>
      <c r="P211" s="4">
        <v>870.56999999999994</v>
      </c>
      <c r="Q211" s="4">
        <v>694.37</v>
      </c>
      <c r="R211" s="4">
        <v>1342.3235121000002</v>
      </c>
      <c r="S211" s="4">
        <v>1342.3235121000002</v>
      </c>
      <c r="T211">
        <v>950</v>
      </c>
      <c r="U211">
        <v>0</v>
      </c>
      <c r="W211" t="s">
        <v>36</v>
      </c>
      <c r="X211" t="s">
        <v>36</v>
      </c>
      <c r="AC211" t="s">
        <v>37</v>
      </c>
      <c r="AD211" t="s">
        <v>38</v>
      </c>
      <c r="AE211" s="4">
        <f t="shared" si="16"/>
        <v>8219.81</v>
      </c>
      <c r="AF211">
        <f t="shared" si="13"/>
        <v>0</v>
      </c>
      <c r="AG211" s="4">
        <f t="shared" si="14"/>
        <v>8219.81</v>
      </c>
      <c r="AI211" t="s">
        <v>47</v>
      </c>
    </row>
    <row r="212" spans="1:35" x14ac:dyDescent="0.3">
      <c r="A212" t="s">
        <v>43</v>
      </c>
      <c r="B212" t="s">
        <v>43</v>
      </c>
      <c r="C212" t="s">
        <v>44</v>
      </c>
      <c r="D212" t="s">
        <v>218</v>
      </c>
      <c r="E212">
        <v>217</v>
      </c>
      <c r="F212" s="6" t="s">
        <v>219</v>
      </c>
      <c r="G212" s="6" t="s">
        <v>111</v>
      </c>
      <c r="H212" s="9">
        <v>46030</v>
      </c>
      <c r="J212" s="6" t="s">
        <v>52</v>
      </c>
      <c r="K212" s="6" t="s">
        <v>34</v>
      </c>
      <c r="L212" s="6" t="s">
        <v>35</v>
      </c>
      <c r="M212" s="4">
        <f t="shared" si="15"/>
        <v>6397.49</v>
      </c>
      <c r="N212" s="4">
        <v>3356.8</v>
      </c>
      <c r="O212" s="4">
        <v>1474.1699999999998</v>
      </c>
      <c r="P212" s="4">
        <v>1112.8699999999999</v>
      </c>
      <c r="Q212" s="4">
        <v>453.65</v>
      </c>
      <c r="R212" s="4">
        <v>1042.8286032000001</v>
      </c>
      <c r="S212" s="4">
        <v>1042.8286032000001</v>
      </c>
      <c r="T212">
        <v>988</v>
      </c>
      <c r="U212">
        <v>0</v>
      </c>
      <c r="W212" t="s">
        <v>36</v>
      </c>
      <c r="X212" t="s">
        <v>36</v>
      </c>
      <c r="Y212" s="6">
        <v>10000</v>
      </c>
      <c r="AC212" t="s">
        <v>113</v>
      </c>
      <c r="AD212" t="s">
        <v>38</v>
      </c>
      <c r="AE212" s="4">
        <f t="shared" si="16"/>
        <v>7385.49</v>
      </c>
      <c r="AF212">
        <f t="shared" si="13"/>
        <v>10000</v>
      </c>
      <c r="AG212" s="4">
        <f t="shared" si="14"/>
        <v>17385.489999999998</v>
      </c>
      <c r="AI212" t="s">
        <v>47</v>
      </c>
    </row>
    <row r="213" spans="1:35" x14ac:dyDescent="0.3">
      <c r="A213" t="s">
        <v>43</v>
      </c>
      <c r="B213" t="s">
        <v>43</v>
      </c>
      <c r="C213" t="s">
        <v>44</v>
      </c>
      <c r="D213" t="s">
        <v>54</v>
      </c>
      <c r="E213">
        <v>218</v>
      </c>
      <c r="F213" s="6" t="s">
        <v>447</v>
      </c>
      <c r="G213" s="6" t="s">
        <v>56</v>
      </c>
      <c r="H213" s="9">
        <v>46030</v>
      </c>
      <c r="J213" s="6" t="s">
        <v>52</v>
      </c>
      <c r="K213" s="6" t="s">
        <v>34</v>
      </c>
      <c r="L213" s="6" t="s">
        <v>35</v>
      </c>
      <c r="M213" s="4">
        <f t="shared" si="15"/>
        <v>15604.469999999998</v>
      </c>
      <c r="N213" s="4">
        <v>5377.9</v>
      </c>
      <c r="O213" s="4">
        <v>5507.72</v>
      </c>
      <c r="P213" s="4">
        <v>2491.3900000000003</v>
      </c>
      <c r="Q213" s="4">
        <v>2227.46</v>
      </c>
      <c r="R213" s="4">
        <v>2398.7833677000008</v>
      </c>
      <c r="S213" s="4">
        <v>2398.7833677000008</v>
      </c>
      <c r="T213">
        <v>988</v>
      </c>
      <c r="U213">
        <v>0</v>
      </c>
      <c r="W213" t="s">
        <v>36</v>
      </c>
      <c r="X213" t="s">
        <v>36</v>
      </c>
      <c r="AC213" t="s">
        <v>37</v>
      </c>
      <c r="AD213" t="s">
        <v>38</v>
      </c>
      <c r="AE213" s="4">
        <f t="shared" si="16"/>
        <v>16592.469999999998</v>
      </c>
      <c r="AF213">
        <f t="shared" si="13"/>
        <v>0</v>
      </c>
      <c r="AG213" s="4">
        <f t="shared" si="14"/>
        <v>16592.469999999998</v>
      </c>
      <c r="AI213" t="s">
        <v>47</v>
      </c>
    </row>
    <row r="214" spans="1:35" x14ac:dyDescent="0.3">
      <c r="A214" t="s">
        <v>43</v>
      </c>
      <c r="B214" t="s">
        <v>43</v>
      </c>
      <c r="C214" t="s">
        <v>44</v>
      </c>
      <c r="E214">
        <v>219</v>
      </c>
      <c r="F214" s="6" t="s">
        <v>615</v>
      </c>
      <c r="G214" s="6" t="s">
        <v>60</v>
      </c>
      <c r="H214" s="9">
        <v>46030</v>
      </c>
      <c r="I214" s="2">
        <v>46121</v>
      </c>
      <c r="J214" s="6" t="s">
        <v>33</v>
      </c>
      <c r="K214" s="6" t="s">
        <v>616</v>
      </c>
      <c r="L214" s="6" t="s">
        <v>35</v>
      </c>
      <c r="M214" s="4">
        <f t="shared" si="15"/>
        <v>2189.9699999999998</v>
      </c>
      <c r="N214" s="4">
        <v>2189.9699999999998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>
        <v>0</v>
      </c>
      <c r="U214">
        <v>0</v>
      </c>
      <c r="W214">
        <v>0</v>
      </c>
      <c r="X214" t="s">
        <v>36</v>
      </c>
      <c r="AC214" t="s">
        <v>37</v>
      </c>
      <c r="AD214" t="s">
        <v>38</v>
      </c>
      <c r="AE214" s="4">
        <f t="shared" si="16"/>
        <v>2189.9699999999998</v>
      </c>
      <c r="AF214">
        <f t="shared" si="13"/>
        <v>0</v>
      </c>
      <c r="AG214" s="4">
        <f t="shared" si="14"/>
        <v>2189.9699999999998</v>
      </c>
      <c r="AI214" t="s">
        <v>47</v>
      </c>
    </row>
    <row r="215" spans="1:35" x14ac:dyDescent="0.3">
      <c r="A215" t="s">
        <v>43</v>
      </c>
      <c r="B215" t="s">
        <v>43</v>
      </c>
      <c r="C215" t="s">
        <v>44</v>
      </c>
      <c r="D215" t="s">
        <v>49</v>
      </c>
      <c r="E215">
        <v>220</v>
      </c>
      <c r="F215" s="6" t="s">
        <v>332</v>
      </c>
      <c r="G215" s="6" t="s">
        <v>60</v>
      </c>
      <c r="H215" s="9">
        <v>46030</v>
      </c>
      <c r="J215" s="6" t="s">
        <v>52</v>
      </c>
      <c r="K215" s="6" t="s">
        <v>34</v>
      </c>
      <c r="L215" s="6" t="s">
        <v>35</v>
      </c>
      <c r="M215" s="4">
        <f t="shared" si="15"/>
        <v>6408.35</v>
      </c>
      <c r="N215" s="4">
        <v>2302.75</v>
      </c>
      <c r="O215" s="4">
        <v>2351.34</v>
      </c>
      <c r="P215" s="4">
        <v>1273.31</v>
      </c>
      <c r="Q215" s="4">
        <v>480.95</v>
      </c>
      <c r="R215" s="4">
        <v>1069.3478141999999</v>
      </c>
      <c r="S215" s="4">
        <v>1069.3478141999999</v>
      </c>
      <c r="T215">
        <v>950</v>
      </c>
      <c r="U215">
        <v>0</v>
      </c>
      <c r="W215" t="s">
        <v>36</v>
      </c>
      <c r="X215" t="s">
        <v>36</v>
      </c>
      <c r="AC215" t="s">
        <v>37</v>
      </c>
      <c r="AD215" t="s">
        <v>38</v>
      </c>
      <c r="AE215" s="4">
        <f t="shared" si="16"/>
        <v>7358.35</v>
      </c>
      <c r="AF215">
        <f t="shared" si="13"/>
        <v>0</v>
      </c>
      <c r="AG215" s="4">
        <f t="shared" si="14"/>
        <v>7358.35</v>
      </c>
      <c r="AI215" t="s">
        <v>47</v>
      </c>
    </row>
    <row r="216" spans="1:35" x14ac:dyDescent="0.3">
      <c r="A216" t="s">
        <v>43</v>
      </c>
      <c r="B216" t="s">
        <v>43</v>
      </c>
      <c r="C216" t="s">
        <v>44</v>
      </c>
      <c r="E216">
        <v>221</v>
      </c>
      <c r="F216" s="6" t="s">
        <v>221</v>
      </c>
      <c r="G216" s="6" t="s">
        <v>60</v>
      </c>
      <c r="H216" s="9">
        <v>46030</v>
      </c>
      <c r="J216" s="6" t="s">
        <v>52</v>
      </c>
      <c r="K216" s="6" t="s">
        <v>34</v>
      </c>
      <c r="L216" s="6" t="s">
        <v>35</v>
      </c>
      <c r="M216" s="4">
        <f t="shared" si="15"/>
        <v>5761.33</v>
      </c>
      <c r="N216" s="4">
        <v>2302.75</v>
      </c>
      <c r="O216" s="4">
        <v>2477.5699999999997</v>
      </c>
      <c r="P216" s="4">
        <v>479.89</v>
      </c>
      <c r="Q216" s="4">
        <v>501.12</v>
      </c>
      <c r="R216" s="4">
        <v>1080.8058770999999</v>
      </c>
      <c r="S216" s="4">
        <v>1080.8058770999999</v>
      </c>
      <c r="T216">
        <v>988</v>
      </c>
      <c r="U216">
        <v>0</v>
      </c>
      <c r="W216" t="s">
        <v>36</v>
      </c>
      <c r="X216" t="s">
        <v>36</v>
      </c>
      <c r="AC216" t="s">
        <v>37</v>
      </c>
      <c r="AD216" t="s">
        <v>38</v>
      </c>
      <c r="AE216" s="4">
        <f t="shared" si="16"/>
        <v>6749.33</v>
      </c>
      <c r="AF216">
        <f t="shared" si="13"/>
        <v>0</v>
      </c>
      <c r="AG216" s="4">
        <f t="shared" si="14"/>
        <v>6749.33</v>
      </c>
      <c r="AI216" t="s">
        <v>47</v>
      </c>
    </row>
    <row r="217" spans="1:35" x14ac:dyDescent="0.3">
      <c r="A217" t="s">
        <v>40</v>
      </c>
      <c r="B217" t="s">
        <v>750</v>
      </c>
      <c r="C217" t="s">
        <v>30</v>
      </c>
      <c r="D217" t="s">
        <v>91</v>
      </c>
      <c r="E217">
        <v>222</v>
      </c>
      <c r="F217" s="6" t="s">
        <v>441</v>
      </c>
      <c r="G217" s="6" t="s">
        <v>93</v>
      </c>
      <c r="H217" s="9">
        <v>46030</v>
      </c>
      <c r="J217" s="6" t="s">
        <v>52</v>
      </c>
      <c r="K217" s="6" t="s">
        <v>34</v>
      </c>
      <c r="L217" s="6" t="s">
        <v>35</v>
      </c>
      <c r="M217" s="4">
        <f t="shared" si="15"/>
        <v>6855.75</v>
      </c>
      <c r="N217" s="4">
        <v>2819.39</v>
      </c>
      <c r="O217" s="4">
        <v>1086.31</v>
      </c>
      <c r="P217" s="4">
        <v>2609.34</v>
      </c>
      <c r="Q217" s="4">
        <v>340.71</v>
      </c>
      <c r="R217" s="4">
        <v>891.87067170000012</v>
      </c>
      <c r="S217" s="4">
        <v>891.87067170000012</v>
      </c>
      <c r="T217">
        <v>950</v>
      </c>
      <c r="U217">
        <v>0</v>
      </c>
      <c r="W217" t="s">
        <v>36</v>
      </c>
      <c r="X217" t="s">
        <v>36</v>
      </c>
      <c r="AC217" t="s">
        <v>37</v>
      </c>
      <c r="AD217" t="s">
        <v>38</v>
      </c>
      <c r="AE217" s="4">
        <f t="shared" si="16"/>
        <v>7805.75</v>
      </c>
      <c r="AF217">
        <f t="shared" si="13"/>
        <v>0</v>
      </c>
      <c r="AG217" s="4">
        <f t="shared" si="14"/>
        <v>7805.75</v>
      </c>
      <c r="AI217" t="s">
        <v>47</v>
      </c>
    </row>
    <row r="218" spans="1:35" x14ac:dyDescent="0.3">
      <c r="A218" t="s">
        <v>29</v>
      </c>
      <c r="B218" t="s">
        <v>29</v>
      </c>
      <c r="C218" t="s">
        <v>30</v>
      </c>
      <c r="D218" t="s">
        <v>458</v>
      </c>
      <c r="E218">
        <v>223</v>
      </c>
      <c r="F218" s="6" t="s">
        <v>533</v>
      </c>
      <c r="G218" s="6" t="s">
        <v>322</v>
      </c>
      <c r="H218" s="9">
        <v>46030</v>
      </c>
      <c r="J218" s="6" t="s">
        <v>33</v>
      </c>
      <c r="K218" s="6" t="s">
        <v>34</v>
      </c>
      <c r="L218" s="6" t="s">
        <v>35</v>
      </c>
      <c r="M218" s="4">
        <f t="shared" si="15"/>
        <v>4869.0599999999995</v>
      </c>
      <c r="N218" s="4">
        <v>2664.74</v>
      </c>
      <c r="O218" s="4">
        <v>14.28</v>
      </c>
      <c r="P218" s="4">
        <v>1945.6000000000001</v>
      </c>
      <c r="Q218" s="4">
        <v>244.44</v>
      </c>
      <c r="R218" s="4">
        <v>674.92756799999995</v>
      </c>
      <c r="S218" s="4">
        <v>674.92756799999995</v>
      </c>
      <c r="T218">
        <v>0</v>
      </c>
      <c r="U218">
        <v>0</v>
      </c>
      <c r="W218" t="s">
        <v>36</v>
      </c>
      <c r="X218" t="s">
        <v>36</v>
      </c>
      <c r="AC218" t="s">
        <v>37</v>
      </c>
      <c r="AD218" t="s">
        <v>38</v>
      </c>
      <c r="AE218" s="4">
        <f t="shared" si="16"/>
        <v>4869.0599999999995</v>
      </c>
      <c r="AF218">
        <f t="shared" si="13"/>
        <v>0</v>
      </c>
      <c r="AG218" s="4">
        <f t="shared" si="14"/>
        <v>4869.0599999999995</v>
      </c>
      <c r="AI218" t="s">
        <v>39</v>
      </c>
    </row>
    <row r="219" spans="1:35" x14ac:dyDescent="0.3">
      <c r="A219" t="s">
        <v>29</v>
      </c>
      <c r="B219" t="s">
        <v>748</v>
      </c>
      <c r="C219" t="s">
        <v>30</v>
      </c>
      <c r="D219" t="s">
        <v>485</v>
      </c>
      <c r="E219">
        <v>224</v>
      </c>
      <c r="F219" s="6" t="s">
        <v>561</v>
      </c>
      <c r="G219" s="6" t="s">
        <v>62</v>
      </c>
      <c r="H219" s="9">
        <v>46034</v>
      </c>
      <c r="J219" s="6" t="s">
        <v>52</v>
      </c>
      <c r="K219" s="6" t="s">
        <v>34</v>
      </c>
      <c r="L219" s="6" t="s">
        <v>35</v>
      </c>
      <c r="M219" s="4">
        <f t="shared" si="15"/>
        <v>4358.5</v>
      </c>
      <c r="N219" s="4">
        <v>2944.2</v>
      </c>
      <c r="O219" s="4">
        <v>794.39</v>
      </c>
      <c r="P219" s="4">
        <v>300</v>
      </c>
      <c r="Q219" s="4">
        <v>319.91000000000003</v>
      </c>
      <c r="R219" s="4">
        <v>817.70506829999988</v>
      </c>
      <c r="S219" s="4">
        <v>817.70506829999988</v>
      </c>
      <c r="T219">
        <v>912</v>
      </c>
      <c r="U219">
        <v>0</v>
      </c>
      <c r="W219" t="s">
        <v>36</v>
      </c>
      <c r="X219" t="s">
        <v>36</v>
      </c>
      <c r="AC219" t="s">
        <v>37</v>
      </c>
      <c r="AD219" t="s">
        <v>38</v>
      </c>
      <c r="AE219" s="4">
        <f t="shared" si="16"/>
        <v>5270.5</v>
      </c>
      <c r="AF219">
        <f t="shared" si="13"/>
        <v>0</v>
      </c>
      <c r="AG219" s="4">
        <f t="shared" si="14"/>
        <v>5270.5</v>
      </c>
      <c r="AI219" t="s">
        <v>39</v>
      </c>
    </row>
    <row r="220" spans="1:35" x14ac:dyDescent="0.3">
      <c r="A220" t="s">
        <v>43</v>
      </c>
      <c r="B220" t="s">
        <v>43</v>
      </c>
      <c r="C220" t="s">
        <v>44</v>
      </c>
      <c r="D220" t="s">
        <v>132</v>
      </c>
      <c r="E220">
        <v>225</v>
      </c>
      <c r="F220" s="6" t="s">
        <v>360</v>
      </c>
      <c r="G220" s="6" t="s">
        <v>71</v>
      </c>
      <c r="H220" s="9">
        <v>46041</v>
      </c>
      <c r="I220" s="2">
        <v>46084</v>
      </c>
      <c r="J220" s="6" t="s">
        <v>33</v>
      </c>
      <c r="K220" s="6" t="s">
        <v>361</v>
      </c>
      <c r="L220" s="6" t="s">
        <v>35</v>
      </c>
      <c r="M220" s="4">
        <f t="shared" si="15"/>
        <v>2664.74</v>
      </c>
      <c r="N220" s="4">
        <v>2664.74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>
        <v>0</v>
      </c>
      <c r="U220">
        <v>0</v>
      </c>
      <c r="W220">
        <v>0</v>
      </c>
      <c r="X220" t="s">
        <v>36</v>
      </c>
      <c r="AC220" t="s">
        <v>37</v>
      </c>
      <c r="AD220" t="s">
        <v>38</v>
      </c>
      <c r="AE220" s="4">
        <f t="shared" si="16"/>
        <v>2664.74</v>
      </c>
      <c r="AF220">
        <f t="shared" si="13"/>
        <v>0</v>
      </c>
      <c r="AG220" s="4">
        <f t="shared" si="14"/>
        <v>2664.74</v>
      </c>
      <c r="AI220" t="s">
        <v>47</v>
      </c>
    </row>
    <row r="221" spans="1:35" x14ac:dyDescent="0.3">
      <c r="A221" t="s">
        <v>43</v>
      </c>
      <c r="B221" t="s">
        <v>43</v>
      </c>
      <c r="C221" t="s">
        <v>44</v>
      </c>
      <c r="D221" t="s">
        <v>116</v>
      </c>
      <c r="E221">
        <v>226</v>
      </c>
      <c r="F221" s="6" t="s">
        <v>471</v>
      </c>
      <c r="G221" s="6" t="s">
        <v>60</v>
      </c>
      <c r="H221" s="9">
        <v>46041</v>
      </c>
      <c r="I221" s="2">
        <v>46129</v>
      </c>
      <c r="J221" s="6" t="s">
        <v>33</v>
      </c>
      <c r="K221" s="6" t="s">
        <v>472</v>
      </c>
      <c r="L221" s="6" t="s">
        <v>35</v>
      </c>
      <c r="M221" s="4">
        <f t="shared" si="15"/>
        <v>2189.9699999999998</v>
      </c>
      <c r="N221" s="4">
        <v>2189.9699999999998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>
        <v>0</v>
      </c>
      <c r="U221">
        <v>0</v>
      </c>
      <c r="W221">
        <v>0</v>
      </c>
      <c r="X221" t="s">
        <v>36</v>
      </c>
      <c r="AC221" t="s">
        <v>37</v>
      </c>
      <c r="AD221" t="s">
        <v>38</v>
      </c>
      <c r="AE221" s="4">
        <f t="shared" si="16"/>
        <v>2189.9699999999998</v>
      </c>
      <c r="AF221">
        <f t="shared" si="13"/>
        <v>0</v>
      </c>
      <c r="AG221" s="4">
        <f t="shared" si="14"/>
        <v>2189.9699999999998</v>
      </c>
      <c r="AI221" t="s">
        <v>47</v>
      </c>
    </row>
    <row r="222" spans="1:35" x14ac:dyDescent="0.3">
      <c r="A222" t="s">
        <v>43</v>
      </c>
      <c r="B222" t="s">
        <v>43</v>
      </c>
      <c r="C222" t="s">
        <v>44</v>
      </c>
      <c r="D222" t="s">
        <v>116</v>
      </c>
      <c r="E222">
        <v>227</v>
      </c>
      <c r="F222" s="6" t="s">
        <v>556</v>
      </c>
      <c r="G222" s="6" t="s">
        <v>251</v>
      </c>
      <c r="H222" s="9">
        <v>46041</v>
      </c>
      <c r="J222" s="6" t="s">
        <v>52</v>
      </c>
      <c r="K222" s="6" t="s">
        <v>34</v>
      </c>
      <c r="L222" s="6" t="s">
        <v>35</v>
      </c>
      <c r="M222" s="4">
        <f t="shared" si="15"/>
        <v>8470.7100000000009</v>
      </c>
      <c r="N222" s="4">
        <v>3049.35</v>
      </c>
      <c r="O222" s="4">
        <v>3626.76</v>
      </c>
      <c r="P222" s="4">
        <v>624.20000000000005</v>
      </c>
      <c r="Q222" s="4">
        <v>1170.4000000000001</v>
      </c>
      <c r="R222" s="4">
        <v>1501.4870711999999</v>
      </c>
      <c r="S222" s="4">
        <v>1501.4870711999999</v>
      </c>
      <c r="T222">
        <v>988</v>
      </c>
      <c r="U222">
        <v>0</v>
      </c>
      <c r="W222" t="s">
        <v>36</v>
      </c>
      <c r="X222" t="s">
        <v>36</v>
      </c>
      <c r="AC222" t="s">
        <v>37</v>
      </c>
      <c r="AD222" t="s">
        <v>38</v>
      </c>
      <c r="AE222" s="4">
        <f t="shared" si="16"/>
        <v>9458.7100000000009</v>
      </c>
      <c r="AF222">
        <f t="shared" si="13"/>
        <v>0</v>
      </c>
      <c r="AG222" s="4">
        <f t="shared" si="14"/>
        <v>9458.7100000000009</v>
      </c>
      <c r="AI222" t="s">
        <v>39</v>
      </c>
    </row>
    <row r="223" spans="1:35" x14ac:dyDescent="0.3">
      <c r="A223" t="s">
        <v>43</v>
      </c>
      <c r="B223" t="s">
        <v>43</v>
      </c>
      <c r="C223" t="s">
        <v>44</v>
      </c>
      <c r="E223">
        <v>228</v>
      </c>
      <c r="F223" s="6" t="s">
        <v>363</v>
      </c>
      <c r="G223" s="6" t="s">
        <v>60</v>
      </c>
      <c r="H223" s="9">
        <v>46041</v>
      </c>
      <c r="I223" s="2">
        <v>46066</v>
      </c>
      <c r="J223" s="6" t="s">
        <v>33</v>
      </c>
      <c r="K223" s="6" t="s">
        <v>364</v>
      </c>
      <c r="L223" s="6" t="s">
        <v>35</v>
      </c>
      <c r="M223" s="4">
        <f t="shared" si="15"/>
        <v>2189.9699999999998</v>
      </c>
      <c r="N223" s="4">
        <v>2189.9699999999998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>
        <v>0</v>
      </c>
      <c r="U223">
        <v>0</v>
      </c>
      <c r="W223">
        <v>0</v>
      </c>
      <c r="X223" t="s">
        <v>36</v>
      </c>
      <c r="AC223" t="s">
        <v>37</v>
      </c>
      <c r="AD223" t="s">
        <v>38</v>
      </c>
      <c r="AE223" s="4">
        <f t="shared" si="16"/>
        <v>2189.9699999999998</v>
      </c>
      <c r="AF223">
        <f t="shared" si="13"/>
        <v>0</v>
      </c>
      <c r="AG223" s="4">
        <f t="shared" si="14"/>
        <v>2189.9699999999998</v>
      </c>
      <c r="AI223" t="s">
        <v>47</v>
      </c>
    </row>
    <row r="224" spans="1:35" x14ac:dyDescent="0.3">
      <c r="A224" t="s">
        <v>43</v>
      </c>
      <c r="B224" t="s">
        <v>43</v>
      </c>
      <c r="C224" t="s">
        <v>44</v>
      </c>
      <c r="E224">
        <v>229</v>
      </c>
      <c r="F224" s="6" t="s">
        <v>637</v>
      </c>
      <c r="G224" s="6" t="s">
        <v>111</v>
      </c>
      <c r="H224" s="9">
        <v>46041</v>
      </c>
      <c r="I224" s="2">
        <v>46134</v>
      </c>
      <c r="J224" s="6" t="s">
        <v>33</v>
      </c>
      <c r="K224" s="6" t="s">
        <v>638</v>
      </c>
      <c r="L224" s="6" t="s">
        <v>35</v>
      </c>
      <c r="M224" s="4">
        <f t="shared" si="15"/>
        <v>3192.39</v>
      </c>
      <c r="N224" s="4">
        <v>3192.39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>
        <v>0</v>
      </c>
      <c r="U224">
        <v>0</v>
      </c>
      <c r="W224">
        <v>0</v>
      </c>
      <c r="X224" t="s">
        <v>36</v>
      </c>
      <c r="AC224" t="s">
        <v>113</v>
      </c>
      <c r="AD224" t="s">
        <v>38</v>
      </c>
      <c r="AE224" s="4">
        <f t="shared" si="16"/>
        <v>3192.39</v>
      </c>
      <c r="AF224">
        <f t="shared" si="13"/>
        <v>0</v>
      </c>
      <c r="AG224" s="4">
        <f t="shared" si="14"/>
        <v>3192.39</v>
      </c>
      <c r="AI224" t="s">
        <v>47</v>
      </c>
    </row>
    <row r="225" spans="1:35" x14ac:dyDescent="0.3">
      <c r="A225" t="s">
        <v>43</v>
      </c>
      <c r="B225" t="s">
        <v>43</v>
      </c>
      <c r="C225" t="s">
        <v>44</v>
      </c>
      <c r="D225" t="s">
        <v>127</v>
      </c>
      <c r="E225">
        <v>230</v>
      </c>
      <c r="F225" s="6" t="s">
        <v>350</v>
      </c>
      <c r="G225" s="6" t="s">
        <v>111</v>
      </c>
      <c r="H225" s="9">
        <v>46041</v>
      </c>
      <c r="J225" s="6" t="s">
        <v>52</v>
      </c>
      <c r="K225" s="6" t="s">
        <v>34</v>
      </c>
      <c r="L225" s="6" t="s">
        <v>35</v>
      </c>
      <c r="M225" s="4">
        <f t="shared" si="15"/>
        <v>6179.22</v>
      </c>
      <c r="N225" s="4">
        <v>3356.8</v>
      </c>
      <c r="O225" s="4">
        <v>2060.7600000000002</v>
      </c>
      <c r="P225" s="4">
        <v>312.36</v>
      </c>
      <c r="Q225" s="4">
        <v>449.3</v>
      </c>
      <c r="R225" s="4">
        <v>1168.5901346999999</v>
      </c>
      <c r="S225" s="4">
        <v>1168.5901346999999</v>
      </c>
      <c r="T225">
        <v>798</v>
      </c>
      <c r="U225">
        <v>0</v>
      </c>
      <c r="W225" t="s">
        <v>36</v>
      </c>
      <c r="X225" t="s">
        <v>36</v>
      </c>
      <c r="Y225" s="6">
        <v>15000</v>
      </c>
      <c r="AC225" t="s">
        <v>113</v>
      </c>
      <c r="AD225" t="s">
        <v>38</v>
      </c>
      <c r="AE225" s="4">
        <f t="shared" si="16"/>
        <v>6977.22</v>
      </c>
      <c r="AF225">
        <f t="shared" si="13"/>
        <v>15000</v>
      </c>
      <c r="AG225" s="4">
        <f t="shared" si="14"/>
        <v>21977.22</v>
      </c>
      <c r="AI225" t="s">
        <v>47</v>
      </c>
    </row>
    <row r="226" spans="1:35" x14ac:dyDescent="0.3">
      <c r="A226" t="s">
        <v>43</v>
      </c>
      <c r="B226" t="s">
        <v>43</v>
      </c>
      <c r="C226" t="s">
        <v>44</v>
      </c>
      <c r="D226" t="s">
        <v>211</v>
      </c>
      <c r="E226">
        <v>231</v>
      </c>
      <c r="F226" s="6" t="s">
        <v>372</v>
      </c>
      <c r="G226" s="6" t="s">
        <v>60</v>
      </c>
      <c r="H226" s="9">
        <v>46041</v>
      </c>
      <c r="I226" s="2">
        <v>46085</v>
      </c>
      <c r="J226" s="6" t="s">
        <v>33</v>
      </c>
      <c r="K226" s="6" t="s">
        <v>373</v>
      </c>
      <c r="L226" s="6" t="s">
        <v>35</v>
      </c>
      <c r="M226" s="4">
        <f t="shared" si="15"/>
        <v>2189.9699999999998</v>
      </c>
      <c r="N226" s="4">
        <v>2189.9699999999998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>
        <v>0</v>
      </c>
      <c r="U226">
        <v>0</v>
      </c>
      <c r="W226">
        <v>0</v>
      </c>
      <c r="X226" t="s">
        <v>36</v>
      </c>
      <c r="AC226" t="s">
        <v>37</v>
      </c>
      <c r="AD226" t="s">
        <v>38</v>
      </c>
      <c r="AE226" s="4">
        <f t="shared" si="16"/>
        <v>2189.9699999999998</v>
      </c>
      <c r="AF226">
        <f t="shared" si="13"/>
        <v>0</v>
      </c>
      <c r="AG226" s="4">
        <f t="shared" si="14"/>
        <v>2189.9699999999998</v>
      </c>
      <c r="AI226" t="s">
        <v>47</v>
      </c>
    </row>
    <row r="227" spans="1:35" x14ac:dyDescent="0.3">
      <c r="A227" t="s">
        <v>43</v>
      </c>
      <c r="B227" t="s">
        <v>43</v>
      </c>
      <c r="C227" t="s">
        <v>44</v>
      </c>
      <c r="D227" t="s">
        <v>127</v>
      </c>
      <c r="E227">
        <v>232</v>
      </c>
      <c r="F227" s="6" t="s">
        <v>128</v>
      </c>
      <c r="G227" s="6" t="s">
        <v>60</v>
      </c>
      <c r="H227" s="9">
        <v>46041</v>
      </c>
      <c r="I227" s="2">
        <v>46129</v>
      </c>
      <c r="J227" s="6" t="s">
        <v>33</v>
      </c>
      <c r="K227" s="6" t="s">
        <v>129</v>
      </c>
      <c r="L227" s="6" t="s">
        <v>35</v>
      </c>
      <c r="M227" s="4">
        <f t="shared" si="15"/>
        <v>2189.9699999999998</v>
      </c>
      <c r="N227" s="4">
        <v>2189.9699999999998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>
        <v>0</v>
      </c>
      <c r="U227">
        <v>0</v>
      </c>
      <c r="W227">
        <v>0</v>
      </c>
      <c r="X227" t="s">
        <v>36</v>
      </c>
      <c r="AC227" t="s">
        <v>37</v>
      </c>
      <c r="AD227" t="s">
        <v>38</v>
      </c>
      <c r="AE227" s="4">
        <f t="shared" si="16"/>
        <v>2189.9699999999998</v>
      </c>
      <c r="AF227">
        <f t="shared" si="13"/>
        <v>0</v>
      </c>
      <c r="AG227" s="4">
        <f t="shared" si="14"/>
        <v>2189.9699999999998</v>
      </c>
      <c r="AI227" t="s">
        <v>47</v>
      </c>
    </row>
    <row r="228" spans="1:35" x14ac:dyDescent="0.3">
      <c r="A228" t="s">
        <v>43</v>
      </c>
      <c r="B228" t="s">
        <v>43</v>
      </c>
      <c r="C228" t="s">
        <v>44</v>
      </c>
      <c r="D228" t="s">
        <v>326</v>
      </c>
      <c r="E228">
        <v>234</v>
      </c>
      <c r="F228" s="6" t="s">
        <v>448</v>
      </c>
      <c r="G228" s="6" t="s">
        <v>71</v>
      </c>
      <c r="H228" s="9">
        <v>46041</v>
      </c>
      <c r="I228" s="2">
        <v>46148</v>
      </c>
      <c r="J228" s="6" t="s">
        <v>33</v>
      </c>
      <c r="K228" s="6" t="s">
        <v>34</v>
      </c>
      <c r="L228" s="6" t="s">
        <v>35</v>
      </c>
      <c r="M228" s="4">
        <f t="shared" si="15"/>
        <v>4305.3999999999996</v>
      </c>
      <c r="N228" s="4">
        <v>2664.74</v>
      </c>
      <c r="O228" s="4">
        <v>1160.47</v>
      </c>
      <c r="P228" s="4">
        <v>324.2</v>
      </c>
      <c r="Q228" s="4">
        <v>155.99</v>
      </c>
      <c r="R228" s="4">
        <v>311.73615990000008</v>
      </c>
      <c r="S228" s="4">
        <v>311.73615990000008</v>
      </c>
      <c r="T228">
        <v>0</v>
      </c>
      <c r="U228">
        <v>0</v>
      </c>
      <c r="W228">
        <v>0</v>
      </c>
      <c r="X228" t="s">
        <v>36</v>
      </c>
      <c r="AC228" t="s">
        <v>37</v>
      </c>
      <c r="AD228" t="s">
        <v>38</v>
      </c>
      <c r="AE228" s="4">
        <f t="shared" si="16"/>
        <v>4305.3999999999996</v>
      </c>
      <c r="AF228">
        <f t="shared" si="13"/>
        <v>0</v>
      </c>
      <c r="AG228" s="4">
        <f t="shared" si="14"/>
        <v>4305.3999999999996</v>
      </c>
      <c r="AI228" t="s">
        <v>47</v>
      </c>
    </row>
    <row r="229" spans="1:35" x14ac:dyDescent="0.3">
      <c r="A229" t="s">
        <v>43</v>
      </c>
      <c r="B229" t="s">
        <v>43</v>
      </c>
      <c r="C229" t="s">
        <v>44</v>
      </c>
      <c r="D229" t="s">
        <v>54</v>
      </c>
      <c r="E229">
        <v>235</v>
      </c>
      <c r="F229" s="6" t="s">
        <v>228</v>
      </c>
      <c r="G229" s="6" t="s">
        <v>56</v>
      </c>
      <c r="H229" s="9">
        <v>46041</v>
      </c>
      <c r="J229" s="6" t="s">
        <v>33</v>
      </c>
      <c r="K229" s="6" t="s">
        <v>34</v>
      </c>
      <c r="L229" s="6" t="s">
        <v>35</v>
      </c>
      <c r="M229" s="4">
        <f t="shared" si="15"/>
        <v>11475.48</v>
      </c>
      <c r="N229" s="4">
        <v>5114.5</v>
      </c>
      <c r="O229" s="4">
        <v>3453.8300000000004</v>
      </c>
      <c r="P229" s="4">
        <v>1670.4</v>
      </c>
      <c r="Q229" s="4">
        <v>1236.75</v>
      </c>
      <c r="R229" s="4">
        <v>1799.0922501000002</v>
      </c>
      <c r="S229" s="4">
        <v>1799.0922501000002</v>
      </c>
      <c r="T229">
        <v>0</v>
      </c>
      <c r="U229">
        <v>0</v>
      </c>
      <c r="W229">
        <v>0</v>
      </c>
      <c r="X229">
        <v>0</v>
      </c>
      <c r="AC229" t="s">
        <v>37</v>
      </c>
      <c r="AD229" t="s">
        <v>38</v>
      </c>
      <c r="AE229" s="4">
        <f t="shared" si="16"/>
        <v>11475.48</v>
      </c>
      <c r="AF229">
        <f t="shared" si="13"/>
        <v>0</v>
      </c>
      <c r="AG229" s="4">
        <f t="shared" si="14"/>
        <v>11475.48</v>
      </c>
      <c r="AI229" t="s">
        <v>47</v>
      </c>
    </row>
    <row r="230" spans="1:35" x14ac:dyDescent="0.3">
      <c r="A230" t="s">
        <v>43</v>
      </c>
      <c r="B230" t="s">
        <v>43</v>
      </c>
      <c r="C230" t="s">
        <v>44</v>
      </c>
      <c r="D230" t="s">
        <v>127</v>
      </c>
      <c r="E230">
        <v>236</v>
      </c>
      <c r="F230" s="6" t="s">
        <v>377</v>
      </c>
      <c r="G230" s="6" t="s">
        <v>71</v>
      </c>
      <c r="H230" s="9">
        <v>46041</v>
      </c>
      <c r="I230" s="2">
        <v>46084</v>
      </c>
      <c r="J230" s="6" t="s">
        <v>33</v>
      </c>
      <c r="K230" s="6" t="s">
        <v>378</v>
      </c>
      <c r="L230" s="6" t="s">
        <v>35</v>
      </c>
      <c r="M230" s="4">
        <f t="shared" si="15"/>
        <v>2664.74</v>
      </c>
      <c r="N230" s="4">
        <v>2664.74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>
        <v>0</v>
      </c>
      <c r="U230">
        <v>0</v>
      </c>
      <c r="W230">
        <v>0</v>
      </c>
      <c r="X230" t="s">
        <v>36</v>
      </c>
      <c r="AC230" t="s">
        <v>37</v>
      </c>
      <c r="AD230" t="s">
        <v>38</v>
      </c>
      <c r="AE230" s="4">
        <f t="shared" si="16"/>
        <v>2664.74</v>
      </c>
      <c r="AF230">
        <f t="shared" si="13"/>
        <v>0</v>
      </c>
      <c r="AG230" s="4">
        <f t="shared" si="14"/>
        <v>2664.74</v>
      </c>
      <c r="AI230" t="s">
        <v>47</v>
      </c>
    </row>
    <row r="231" spans="1:35" x14ac:dyDescent="0.3">
      <c r="A231" t="s">
        <v>43</v>
      </c>
      <c r="B231" t="s">
        <v>43</v>
      </c>
      <c r="C231" t="s">
        <v>44</v>
      </c>
      <c r="D231" t="s">
        <v>132</v>
      </c>
      <c r="E231">
        <v>237</v>
      </c>
      <c r="F231" s="6" t="s">
        <v>508</v>
      </c>
      <c r="G231" s="6" t="s">
        <v>60</v>
      </c>
      <c r="H231" s="9">
        <v>46041</v>
      </c>
      <c r="J231" s="6" t="s">
        <v>52</v>
      </c>
      <c r="K231" s="6" t="s">
        <v>34</v>
      </c>
      <c r="L231" s="6" t="s">
        <v>35</v>
      </c>
      <c r="M231" s="4">
        <f t="shared" si="15"/>
        <v>4732.59</v>
      </c>
      <c r="N231" s="4">
        <v>2302.75</v>
      </c>
      <c r="O231" s="4">
        <v>1615.1399999999999</v>
      </c>
      <c r="P231" s="4">
        <v>454.2</v>
      </c>
      <c r="Q231" s="4">
        <v>360.5</v>
      </c>
      <c r="R231" s="4">
        <v>894.32732070000009</v>
      </c>
      <c r="S231" s="4">
        <v>894.32732070000009</v>
      </c>
      <c r="T231">
        <v>912</v>
      </c>
      <c r="U231">
        <v>0</v>
      </c>
      <c r="W231" t="s">
        <v>36</v>
      </c>
      <c r="X231" t="s">
        <v>36</v>
      </c>
      <c r="AC231" t="s">
        <v>37</v>
      </c>
      <c r="AD231" t="s">
        <v>38</v>
      </c>
      <c r="AE231" s="4">
        <f t="shared" si="16"/>
        <v>5644.59</v>
      </c>
      <c r="AF231">
        <f t="shared" si="13"/>
        <v>0</v>
      </c>
      <c r="AG231" s="4">
        <f t="shared" si="14"/>
        <v>5644.59</v>
      </c>
      <c r="AI231" t="s">
        <v>47</v>
      </c>
    </row>
    <row r="232" spans="1:35" x14ac:dyDescent="0.3">
      <c r="A232" t="s">
        <v>43</v>
      </c>
      <c r="B232" t="s">
        <v>43</v>
      </c>
      <c r="C232" t="s">
        <v>44</v>
      </c>
      <c r="D232" t="s">
        <v>69</v>
      </c>
      <c r="E232">
        <v>238</v>
      </c>
      <c r="F232" s="6" t="s">
        <v>552</v>
      </c>
      <c r="G232" s="6" t="s">
        <v>322</v>
      </c>
      <c r="H232" s="9">
        <v>46041</v>
      </c>
      <c r="J232" s="6" t="s">
        <v>52</v>
      </c>
      <c r="K232" s="6" t="s">
        <v>34</v>
      </c>
      <c r="L232" s="6" t="s">
        <v>35</v>
      </c>
      <c r="M232" s="4">
        <f t="shared" si="15"/>
        <v>5413.69</v>
      </c>
      <c r="N232" s="4">
        <v>2801.97</v>
      </c>
      <c r="O232" s="4">
        <v>1109.94</v>
      </c>
      <c r="P232" s="4">
        <v>1121.48</v>
      </c>
      <c r="Q232" s="4">
        <v>380.3</v>
      </c>
      <c r="R232" s="4">
        <v>923.6328335999998</v>
      </c>
      <c r="S232" s="4">
        <v>923.6328335999998</v>
      </c>
      <c r="T232">
        <v>912</v>
      </c>
      <c r="U232">
        <v>0</v>
      </c>
      <c r="W232" t="s">
        <v>36</v>
      </c>
      <c r="X232" t="s">
        <v>36</v>
      </c>
      <c r="AC232" t="s">
        <v>37</v>
      </c>
      <c r="AD232" t="s">
        <v>38</v>
      </c>
      <c r="AE232" s="4">
        <f t="shared" si="16"/>
        <v>6325.69</v>
      </c>
      <c r="AF232">
        <f t="shared" si="13"/>
        <v>0</v>
      </c>
      <c r="AG232" s="4">
        <f t="shared" si="14"/>
        <v>6325.69</v>
      </c>
      <c r="AI232" t="s">
        <v>47</v>
      </c>
    </row>
    <row r="233" spans="1:35" x14ac:dyDescent="0.3">
      <c r="A233" t="s">
        <v>43</v>
      </c>
      <c r="B233" t="s">
        <v>43</v>
      </c>
      <c r="C233" t="s">
        <v>44</v>
      </c>
      <c r="E233">
        <v>239</v>
      </c>
      <c r="F233" s="6" t="s">
        <v>381</v>
      </c>
      <c r="G233" s="6" t="s">
        <v>60</v>
      </c>
      <c r="H233" s="9">
        <v>46041</v>
      </c>
      <c r="I233" s="2">
        <v>46066</v>
      </c>
      <c r="J233" s="6" t="s">
        <v>33</v>
      </c>
      <c r="K233" s="6" t="s">
        <v>382</v>
      </c>
      <c r="L233" s="6" t="s">
        <v>35</v>
      </c>
      <c r="M233" s="4">
        <f t="shared" si="15"/>
        <v>2189.9699999999998</v>
      </c>
      <c r="N233" s="4">
        <v>2189.9699999999998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>
        <v>0</v>
      </c>
      <c r="U233">
        <v>0</v>
      </c>
      <c r="W233">
        <v>0</v>
      </c>
      <c r="X233" t="s">
        <v>36</v>
      </c>
      <c r="AC233" t="s">
        <v>37</v>
      </c>
      <c r="AD233" t="s">
        <v>38</v>
      </c>
      <c r="AE233" s="4">
        <f t="shared" si="16"/>
        <v>2189.9699999999998</v>
      </c>
      <c r="AF233">
        <f t="shared" si="13"/>
        <v>0</v>
      </c>
      <c r="AG233" s="4">
        <f t="shared" si="14"/>
        <v>2189.9699999999998</v>
      </c>
      <c r="AI233" t="s">
        <v>47</v>
      </c>
    </row>
    <row r="234" spans="1:35" x14ac:dyDescent="0.3">
      <c r="A234" t="s">
        <v>43</v>
      </c>
      <c r="B234" t="s">
        <v>43</v>
      </c>
      <c r="C234" t="s">
        <v>44</v>
      </c>
      <c r="E234">
        <v>240</v>
      </c>
      <c r="F234" s="6" t="s">
        <v>383</v>
      </c>
      <c r="G234" s="6" t="s">
        <v>56</v>
      </c>
      <c r="H234" s="9">
        <v>46041</v>
      </c>
      <c r="I234" s="2">
        <v>46063</v>
      </c>
      <c r="J234" s="6" t="s">
        <v>33</v>
      </c>
      <c r="K234" s="6" t="s">
        <v>384</v>
      </c>
      <c r="L234" s="6" t="s">
        <v>35</v>
      </c>
      <c r="M234" s="4">
        <f t="shared" si="15"/>
        <v>5114.5</v>
      </c>
      <c r="N234" s="4">
        <v>5114.5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>
        <v>0</v>
      </c>
      <c r="U234">
        <v>0</v>
      </c>
      <c r="W234">
        <v>0</v>
      </c>
      <c r="X234" t="s">
        <v>36</v>
      </c>
      <c r="AC234" t="s">
        <v>37</v>
      </c>
      <c r="AD234" t="s">
        <v>38</v>
      </c>
      <c r="AE234" s="4">
        <f t="shared" si="16"/>
        <v>5114.5</v>
      </c>
      <c r="AF234">
        <f t="shared" si="13"/>
        <v>0</v>
      </c>
      <c r="AG234" s="4">
        <f t="shared" si="14"/>
        <v>5114.5</v>
      </c>
      <c r="AI234" t="s">
        <v>47</v>
      </c>
    </row>
    <row r="235" spans="1:35" x14ac:dyDescent="0.3">
      <c r="A235" t="s">
        <v>43</v>
      </c>
      <c r="B235" t="s">
        <v>43</v>
      </c>
      <c r="C235" t="s">
        <v>44</v>
      </c>
      <c r="E235">
        <v>241</v>
      </c>
      <c r="F235" s="6" t="s">
        <v>385</v>
      </c>
      <c r="G235" s="6" t="s">
        <v>71</v>
      </c>
      <c r="H235" s="9">
        <v>46041</v>
      </c>
      <c r="I235" s="2">
        <v>46069</v>
      </c>
      <c r="J235" s="6" t="s">
        <v>33</v>
      </c>
      <c r="K235" s="6" t="s">
        <v>386</v>
      </c>
      <c r="L235" s="6" t="s">
        <v>35</v>
      </c>
      <c r="M235" s="4">
        <f t="shared" si="15"/>
        <v>2664.74</v>
      </c>
      <c r="N235" s="4">
        <v>2664.74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>
        <v>0</v>
      </c>
      <c r="U235">
        <v>0</v>
      </c>
      <c r="W235">
        <v>0</v>
      </c>
      <c r="X235" t="s">
        <v>36</v>
      </c>
      <c r="AC235" t="s">
        <v>37</v>
      </c>
      <c r="AD235" t="s">
        <v>38</v>
      </c>
      <c r="AE235" s="4">
        <f t="shared" si="16"/>
        <v>2664.74</v>
      </c>
      <c r="AF235">
        <f t="shared" si="13"/>
        <v>0</v>
      </c>
      <c r="AG235" s="4">
        <f t="shared" si="14"/>
        <v>2664.74</v>
      </c>
      <c r="AI235" t="s">
        <v>47</v>
      </c>
    </row>
    <row r="236" spans="1:35" x14ac:dyDescent="0.3">
      <c r="A236" t="s">
        <v>43</v>
      </c>
      <c r="B236" t="s">
        <v>43</v>
      </c>
      <c r="C236" t="s">
        <v>44</v>
      </c>
      <c r="D236" t="s">
        <v>326</v>
      </c>
      <c r="E236">
        <v>242</v>
      </c>
      <c r="F236" s="6" t="s">
        <v>412</v>
      </c>
      <c r="G236" s="6" t="s">
        <v>60</v>
      </c>
      <c r="H236" s="9">
        <v>46041</v>
      </c>
      <c r="I236" s="2">
        <v>46134</v>
      </c>
      <c r="J236" s="6" t="s">
        <v>33</v>
      </c>
      <c r="K236" s="6" t="s">
        <v>413</v>
      </c>
      <c r="L236" s="6" t="s">
        <v>35</v>
      </c>
      <c r="M236" s="4">
        <f t="shared" si="15"/>
        <v>2189.9699999999998</v>
      </c>
      <c r="N236" s="4">
        <v>2189.9699999999998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>
        <v>0</v>
      </c>
      <c r="U236">
        <v>0</v>
      </c>
      <c r="W236">
        <v>0</v>
      </c>
      <c r="X236" t="s">
        <v>36</v>
      </c>
      <c r="AC236" t="s">
        <v>37</v>
      </c>
      <c r="AD236" t="s">
        <v>38</v>
      </c>
      <c r="AE236" s="4">
        <f t="shared" si="16"/>
        <v>2189.9699999999998</v>
      </c>
      <c r="AF236">
        <f t="shared" si="13"/>
        <v>0</v>
      </c>
      <c r="AG236" s="4">
        <f t="shared" si="14"/>
        <v>2189.9699999999998</v>
      </c>
      <c r="AI236" t="s">
        <v>47</v>
      </c>
    </row>
    <row r="237" spans="1:35" x14ac:dyDescent="0.3">
      <c r="A237" t="s">
        <v>43</v>
      </c>
      <c r="B237" t="s">
        <v>43</v>
      </c>
      <c r="C237" t="s">
        <v>44</v>
      </c>
      <c r="D237" t="s">
        <v>155</v>
      </c>
      <c r="E237">
        <v>244</v>
      </c>
      <c r="F237" s="6" t="s">
        <v>445</v>
      </c>
      <c r="G237" s="6" t="s">
        <v>60</v>
      </c>
      <c r="H237" s="9">
        <v>46041</v>
      </c>
      <c r="I237" s="2">
        <v>46129</v>
      </c>
      <c r="J237" s="6" t="s">
        <v>33</v>
      </c>
      <c r="K237" s="6" t="s">
        <v>446</v>
      </c>
      <c r="L237" s="6" t="s">
        <v>35</v>
      </c>
      <c r="M237" s="4">
        <f t="shared" si="15"/>
        <v>2189.9699999999998</v>
      </c>
      <c r="N237" s="4">
        <v>2189.9699999999998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>
        <v>0</v>
      </c>
      <c r="U237">
        <v>0</v>
      </c>
      <c r="W237">
        <v>0</v>
      </c>
      <c r="X237" t="s">
        <v>36</v>
      </c>
      <c r="AC237" t="s">
        <v>37</v>
      </c>
      <c r="AD237" t="s">
        <v>38</v>
      </c>
      <c r="AE237" s="4">
        <f t="shared" si="16"/>
        <v>2189.9699999999998</v>
      </c>
      <c r="AF237">
        <f t="shared" si="13"/>
        <v>0</v>
      </c>
      <c r="AG237" s="4">
        <f t="shared" si="14"/>
        <v>2189.9699999999998</v>
      </c>
      <c r="AI237" t="s">
        <v>47</v>
      </c>
    </row>
    <row r="238" spans="1:35" x14ac:dyDescent="0.3">
      <c r="A238" t="s">
        <v>43</v>
      </c>
      <c r="B238" t="s">
        <v>43</v>
      </c>
      <c r="C238" t="s">
        <v>44</v>
      </c>
      <c r="D238" t="s">
        <v>211</v>
      </c>
      <c r="E238">
        <v>245</v>
      </c>
      <c r="F238" s="6" t="s">
        <v>581</v>
      </c>
      <c r="G238" s="6" t="s">
        <v>60</v>
      </c>
      <c r="H238" s="9">
        <v>46041</v>
      </c>
      <c r="I238" s="2">
        <v>46129</v>
      </c>
      <c r="J238" s="6" t="s">
        <v>33</v>
      </c>
      <c r="K238" s="6" t="s">
        <v>582</v>
      </c>
      <c r="L238" s="6" t="s">
        <v>35</v>
      </c>
      <c r="M238" s="4">
        <f t="shared" si="15"/>
        <v>2189.9699999999998</v>
      </c>
      <c r="N238" s="4">
        <v>2189.9699999999998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>
        <v>0</v>
      </c>
      <c r="U238">
        <v>0</v>
      </c>
      <c r="W238">
        <v>0</v>
      </c>
      <c r="X238" t="s">
        <v>36</v>
      </c>
      <c r="AC238" t="s">
        <v>37</v>
      </c>
      <c r="AD238" t="s">
        <v>38</v>
      </c>
      <c r="AE238" s="4">
        <f t="shared" si="16"/>
        <v>2189.9699999999998</v>
      </c>
      <c r="AF238">
        <f t="shared" si="13"/>
        <v>0</v>
      </c>
      <c r="AG238" s="4">
        <f t="shared" si="14"/>
        <v>2189.9699999999998</v>
      </c>
      <c r="AI238" t="s">
        <v>47</v>
      </c>
    </row>
    <row r="239" spans="1:35" x14ac:dyDescent="0.3">
      <c r="A239" t="s">
        <v>43</v>
      </c>
      <c r="B239" t="s">
        <v>43</v>
      </c>
      <c r="C239" t="s">
        <v>44</v>
      </c>
      <c r="D239" t="s">
        <v>49</v>
      </c>
      <c r="E239">
        <v>247</v>
      </c>
      <c r="F239" s="6" t="s">
        <v>333</v>
      </c>
      <c r="G239" s="6" t="s">
        <v>60</v>
      </c>
      <c r="H239" s="9">
        <v>46041</v>
      </c>
      <c r="J239" s="6" t="s">
        <v>52</v>
      </c>
      <c r="K239" s="6" t="s">
        <v>34</v>
      </c>
      <c r="L239" s="6" t="s">
        <v>35</v>
      </c>
      <c r="M239" s="4">
        <f t="shared" si="15"/>
        <v>5576.5400000000009</v>
      </c>
      <c r="N239" s="4">
        <v>2302.75</v>
      </c>
      <c r="O239" s="4">
        <v>1508.45</v>
      </c>
      <c r="P239" s="4">
        <v>1394.45</v>
      </c>
      <c r="Q239" s="4">
        <v>370.89</v>
      </c>
      <c r="R239" s="4">
        <v>880.17954210000016</v>
      </c>
      <c r="S239" s="4">
        <v>880.17954210000016</v>
      </c>
      <c r="T239">
        <v>874</v>
      </c>
      <c r="U239">
        <v>0</v>
      </c>
      <c r="W239" t="s">
        <v>36</v>
      </c>
      <c r="X239" t="s">
        <v>36</v>
      </c>
      <c r="AC239" t="s">
        <v>37</v>
      </c>
      <c r="AD239" t="s">
        <v>38</v>
      </c>
      <c r="AE239" s="4">
        <f t="shared" si="16"/>
        <v>6450.5400000000009</v>
      </c>
      <c r="AF239">
        <f t="shared" si="13"/>
        <v>0</v>
      </c>
      <c r="AG239" s="4">
        <f t="shared" si="14"/>
        <v>6450.5400000000009</v>
      </c>
      <c r="AI239" t="s">
        <v>47</v>
      </c>
    </row>
    <row r="240" spans="1:35" x14ac:dyDescent="0.3">
      <c r="A240" t="s">
        <v>43</v>
      </c>
      <c r="B240" t="s">
        <v>43</v>
      </c>
      <c r="C240" t="s">
        <v>44</v>
      </c>
      <c r="E240">
        <v>248</v>
      </c>
      <c r="F240" s="6" t="s">
        <v>393</v>
      </c>
      <c r="G240" s="6" t="s">
        <v>136</v>
      </c>
      <c r="H240" s="9">
        <v>46041</v>
      </c>
      <c r="I240" s="2">
        <v>46066</v>
      </c>
      <c r="J240" s="6" t="s">
        <v>33</v>
      </c>
      <c r="K240" s="6" t="s">
        <v>394</v>
      </c>
      <c r="L240" s="6" t="s">
        <v>35</v>
      </c>
      <c r="M240" s="4">
        <f t="shared" si="15"/>
        <v>2664.74</v>
      </c>
      <c r="N240" s="4">
        <v>2664.74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>
        <v>0</v>
      </c>
      <c r="U240">
        <v>0</v>
      </c>
      <c r="W240">
        <v>0</v>
      </c>
      <c r="X240" t="s">
        <v>36</v>
      </c>
      <c r="AC240" t="s">
        <v>37</v>
      </c>
      <c r="AD240" t="s">
        <v>38</v>
      </c>
      <c r="AE240" s="4">
        <f t="shared" si="16"/>
        <v>2664.74</v>
      </c>
      <c r="AF240">
        <f t="shared" si="13"/>
        <v>0</v>
      </c>
      <c r="AG240" s="4">
        <f t="shared" si="14"/>
        <v>2664.74</v>
      </c>
      <c r="AI240" t="s">
        <v>47</v>
      </c>
    </row>
    <row r="241" spans="1:35" x14ac:dyDescent="0.3">
      <c r="A241" t="s">
        <v>43</v>
      </c>
      <c r="B241" t="s">
        <v>43</v>
      </c>
      <c r="C241" t="s">
        <v>44</v>
      </c>
      <c r="E241">
        <v>249</v>
      </c>
      <c r="F241" s="6" t="s">
        <v>395</v>
      </c>
      <c r="G241" s="6" t="s">
        <v>71</v>
      </c>
      <c r="H241" s="9">
        <v>46041</v>
      </c>
      <c r="I241" s="2">
        <v>46069</v>
      </c>
      <c r="J241" s="6" t="s">
        <v>33</v>
      </c>
      <c r="K241" s="6" t="s">
        <v>396</v>
      </c>
      <c r="L241" s="6" t="s">
        <v>35</v>
      </c>
      <c r="M241" s="4">
        <f t="shared" si="15"/>
        <v>2664.74</v>
      </c>
      <c r="N241" s="4">
        <v>2664.74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>
        <v>0</v>
      </c>
      <c r="U241">
        <v>0</v>
      </c>
      <c r="W241">
        <v>0</v>
      </c>
      <c r="X241" t="s">
        <v>36</v>
      </c>
      <c r="AC241" t="s">
        <v>37</v>
      </c>
      <c r="AD241" t="s">
        <v>38</v>
      </c>
      <c r="AE241" s="4">
        <f t="shared" si="16"/>
        <v>2664.74</v>
      </c>
      <c r="AF241">
        <f t="shared" si="13"/>
        <v>0</v>
      </c>
      <c r="AG241" s="4">
        <f t="shared" si="14"/>
        <v>2664.74</v>
      </c>
      <c r="AI241" t="s">
        <v>47</v>
      </c>
    </row>
    <row r="242" spans="1:35" x14ac:dyDescent="0.3">
      <c r="A242" t="s">
        <v>43</v>
      </c>
      <c r="B242" t="s">
        <v>43</v>
      </c>
      <c r="C242" t="s">
        <v>44</v>
      </c>
      <c r="D242" t="s">
        <v>81</v>
      </c>
      <c r="E242">
        <v>250</v>
      </c>
      <c r="F242" s="6" t="s">
        <v>214</v>
      </c>
      <c r="G242" s="6" t="s">
        <v>60</v>
      </c>
      <c r="H242" s="9">
        <v>46041</v>
      </c>
      <c r="I242" s="2">
        <v>46134</v>
      </c>
      <c r="J242" s="6" t="s">
        <v>33</v>
      </c>
      <c r="K242" s="6" t="s">
        <v>215</v>
      </c>
      <c r="L242" s="6" t="s">
        <v>35</v>
      </c>
      <c r="M242" s="4">
        <f t="shared" si="15"/>
        <v>2965.25</v>
      </c>
      <c r="N242" s="4">
        <v>2189.9699999999998</v>
      </c>
      <c r="O242" s="4">
        <v>0</v>
      </c>
      <c r="P242" s="4">
        <v>775.28</v>
      </c>
      <c r="Q242" s="4">
        <v>0</v>
      </c>
      <c r="R242" s="4">
        <v>0</v>
      </c>
      <c r="S242" s="4">
        <v>0</v>
      </c>
      <c r="T242">
        <v>0</v>
      </c>
      <c r="U242">
        <v>0</v>
      </c>
      <c r="W242">
        <v>0</v>
      </c>
      <c r="X242" t="s">
        <v>36</v>
      </c>
      <c r="AC242" t="s">
        <v>37</v>
      </c>
      <c r="AD242" t="s">
        <v>38</v>
      </c>
      <c r="AE242" s="4">
        <f t="shared" si="16"/>
        <v>2965.25</v>
      </c>
      <c r="AF242">
        <f t="shared" si="13"/>
        <v>0</v>
      </c>
      <c r="AG242" s="4">
        <f t="shared" si="14"/>
        <v>2965.25</v>
      </c>
      <c r="AI242" t="s">
        <v>47</v>
      </c>
    </row>
    <row r="243" spans="1:35" x14ac:dyDescent="0.3">
      <c r="A243" t="s">
        <v>43</v>
      </c>
      <c r="B243" t="s">
        <v>43</v>
      </c>
      <c r="C243" t="s">
        <v>44</v>
      </c>
      <c r="D243" t="s">
        <v>49</v>
      </c>
      <c r="E243">
        <v>251</v>
      </c>
      <c r="F243" s="6" t="s">
        <v>566</v>
      </c>
      <c r="G243" s="6" t="s">
        <v>60</v>
      </c>
      <c r="H243" s="9">
        <v>46041</v>
      </c>
      <c r="I243" s="2">
        <v>46129</v>
      </c>
      <c r="J243" s="6" t="s">
        <v>33</v>
      </c>
      <c r="K243" s="6" t="s">
        <v>567</v>
      </c>
      <c r="L243" s="6" t="s">
        <v>35</v>
      </c>
      <c r="M243" s="4">
        <f t="shared" si="15"/>
        <v>2189.9699999999998</v>
      </c>
      <c r="N243" s="4">
        <v>2189.9699999999998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>
        <v>0</v>
      </c>
      <c r="U243">
        <v>0</v>
      </c>
      <c r="W243">
        <v>0</v>
      </c>
      <c r="X243" t="s">
        <v>36</v>
      </c>
      <c r="AC243" t="s">
        <v>37</v>
      </c>
      <c r="AD243" t="s">
        <v>38</v>
      </c>
      <c r="AE243" s="4">
        <f t="shared" si="16"/>
        <v>2189.9699999999998</v>
      </c>
      <c r="AF243">
        <f t="shared" si="13"/>
        <v>0</v>
      </c>
      <c r="AG243" s="4">
        <f t="shared" si="14"/>
        <v>2189.9699999999998</v>
      </c>
      <c r="AI243" t="s">
        <v>47</v>
      </c>
    </row>
    <row r="244" spans="1:35" x14ac:dyDescent="0.3">
      <c r="A244" t="s">
        <v>43</v>
      </c>
      <c r="B244" t="s">
        <v>43</v>
      </c>
      <c r="C244" t="s">
        <v>44</v>
      </c>
      <c r="E244">
        <v>252</v>
      </c>
      <c r="F244" s="6" t="s">
        <v>399</v>
      </c>
      <c r="G244" s="6" t="s">
        <v>60</v>
      </c>
      <c r="H244" s="9">
        <v>46041</v>
      </c>
      <c r="I244" s="2">
        <v>46055</v>
      </c>
      <c r="J244" s="6" t="s">
        <v>33</v>
      </c>
      <c r="K244" s="6" t="s">
        <v>400</v>
      </c>
      <c r="L244" s="6" t="s">
        <v>35</v>
      </c>
      <c r="M244" s="4">
        <f t="shared" si="15"/>
        <v>2189.9699999999998</v>
      </c>
      <c r="N244" s="4">
        <v>2189.9699999999998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>
        <v>0</v>
      </c>
      <c r="U244">
        <v>0</v>
      </c>
      <c r="W244">
        <v>0</v>
      </c>
      <c r="X244" t="s">
        <v>36</v>
      </c>
      <c r="AC244" t="s">
        <v>37</v>
      </c>
      <c r="AD244" t="s">
        <v>38</v>
      </c>
      <c r="AE244" s="4">
        <f t="shared" si="16"/>
        <v>2189.9699999999998</v>
      </c>
      <c r="AF244">
        <f t="shared" si="13"/>
        <v>0</v>
      </c>
      <c r="AG244" s="4">
        <f t="shared" si="14"/>
        <v>2189.9699999999998</v>
      </c>
      <c r="AI244" t="s">
        <v>47</v>
      </c>
    </row>
    <row r="245" spans="1:35" x14ac:dyDescent="0.3">
      <c r="A245" t="s">
        <v>43</v>
      </c>
      <c r="B245" t="s">
        <v>43</v>
      </c>
      <c r="C245" t="s">
        <v>44</v>
      </c>
      <c r="E245">
        <v>253</v>
      </c>
      <c r="F245" s="6" t="s">
        <v>401</v>
      </c>
      <c r="G245" s="6" t="s">
        <v>60</v>
      </c>
      <c r="H245" s="9">
        <v>46041</v>
      </c>
      <c r="I245" s="2">
        <v>46069</v>
      </c>
      <c r="J245" s="6" t="s">
        <v>33</v>
      </c>
      <c r="K245" s="6" t="s">
        <v>402</v>
      </c>
      <c r="L245" s="6" t="s">
        <v>35</v>
      </c>
      <c r="M245" s="4">
        <f t="shared" si="15"/>
        <v>2189.9699999999998</v>
      </c>
      <c r="N245" s="4">
        <v>2189.9699999999998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>
        <v>0</v>
      </c>
      <c r="U245">
        <v>0</v>
      </c>
      <c r="W245">
        <v>0</v>
      </c>
      <c r="X245" t="s">
        <v>36</v>
      </c>
      <c r="AC245" t="s">
        <v>37</v>
      </c>
      <c r="AD245" t="s">
        <v>38</v>
      </c>
      <c r="AE245" s="4">
        <f t="shared" si="16"/>
        <v>2189.9699999999998</v>
      </c>
      <c r="AF245">
        <f t="shared" si="13"/>
        <v>0</v>
      </c>
      <c r="AG245" s="4">
        <f t="shared" si="14"/>
        <v>2189.9699999999998</v>
      </c>
      <c r="AI245" t="s">
        <v>47</v>
      </c>
    </row>
    <row r="246" spans="1:35" x14ac:dyDescent="0.3">
      <c r="A246" t="s">
        <v>43</v>
      </c>
      <c r="B246" t="s">
        <v>43</v>
      </c>
      <c r="C246" t="s">
        <v>44</v>
      </c>
      <c r="D246" t="s">
        <v>155</v>
      </c>
      <c r="E246">
        <v>255</v>
      </c>
      <c r="F246" s="6" t="s">
        <v>403</v>
      </c>
      <c r="G246" s="6" t="s">
        <v>71</v>
      </c>
      <c r="H246" s="9">
        <v>46041</v>
      </c>
      <c r="I246" s="2">
        <v>46066</v>
      </c>
      <c r="J246" s="6" t="s">
        <v>33</v>
      </c>
      <c r="K246" s="6" t="s">
        <v>404</v>
      </c>
      <c r="L246" s="6" t="s">
        <v>35</v>
      </c>
      <c r="M246" s="4">
        <f t="shared" si="15"/>
        <v>2664.74</v>
      </c>
      <c r="N246" s="4">
        <v>2664.74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>
        <v>0</v>
      </c>
      <c r="U246">
        <v>0</v>
      </c>
      <c r="W246">
        <v>0</v>
      </c>
      <c r="X246" t="s">
        <v>36</v>
      </c>
      <c r="AC246" t="s">
        <v>37</v>
      </c>
      <c r="AD246" t="s">
        <v>38</v>
      </c>
      <c r="AE246" s="4">
        <f t="shared" si="16"/>
        <v>2664.74</v>
      </c>
      <c r="AF246">
        <f t="shared" si="13"/>
        <v>0</v>
      </c>
      <c r="AG246" s="4">
        <f t="shared" si="14"/>
        <v>2664.74</v>
      </c>
      <c r="AI246" t="s">
        <v>47</v>
      </c>
    </row>
    <row r="247" spans="1:35" x14ac:dyDescent="0.3">
      <c r="A247" t="s">
        <v>43</v>
      </c>
      <c r="B247" t="s">
        <v>43</v>
      </c>
      <c r="C247" t="s">
        <v>44</v>
      </c>
      <c r="D247" t="s">
        <v>218</v>
      </c>
      <c r="E247">
        <v>256</v>
      </c>
      <c r="F247" s="6" t="s">
        <v>298</v>
      </c>
      <c r="G247" s="6" t="s">
        <v>136</v>
      </c>
      <c r="H247" s="9">
        <v>46041</v>
      </c>
      <c r="J247" s="6" t="s">
        <v>52</v>
      </c>
      <c r="K247" s="6" t="s">
        <v>34</v>
      </c>
      <c r="L247" s="6" t="s">
        <v>35</v>
      </c>
      <c r="M247" s="4">
        <f t="shared" si="15"/>
        <v>6776.65</v>
      </c>
      <c r="N247" s="4">
        <v>2801.97</v>
      </c>
      <c r="O247" s="4">
        <v>2029.42</v>
      </c>
      <c r="P247" s="4">
        <v>1441.18</v>
      </c>
      <c r="Q247" s="4">
        <v>504.08</v>
      </c>
      <c r="R247" s="4">
        <v>1116.6960491999994</v>
      </c>
      <c r="S247" s="4">
        <v>1116.6960491999994</v>
      </c>
      <c r="T247">
        <v>950</v>
      </c>
      <c r="U247">
        <v>0</v>
      </c>
      <c r="W247" t="s">
        <v>36</v>
      </c>
      <c r="X247" t="s">
        <v>36</v>
      </c>
      <c r="AC247" t="s">
        <v>37</v>
      </c>
      <c r="AD247" t="s">
        <v>38</v>
      </c>
      <c r="AE247" s="4">
        <f t="shared" si="16"/>
        <v>7726.65</v>
      </c>
      <c r="AF247">
        <f t="shared" si="13"/>
        <v>0</v>
      </c>
      <c r="AG247" s="4">
        <f t="shared" si="14"/>
        <v>7726.65</v>
      </c>
      <c r="AI247" t="s">
        <v>47</v>
      </c>
    </row>
    <row r="248" spans="1:35" x14ac:dyDescent="0.3">
      <c r="A248" t="s">
        <v>40</v>
      </c>
      <c r="B248" t="s">
        <v>750</v>
      </c>
      <c r="C248" t="s">
        <v>30</v>
      </c>
      <c r="D248" t="s">
        <v>91</v>
      </c>
      <c r="E248">
        <v>257</v>
      </c>
      <c r="F248" s="6" t="s">
        <v>595</v>
      </c>
      <c r="G248" s="6" t="s">
        <v>93</v>
      </c>
      <c r="H248" s="9">
        <v>46041</v>
      </c>
      <c r="J248" s="6" t="s">
        <v>52</v>
      </c>
      <c r="K248" s="6" t="s">
        <v>34</v>
      </c>
      <c r="L248" s="6" t="s">
        <v>35</v>
      </c>
      <c r="M248" s="4">
        <f t="shared" si="15"/>
        <v>7355.53</v>
      </c>
      <c r="N248" s="4">
        <v>2819.39</v>
      </c>
      <c r="O248" s="4">
        <v>1819.3400000000001</v>
      </c>
      <c r="P248" s="4">
        <v>2285.1999999999998</v>
      </c>
      <c r="Q248" s="4">
        <v>431.6</v>
      </c>
      <c r="R248" s="4">
        <v>1045.7849808000001</v>
      </c>
      <c r="S248" s="4">
        <v>1045.7849808000001</v>
      </c>
      <c r="T248">
        <v>1026</v>
      </c>
      <c r="U248">
        <v>0</v>
      </c>
      <c r="W248" t="s">
        <v>36</v>
      </c>
      <c r="X248" t="s">
        <v>36</v>
      </c>
      <c r="AC248" t="s">
        <v>37</v>
      </c>
      <c r="AD248" t="s">
        <v>38</v>
      </c>
      <c r="AE248" s="4">
        <f t="shared" si="16"/>
        <v>8381.5299999999988</v>
      </c>
      <c r="AF248">
        <f t="shared" si="13"/>
        <v>0</v>
      </c>
      <c r="AG248" s="4">
        <f t="shared" si="14"/>
        <v>8381.5299999999988</v>
      </c>
      <c r="AI248" t="s">
        <v>47</v>
      </c>
    </row>
    <row r="249" spans="1:35" x14ac:dyDescent="0.3">
      <c r="A249" t="s">
        <v>43</v>
      </c>
      <c r="B249" t="s">
        <v>43</v>
      </c>
      <c r="C249" t="s">
        <v>44</v>
      </c>
      <c r="D249" t="s">
        <v>127</v>
      </c>
      <c r="E249">
        <v>258</v>
      </c>
      <c r="F249" s="6" t="s">
        <v>278</v>
      </c>
      <c r="G249" s="6" t="s">
        <v>60</v>
      </c>
      <c r="H249" s="9">
        <v>46041</v>
      </c>
      <c r="I249" s="2">
        <v>46105</v>
      </c>
      <c r="J249" s="6" t="s">
        <v>33</v>
      </c>
      <c r="K249" s="6" t="s">
        <v>279</v>
      </c>
      <c r="L249" s="6" t="s">
        <v>35</v>
      </c>
      <c r="M249" s="4">
        <f t="shared" si="15"/>
        <v>2189.9699999999998</v>
      </c>
      <c r="N249" s="4">
        <v>2189.9699999999998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>
        <v>0</v>
      </c>
      <c r="U249">
        <v>0</v>
      </c>
      <c r="W249">
        <v>0</v>
      </c>
      <c r="X249" t="s">
        <v>36</v>
      </c>
      <c r="AC249" t="s">
        <v>37</v>
      </c>
      <c r="AD249" t="s">
        <v>38</v>
      </c>
      <c r="AE249" s="4">
        <f t="shared" si="16"/>
        <v>2189.9699999999998</v>
      </c>
      <c r="AF249">
        <f t="shared" si="13"/>
        <v>0</v>
      </c>
      <c r="AG249" s="4">
        <f t="shared" si="14"/>
        <v>2189.9699999999998</v>
      </c>
      <c r="AI249" t="s">
        <v>47</v>
      </c>
    </row>
    <row r="250" spans="1:35" x14ac:dyDescent="0.3">
      <c r="A250" t="s">
        <v>43</v>
      </c>
      <c r="B250" t="s">
        <v>43</v>
      </c>
      <c r="C250" t="s">
        <v>44</v>
      </c>
      <c r="D250" t="s">
        <v>387</v>
      </c>
      <c r="E250">
        <v>259</v>
      </c>
      <c r="F250" s="6" t="s">
        <v>389</v>
      </c>
      <c r="G250" s="6" t="s">
        <v>60</v>
      </c>
      <c r="H250" s="9">
        <v>46041</v>
      </c>
      <c r="I250" s="2">
        <v>46101</v>
      </c>
      <c r="J250" s="6" t="s">
        <v>33</v>
      </c>
      <c r="K250" s="6" t="s">
        <v>390</v>
      </c>
      <c r="L250" s="6" t="s">
        <v>35</v>
      </c>
      <c r="M250" s="4">
        <f t="shared" si="15"/>
        <v>2189.9699999999998</v>
      </c>
      <c r="N250" s="4">
        <v>2189.9699999999998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>
        <v>0</v>
      </c>
      <c r="U250">
        <v>0</v>
      </c>
      <c r="W250">
        <v>0</v>
      </c>
      <c r="X250" t="s">
        <v>36</v>
      </c>
      <c r="AC250" t="s">
        <v>37</v>
      </c>
      <c r="AD250" t="s">
        <v>38</v>
      </c>
      <c r="AE250" s="4">
        <f t="shared" si="16"/>
        <v>2189.9699999999998</v>
      </c>
      <c r="AF250">
        <f t="shared" si="13"/>
        <v>0</v>
      </c>
      <c r="AG250" s="4">
        <f t="shared" si="14"/>
        <v>2189.9699999999998</v>
      </c>
      <c r="AI250" t="s">
        <v>47</v>
      </c>
    </row>
    <row r="251" spans="1:35" x14ac:dyDescent="0.3">
      <c r="A251" t="s">
        <v>43</v>
      </c>
      <c r="B251" t="s">
        <v>43</v>
      </c>
      <c r="C251" t="s">
        <v>44</v>
      </c>
      <c r="D251" t="s">
        <v>132</v>
      </c>
      <c r="E251">
        <v>260</v>
      </c>
      <c r="F251" s="6" t="s">
        <v>454</v>
      </c>
      <c r="G251" s="6" t="s">
        <v>136</v>
      </c>
      <c r="H251" s="9">
        <v>46041</v>
      </c>
      <c r="I251" s="2">
        <v>46153</v>
      </c>
      <c r="J251" s="6" t="s">
        <v>33</v>
      </c>
      <c r="K251" s="6" t="s">
        <v>34</v>
      </c>
      <c r="L251" s="6" t="s">
        <v>35</v>
      </c>
      <c r="M251" s="4">
        <f t="shared" si="15"/>
        <v>3811.42</v>
      </c>
      <c r="N251" s="4">
        <v>2664.74</v>
      </c>
      <c r="O251" s="4">
        <v>302.44</v>
      </c>
      <c r="P251" s="4">
        <v>764.36</v>
      </c>
      <c r="Q251" s="4">
        <v>79.88</v>
      </c>
      <c r="R251" s="4">
        <v>131.57560079999999</v>
      </c>
      <c r="S251" s="4">
        <v>131.57560079999999</v>
      </c>
      <c r="T251">
        <v>0</v>
      </c>
      <c r="U251">
        <v>0</v>
      </c>
      <c r="W251">
        <v>0</v>
      </c>
      <c r="X251" t="s">
        <v>36</v>
      </c>
      <c r="AC251" t="s">
        <v>37</v>
      </c>
      <c r="AD251" t="s">
        <v>38</v>
      </c>
      <c r="AE251" s="4">
        <f t="shared" si="16"/>
        <v>3811.42</v>
      </c>
      <c r="AF251">
        <f t="shared" si="13"/>
        <v>0</v>
      </c>
      <c r="AG251" s="4">
        <f t="shared" si="14"/>
        <v>3811.42</v>
      </c>
      <c r="AI251" t="s">
        <v>47</v>
      </c>
    </row>
    <row r="252" spans="1:35" x14ac:dyDescent="0.3">
      <c r="A252" t="s">
        <v>43</v>
      </c>
      <c r="B252" t="s">
        <v>43</v>
      </c>
      <c r="C252" t="s">
        <v>44</v>
      </c>
      <c r="E252">
        <v>261</v>
      </c>
      <c r="F252" s="6" t="s">
        <v>622</v>
      </c>
      <c r="G252" s="6" t="s">
        <v>60</v>
      </c>
      <c r="H252" s="9">
        <v>46041</v>
      </c>
      <c r="I252" s="2">
        <v>46134</v>
      </c>
      <c r="J252" s="6" t="s">
        <v>33</v>
      </c>
      <c r="K252" s="6" t="s">
        <v>623</v>
      </c>
      <c r="L252" s="6" t="s">
        <v>35</v>
      </c>
      <c r="M252" s="4">
        <f t="shared" si="15"/>
        <v>2189.9699999999998</v>
      </c>
      <c r="N252" s="4">
        <v>2189.9699999999998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>
        <v>0</v>
      </c>
      <c r="U252">
        <v>0</v>
      </c>
      <c r="W252">
        <v>0</v>
      </c>
      <c r="X252" t="s">
        <v>36</v>
      </c>
      <c r="AC252" t="s">
        <v>37</v>
      </c>
      <c r="AD252" t="s">
        <v>38</v>
      </c>
      <c r="AE252" s="4">
        <f t="shared" si="16"/>
        <v>2189.9699999999998</v>
      </c>
      <c r="AF252">
        <f t="shared" si="13"/>
        <v>0</v>
      </c>
      <c r="AG252" s="4">
        <f t="shared" si="14"/>
        <v>2189.9699999999998</v>
      </c>
      <c r="AI252" t="s">
        <v>47</v>
      </c>
    </row>
    <row r="253" spans="1:35" x14ac:dyDescent="0.3">
      <c r="A253" t="s">
        <v>29</v>
      </c>
      <c r="B253" t="s">
        <v>748</v>
      </c>
      <c r="C253" t="s">
        <v>30</v>
      </c>
      <c r="D253" t="s">
        <v>485</v>
      </c>
      <c r="E253">
        <v>262</v>
      </c>
      <c r="F253" s="6" t="s">
        <v>618</v>
      </c>
      <c r="G253" s="6" t="s">
        <v>619</v>
      </c>
      <c r="H253" s="9">
        <v>46044</v>
      </c>
      <c r="J253" s="6" t="s">
        <v>52</v>
      </c>
      <c r="K253" s="6" t="s">
        <v>34</v>
      </c>
      <c r="L253" s="6" t="s">
        <v>35</v>
      </c>
      <c r="M253" s="4">
        <f t="shared" si="15"/>
        <v>4701.18</v>
      </c>
      <c r="N253" s="4">
        <v>2786.48</v>
      </c>
      <c r="O253" s="4">
        <v>477.49</v>
      </c>
      <c r="P253" s="4">
        <v>1173.31</v>
      </c>
      <c r="Q253" s="4">
        <v>263.89999999999998</v>
      </c>
      <c r="R253" s="4">
        <v>719.67007529999989</v>
      </c>
      <c r="S253" s="4">
        <v>719.67007529999989</v>
      </c>
      <c r="T253">
        <v>912</v>
      </c>
      <c r="U253">
        <v>0</v>
      </c>
      <c r="W253" t="s">
        <v>36</v>
      </c>
      <c r="X253" t="s">
        <v>36</v>
      </c>
      <c r="AC253" t="s">
        <v>37</v>
      </c>
      <c r="AD253" t="s">
        <v>38</v>
      </c>
      <c r="AE253" s="4">
        <f t="shared" si="16"/>
        <v>5613.18</v>
      </c>
      <c r="AF253">
        <f t="shared" si="13"/>
        <v>0</v>
      </c>
      <c r="AG253" s="4">
        <f t="shared" si="14"/>
        <v>5613.18</v>
      </c>
      <c r="AI253" t="s">
        <v>39</v>
      </c>
    </row>
    <row r="254" spans="1:35" x14ac:dyDescent="0.3">
      <c r="A254" t="s">
        <v>43</v>
      </c>
      <c r="B254" t="s">
        <v>43</v>
      </c>
      <c r="C254" t="s">
        <v>44</v>
      </c>
      <c r="E254">
        <v>263</v>
      </c>
      <c r="F254" s="6" t="s">
        <v>415</v>
      </c>
      <c r="G254" s="6" t="s">
        <v>60</v>
      </c>
      <c r="H254" s="9">
        <v>46055</v>
      </c>
      <c r="I254" s="2">
        <v>46071</v>
      </c>
      <c r="J254" s="6" t="s">
        <v>33</v>
      </c>
      <c r="K254" s="6" t="s">
        <v>34</v>
      </c>
      <c r="L254" s="6" t="s">
        <v>35</v>
      </c>
      <c r="M254" s="4">
        <f t="shared" si="15"/>
        <v>2189.9699999999998</v>
      </c>
      <c r="N254" s="4">
        <v>2189.9699999999998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>
        <v>0</v>
      </c>
      <c r="U254">
        <v>0</v>
      </c>
      <c r="W254">
        <v>0</v>
      </c>
      <c r="X254" t="s">
        <v>36</v>
      </c>
      <c r="AC254" t="s">
        <v>37</v>
      </c>
      <c r="AD254" t="s">
        <v>38</v>
      </c>
      <c r="AE254" s="4">
        <f t="shared" si="16"/>
        <v>2189.9699999999998</v>
      </c>
      <c r="AF254">
        <f t="shared" si="13"/>
        <v>0</v>
      </c>
      <c r="AG254" s="4">
        <f t="shared" si="14"/>
        <v>2189.9699999999998</v>
      </c>
      <c r="AI254" t="s">
        <v>39</v>
      </c>
    </row>
    <row r="255" spans="1:35" x14ac:dyDescent="0.3">
      <c r="A255" t="s">
        <v>43</v>
      </c>
      <c r="B255" t="s">
        <v>43</v>
      </c>
      <c r="C255" t="s">
        <v>44</v>
      </c>
      <c r="D255" t="s">
        <v>155</v>
      </c>
      <c r="E255">
        <v>264</v>
      </c>
      <c r="F255" s="6" t="s">
        <v>532</v>
      </c>
      <c r="G255" s="6" t="s">
        <v>60</v>
      </c>
      <c r="H255" s="9">
        <v>46055</v>
      </c>
      <c r="J255" s="6" t="s">
        <v>52</v>
      </c>
      <c r="K255" s="6" t="s">
        <v>34</v>
      </c>
      <c r="L255" s="6" t="s">
        <v>35</v>
      </c>
      <c r="M255" s="4">
        <f t="shared" si="15"/>
        <v>5196.53</v>
      </c>
      <c r="N255" s="4">
        <v>2302.75</v>
      </c>
      <c r="O255" s="4">
        <v>1451.04</v>
      </c>
      <c r="P255" s="4">
        <v>1078.32</v>
      </c>
      <c r="Q255" s="4">
        <v>364.42</v>
      </c>
      <c r="R255" s="4">
        <v>864.07064370000001</v>
      </c>
      <c r="S255" s="4">
        <v>864.07064370000001</v>
      </c>
      <c r="T255">
        <v>950</v>
      </c>
      <c r="U255">
        <v>0</v>
      </c>
      <c r="W255" t="s">
        <v>36</v>
      </c>
      <c r="X255" t="s">
        <v>36</v>
      </c>
      <c r="AC255" t="s">
        <v>37</v>
      </c>
      <c r="AD255" t="s">
        <v>38</v>
      </c>
      <c r="AE255" s="4">
        <f t="shared" si="16"/>
        <v>6146.53</v>
      </c>
      <c r="AF255">
        <f t="shared" si="13"/>
        <v>0</v>
      </c>
      <c r="AG255" s="4">
        <f t="shared" si="14"/>
        <v>6146.53</v>
      </c>
      <c r="AI255" t="s">
        <v>47</v>
      </c>
    </row>
    <row r="256" spans="1:35" x14ac:dyDescent="0.3">
      <c r="A256" t="s">
        <v>43</v>
      </c>
      <c r="B256" t="s">
        <v>43</v>
      </c>
      <c r="C256" t="s">
        <v>44</v>
      </c>
      <c r="E256">
        <v>265</v>
      </c>
      <c r="F256" s="6" t="s">
        <v>416</v>
      </c>
      <c r="G256" s="6" t="s">
        <v>60</v>
      </c>
      <c r="H256" s="9">
        <v>46055</v>
      </c>
      <c r="I256" s="2">
        <v>46084</v>
      </c>
      <c r="J256" s="6" t="s">
        <v>33</v>
      </c>
      <c r="K256" s="6" t="s">
        <v>34</v>
      </c>
      <c r="L256" s="6" t="s">
        <v>35</v>
      </c>
      <c r="M256" s="4">
        <f t="shared" si="15"/>
        <v>2189.9699999999998</v>
      </c>
      <c r="N256" s="4">
        <v>2189.9699999999998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>
        <v>0</v>
      </c>
      <c r="U256">
        <v>0</v>
      </c>
      <c r="W256">
        <v>0</v>
      </c>
      <c r="X256" t="s">
        <v>36</v>
      </c>
      <c r="AC256" t="s">
        <v>37</v>
      </c>
      <c r="AD256" t="s">
        <v>38</v>
      </c>
      <c r="AE256" s="4">
        <f t="shared" si="16"/>
        <v>2189.9699999999998</v>
      </c>
      <c r="AF256">
        <f t="shared" si="13"/>
        <v>0</v>
      </c>
      <c r="AG256" s="4">
        <f t="shared" si="14"/>
        <v>2189.9699999999998</v>
      </c>
      <c r="AI256" t="s">
        <v>47</v>
      </c>
    </row>
    <row r="257" spans="1:35" x14ac:dyDescent="0.3">
      <c r="A257" t="s">
        <v>43</v>
      </c>
      <c r="B257" t="s">
        <v>43</v>
      </c>
      <c r="C257" t="s">
        <v>44</v>
      </c>
      <c r="D257" t="s">
        <v>155</v>
      </c>
      <c r="E257">
        <v>266</v>
      </c>
      <c r="F257" s="6" t="s">
        <v>453</v>
      </c>
      <c r="G257" s="6" t="s">
        <v>60</v>
      </c>
      <c r="H257" s="9">
        <v>46055</v>
      </c>
      <c r="I257" s="2">
        <v>46149</v>
      </c>
      <c r="J257" s="6" t="s">
        <v>33</v>
      </c>
      <c r="K257" s="6" t="s">
        <v>34</v>
      </c>
      <c r="L257" s="6" t="s">
        <v>35</v>
      </c>
      <c r="M257" s="4">
        <f t="shared" si="15"/>
        <v>3952.4599999999996</v>
      </c>
      <c r="N257" s="4">
        <v>2189.9699999999998</v>
      </c>
      <c r="O257" s="4">
        <v>837.66</v>
      </c>
      <c r="P257" s="4">
        <v>799.64</v>
      </c>
      <c r="Q257" s="4">
        <v>125.19</v>
      </c>
      <c r="R257" s="4">
        <v>243.95574419999997</v>
      </c>
      <c r="S257" s="4">
        <v>243.95574419999997</v>
      </c>
      <c r="T257">
        <v>0</v>
      </c>
      <c r="U257">
        <v>0</v>
      </c>
      <c r="W257">
        <v>0</v>
      </c>
      <c r="X257" t="s">
        <v>36</v>
      </c>
      <c r="AC257" t="s">
        <v>37</v>
      </c>
      <c r="AD257" t="s">
        <v>38</v>
      </c>
      <c r="AE257" s="4">
        <f t="shared" si="16"/>
        <v>3952.4599999999996</v>
      </c>
      <c r="AF257">
        <f t="shared" si="13"/>
        <v>0</v>
      </c>
      <c r="AG257" s="4">
        <f t="shared" si="14"/>
        <v>3952.4599999999996</v>
      </c>
      <c r="AI257" t="s">
        <v>47</v>
      </c>
    </row>
    <row r="258" spans="1:35" x14ac:dyDescent="0.3">
      <c r="A258" t="s">
        <v>40</v>
      </c>
      <c r="B258" t="s">
        <v>750</v>
      </c>
      <c r="C258" t="s">
        <v>30</v>
      </c>
      <c r="D258" t="s">
        <v>91</v>
      </c>
      <c r="E258">
        <v>267</v>
      </c>
      <c r="F258" s="6" t="s">
        <v>560</v>
      </c>
      <c r="G258" s="6" t="s">
        <v>93</v>
      </c>
      <c r="H258" s="9">
        <v>46055</v>
      </c>
      <c r="J258" s="6" t="s">
        <v>52</v>
      </c>
      <c r="K258" s="6" t="s">
        <v>34</v>
      </c>
      <c r="L258" s="6" t="s">
        <v>35</v>
      </c>
      <c r="M258" s="4">
        <f t="shared" si="15"/>
        <v>6554.35</v>
      </c>
      <c r="N258" s="4">
        <v>2819.39</v>
      </c>
      <c r="O258" s="4">
        <v>1170.29</v>
      </c>
      <c r="P258" s="4">
        <v>2201.08</v>
      </c>
      <c r="Q258" s="4">
        <v>363.59</v>
      </c>
      <c r="R258" s="4">
        <v>939.78162630000008</v>
      </c>
      <c r="S258" s="4">
        <v>939.78162630000008</v>
      </c>
      <c r="T258">
        <v>950</v>
      </c>
      <c r="U258">
        <v>0</v>
      </c>
      <c r="W258" t="s">
        <v>36</v>
      </c>
      <c r="X258" t="s">
        <v>36</v>
      </c>
      <c r="AC258" t="s">
        <v>37</v>
      </c>
      <c r="AD258" t="s">
        <v>38</v>
      </c>
      <c r="AE258" s="4">
        <f t="shared" si="16"/>
        <v>7504.35</v>
      </c>
      <c r="AF258">
        <f t="shared" si="13"/>
        <v>0</v>
      </c>
      <c r="AG258" s="4">
        <f t="shared" si="14"/>
        <v>7504.35</v>
      </c>
      <c r="AI258" t="s">
        <v>39</v>
      </c>
    </row>
    <row r="259" spans="1:35" x14ac:dyDescent="0.3">
      <c r="A259" t="s">
        <v>43</v>
      </c>
      <c r="B259" t="s">
        <v>43</v>
      </c>
      <c r="C259" t="s">
        <v>44</v>
      </c>
      <c r="E259">
        <v>268</v>
      </c>
      <c r="F259" s="6" t="s">
        <v>420</v>
      </c>
      <c r="G259" s="6" t="s">
        <v>71</v>
      </c>
      <c r="H259" s="9">
        <v>46055</v>
      </c>
      <c r="J259" s="6" t="s">
        <v>52</v>
      </c>
      <c r="K259" s="6" t="s">
        <v>34</v>
      </c>
      <c r="L259" s="6" t="s">
        <v>35</v>
      </c>
      <c r="M259" s="4">
        <f t="shared" si="15"/>
        <v>6142.48</v>
      </c>
      <c r="N259" s="4">
        <v>2801.97</v>
      </c>
      <c r="O259" s="4">
        <v>1692.5599999999997</v>
      </c>
      <c r="P259" s="4">
        <v>1191.03</v>
      </c>
      <c r="Q259" s="4">
        <v>456.92</v>
      </c>
      <c r="R259" s="4">
        <v>1035.4670550000001</v>
      </c>
      <c r="S259" s="4">
        <v>1035.4670550000001</v>
      </c>
      <c r="T259">
        <v>950</v>
      </c>
      <c r="U259">
        <v>0</v>
      </c>
      <c r="W259" t="s">
        <v>36</v>
      </c>
      <c r="X259" t="s">
        <v>36</v>
      </c>
      <c r="AC259" t="s">
        <v>37</v>
      </c>
      <c r="AD259" t="s">
        <v>38</v>
      </c>
      <c r="AE259" s="4">
        <f t="shared" si="16"/>
        <v>7092.48</v>
      </c>
      <c r="AF259">
        <f t="shared" ref="AF259:AF322" si="17">U259+Y259</f>
        <v>0</v>
      </c>
      <c r="AG259" s="4">
        <f t="shared" ref="AG259:AG322" si="18">AF259+AE259</f>
        <v>7092.48</v>
      </c>
      <c r="AI259" t="s">
        <v>47</v>
      </c>
    </row>
    <row r="260" spans="1:35" x14ac:dyDescent="0.3">
      <c r="A260" t="s">
        <v>40</v>
      </c>
      <c r="B260" t="s">
        <v>750</v>
      </c>
      <c r="C260" t="s">
        <v>30</v>
      </c>
      <c r="D260" t="s">
        <v>116</v>
      </c>
      <c r="E260">
        <v>269</v>
      </c>
      <c r="F260" s="6" t="s">
        <v>260</v>
      </c>
      <c r="G260" s="6" t="s">
        <v>93</v>
      </c>
      <c r="H260" s="9">
        <v>46055</v>
      </c>
      <c r="J260" s="6" t="s">
        <v>52</v>
      </c>
      <c r="K260" s="6" t="s">
        <v>34</v>
      </c>
      <c r="L260" s="6" t="s">
        <v>35</v>
      </c>
      <c r="M260" s="4">
        <f t="shared" ref="M260:M323" si="19">N260+O260+P260+Q260-S260+R260</f>
        <v>4924.6100000000006</v>
      </c>
      <c r="N260" s="4">
        <v>2819.39</v>
      </c>
      <c r="O260" s="4">
        <v>1112.3700000000001</v>
      </c>
      <c r="P260" s="4">
        <v>649.04</v>
      </c>
      <c r="Q260" s="4">
        <v>343.81</v>
      </c>
      <c r="R260" s="4">
        <v>843.01275240000007</v>
      </c>
      <c r="S260" s="4">
        <v>843.01275240000007</v>
      </c>
      <c r="T260">
        <v>950</v>
      </c>
      <c r="U260">
        <v>0</v>
      </c>
      <c r="W260" t="s">
        <v>36</v>
      </c>
      <c r="X260" t="s">
        <v>36</v>
      </c>
      <c r="AC260" t="s">
        <v>37</v>
      </c>
      <c r="AD260" t="s">
        <v>38</v>
      </c>
      <c r="AE260" s="4">
        <f t="shared" ref="AE260:AE323" si="20">M260+T260+V260</f>
        <v>5874.6100000000006</v>
      </c>
      <c r="AF260">
        <f t="shared" si="17"/>
        <v>0</v>
      </c>
      <c r="AG260" s="4">
        <f t="shared" si="18"/>
        <v>5874.6100000000006</v>
      </c>
      <c r="AI260" t="s">
        <v>39</v>
      </c>
    </row>
    <row r="261" spans="1:35" x14ac:dyDescent="0.3">
      <c r="A261" t="s">
        <v>43</v>
      </c>
      <c r="B261" t="s">
        <v>43</v>
      </c>
      <c r="C261" t="s">
        <v>44</v>
      </c>
      <c r="D261" t="s">
        <v>81</v>
      </c>
      <c r="E261">
        <v>270</v>
      </c>
      <c r="F261" s="6" t="s">
        <v>468</v>
      </c>
      <c r="G261" s="6" t="s">
        <v>71</v>
      </c>
      <c r="H261" s="9">
        <v>46055</v>
      </c>
      <c r="I261" s="2">
        <v>46105</v>
      </c>
      <c r="J261" s="6" t="s">
        <v>33</v>
      </c>
      <c r="K261" s="6" t="s">
        <v>34</v>
      </c>
      <c r="L261" s="6" t="s">
        <v>35</v>
      </c>
      <c r="M261" s="4">
        <f t="shared" si="19"/>
        <v>2664.74</v>
      </c>
      <c r="N261" s="4">
        <v>2664.74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>
        <v>0</v>
      </c>
      <c r="U261">
        <v>0</v>
      </c>
      <c r="W261">
        <v>0</v>
      </c>
      <c r="X261" t="s">
        <v>36</v>
      </c>
      <c r="AC261" t="s">
        <v>37</v>
      </c>
      <c r="AD261" t="s">
        <v>38</v>
      </c>
      <c r="AE261" s="4">
        <f t="shared" si="20"/>
        <v>2664.74</v>
      </c>
      <c r="AF261">
        <f t="shared" si="17"/>
        <v>0</v>
      </c>
      <c r="AG261" s="4">
        <f t="shared" si="18"/>
        <v>2664.74</v>
      </c>
      <c r="AI261" t="s">
        <v>47</v>
      </c>
    </row>
    <row r="262" spans="1:35" x14ac:dyDescent="0.3">
      <c r="A262" t="s">
        <v>43</v>
      </c>
      <c r="B262" t="s">
        <v>43</v>
      </c>
      <c r="C262" t="s">
        <v>44</v>
      </c>
      <c r="D262" t="s">
        <v>116</v>
      </c>
      <c r="E262">
        <v>271</v>
      </c>
      <c r="F262" s="6" t="s">
        <v>117</v>
      </c>
      <c r="G262" s="6" t="s">
        <v>60</v>
      </c>
      <c r="H262" s="9">
        <v>46055</v>
      </c>
      <c r="J262" s="6" t="s">
        <v>52</v>
      </c>
      <c r="K262" s="6" t="s">
        <v>34</v>
      </c>
      <c r="L262" s="6" t="s">
        <v>35</v>
      </c>
      <c r="M262" s="4">
        <f t="shared" si="19"/>
        <v>3310.9100000000003</v>
      </c>
      <c r="N262" s="4">
        <v>2302.75</v>
      </c>
      <c r="O262" s="4">
        <v>250.43</v>
      </c>
      <c r="P262" s="4">
        <v>549.20000000000005</v>
      </c>
      <c r="Q262" s="4">
        <v>208.53</v>
      </c>
      <c r="R262" s="4">
        <v>627.72631199999989</v>
      </c>
      <c r="S262" s="4">
        <v>627.72631199999989</v>
      </c>
      <c r="T262">
        <v>836</v>
      </c>
      <c r="U262">
        <v>0</v>
      </c>
      <c r="W262" t="s">
        <v>36</v>
      </c>
      <c r="X262" t="s">
        <v>36</v>
      </c>
      <c r="AC262" t="s">
        <v>37</v>
      </c>
      <c r="AD262" t="s">
        <v>38</v>
      </c>
      <c r="AE262" s="4">
        <f t="shared" si="20"/>
        <v>4146.91</v>
      </c>
      <c r="AF262">
        <f t="shared" si="17"/>
        <v>0</v>
      </c>
      <c r="AG262" s="4">
        <f t="shared" si="18"/>
        <v>4146.91</v>
      </c>
      <c r="AI262" t="s">
        <v>39</v>
      </c>
    </row>
    <row r="263" spans="1:35" x14ac:dyDescent="0.3">
      <c r="A263" t="s">
        <v>43</v>
      </c>
      <c r="B263" t="s">
        <v>43</v>
      </c>
      <c r="C263" t="s">
        <v>44</v>
      </c>
      <c r="D263" t="s">
        <v>116</v>
      </c>
      <c r="E263">
        <v>272</v>
      </c>
      <c r="F263" s="6" t="s">
        <v>424</v>
      </c>
      <c r="G263" s="6" t="s">
        <v>267</v>
      </c>
      <c r="H263" s="9">
        <v>46055</v>
      </c>
      <c r="J263" s="6" t="s">
        <v>52</v>
      </c>
      <c r="K263" s="6" t="s">
        <v>34</v>
      </c>
      <c r="L263" s="6" t="s">
        <v>35</v>
      </c>
      <c r="M263" s="4">
        <f t="shared" si="19"/>
        <v>4452.16</v>
      </c>
      <c r="N263" s="4">
        <v>3049.35</v>
      </c>
      <c r="O263" s="4">
        <v>773.40000000000009</v>
      </c>
      <c r="P263" s="4">
        <v>300</v>
      </c>
      <c r="Q263" s="4">
        <v>329.41</v>
      </c>
      <c r="R263" s="4">
        <v>773.40349800000001</v>
      </c>
      <c r="S263" s="4">
        <v>773.40349800000001</v>
      </c>
      <c r="T263">
        <v>798</v>
      </c>
      <c r="U263">
        <v>0</v>
      </c>
      <c r="W263" t="s">
        <v>36</v>
      </c>
      <c r="X263" t="s">
        <v>36</v>
      </c>
      <c r="Y263" s="6">
        <v>5000</v>
      </c>
      <c r="AC263" t="s">
        <v>37</v>
      </c>
      <c r="AD263" t="s">
        <v>38</v>
      </c>
      <c r="AE263" s="4">
        <f t="shared" si="20"/>
        <v>5250.16</v>
      </c>
      <c r="AF263">
        <f t="shared" si="17"/>
        <v>5000</v>
      </c>
      <c r="AG263" s="4">
        <f t="shared" si="18"/>
        <v>10250.16</v>
      </c>
      <c r="AI263" t="s">
        <v>39</v>
      </c>
    </row>
    <row r="264" spans="1:35" x14ac:dyDescent="0.3">
      <c r="A264" t="s">
        <v>43</v>
      </c>
      <c r="B264" t="s">
        <v>43</v>
      </c>
      <c r="C264" t="s">
        <v>44</v>
      </c>
      <c r="D264" t="s">
        <v>116</v>
      </c>
      <c r="E264">
        <v>273</v>
      </c>
      <c r="F264" s="6" t="s">
        <v>568</v>
      </c>
      <c r="G264" s="6" t="s">
        <v>60</v>
      </c>
      <c r="H264" s="9">
        <v>46055</v>
      </c>
      <c r="I264" s="2">
        <v>46128</v>
      </c>
      <c r="J264" s="6" t="s">
        <v>33</v>
      </c>
      <c r="K264" s="6" t="s">
        <v>34</v>
      </c>
      <c r="L264" s="6" t="s">
        <v>35</v>
      </c>
      <c r="M264" s="4">
        <f t="shared" si="19"/>
        <v>2189.9699999999998</v>
      </c>
      <c r="N264" s="4">
        <v>2189.9699999999998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>
        <v>0</v>
      </c>
      <c r="U264">
        <v>0</v>
      </c>
      <c r="W264">
        <v>0</v>
      </c>
      <c r="X264" t="s">
        <v>36</v>
      </c>
      <c r="AC264" t="s">
        <v>37</v>
      </c>
      <c r="AD264" t="s">
        <v>38</v>
      </c>
      <c r="AE264" s="4">
        <f t="shared" si="20"/>
        <v>2189.9699999999998</v>
      </c>
      <c r="AF264">
        <f t="shared" si="17"/>
        <v>0</v>
      </c>
      <c r="AG264" s="4">
        <f t="shared" si="18"/>
        <v>2189.9699999999998</v>
      </c>
      <c r="AI264" t="s">
        <v>47</v>
      </c>
    </row>
    <row r="265" spans="1:35" x14ac:dyDescent="0.3">
      <c r="A265" t="s">
        <v>43</v>
      </c>
      <c r="B265" t="s">
        <v>43</v>
      </c>
      <c r="C265" t="s">
        <v>44</v>
      </c>
      <c r="D265" t="s">
        <v>138</v>
      </c>
      <c r="E265">
        <v>274</v>
      </c>
      <c r="F265" s="6" t="s">
        <v>574</v>
      </c>
      <c r="G265" s="6" t="s">
        <v>106</v>
      </c>
      <c r="H265" s="9">
        <v>46055</v>
      </c>
      <c r="I265" s="2">
        <v>46126</v>
      </c>
      <c r="J265" s="6" t="s">
        <v>33</v>
      </c>
      <c r="K265" s="6" t="s">
        <v>34</v>
      </c>
      <c r="L265" s="6" t="s">
        <v>35</v>
      </c>
      <c r="M265" s="4">
        <f t="shared" si="19"/>
        <v>4452</v>
      </c>
      <c r="N265" s="4">
        <v>4452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>
        <v>0</v>
      </c>
      <c r="U265">
        <v>0</v>
      </c>
      <c r="W265">
        <v>0</v>
      </c>
      <c r="X265" t="s">
        <v>36</v>
      </c>
      <c r="AC265" t="s">
        <v>53</v>
      </c>
      <c r="AD265" t="s">
        <v>38</v>
      </c>
      <c r="AE265" s="4">
        <f t="shared" si="20"/>
        <v>4452</v>
      </c>
      <c r="AF265">
        <f t="shared" si="17"/>
        <v>0</v>
      </c>
      <c r="AG265" s="4">
        <f t="shared" si="18"/>
        <v>4452</v>
      </c>
      <c r="AI265" t="s">
        <v>47</v>
      </c>
    </row>
    <row r="266" spans="1:35" x14ac:dyDescent="0.3">
      <c r="A266" t="s">
        <v>43</v>
      </c>
      <c r="B266" t="s">
        <v>43</v>
      </c>
      <c r="C266" t="s">
        <v>44</v>
      </c>
      <c r="D266" t="s">
        <v>127</v>
      </c>
      <c r="E266">
        <v>275</v>
      </c>
      <c r="F266" s="6" t="s">
        <v>157</v>
      </c>
      <c r="G266" s="6" t="s">
        <v>106</v>
      </c>
      <c r="H266" s="9">
        <v>46055</v>
      </c>
      <c r="J266" s="6" t="s">
        <v>52</v>
      </c>
      <c r="K266" s="6" t="s">
        <v>34</v>
      </c>
      <c r="L266" s="6" t="s">
        <v>35</v>
      </c>
      <c r="M266" s="4">
        <f t="shared" si="19"/>
        <v>10738.14</v>
      </c>
      <c r="N266" s="4">
        <v>4681.28</v>
      </c>
      <c r="O266" s="4">
        <v>3752.2799999999997</v>
      </c>
      <c r="P266" s="4">
        <v>643.39</v>
      </c>
      <c r="Q266" s="4">
        <v>1661.19</v>
      </c>
      <c r="R266" s="4">
        <v>1857.7452699</v>
      </c>
      <c r="S266" s="4">
        <v>1857.7452699</v>
      </c>
      <c r="T266">
        <v>950</v>
      </c>
      <c r="U266">
        <v>0</v>
      </c>
      <c r="W266" t="s">
        <v>36</v>
      </c>
      <c r="X266" t="s">
        <v>36</v>
      </c>
      <c r="Y266" s="6">
        <v>15000</v>
      </c>
      <c r="AC266" t="s">
        <v>53</v>
      </c>
      <c r="AD266" t="s">
        <v>38</v>
      </c>
      <c r="AE266" s="4">
        <f t="shared" si="20"/>
        <v>11688.14</v>
      </c>
      <c r="AF266">
        <f t="shared" si="17"/>
        <v>15000</v>
      </c>
      <c r="AG266" s="4">
        <f t="shared" si="18"/>
        <v>26688.14</v>
      </c>
      <c r="AI266" t="s">
        <v>47</v>
      </c>
    </row>
    <row r="267" spans="1:35" x14ac:dyDescent="0.3">
      <c r="A267" t="s">
        <v>43</v>
      </c>
      <c r="B267" t="s">
        <v>43</v>
      </c>
      <c r="C267" t="s">
        <v>44</v>
      </c>
      <c r="D267" t="s">
        <v>218</v>
      </c>
      <c r="E267">
        <v>276</v>
      </c>
      <c r="F267" s="6" t="s">
        <v>283</v>
      </c>
      <c r="G267" s="6" t="s">
        <v>60</v>
      </c>
      <c r="H267" s="9">
        <v>46055</v>
      </c>
      <c r="J267" s="6" t="s">
        <v>52</v>
      </c>
      <c r="K267" s="6" t="s">
        <v>34</v>
      </c>
      <c r="L267" s="6" t="s">
        <v>35</v>
      </c>
      <c r="M267" s="4">
        <f t="shared" si="19"/>
        <v>5481.84</v>
      </c>
      <c r="N267" s="4">
        <v>2302.75</v>
      </c>
      <c r="O267" s="4">
        <v>1710.53</v>
      </c>
      <c r="P267" s="4">
        <v>1073</v>
      </c>
      <c r="Q267" s="4">
        <v>395.56</v>
      </c>
      <c r="R267" s="4">
        <v>934.30350900000008</v>
      </c>
      <c r="S267" s="4">
        <v>934.30350900000008</v>
      </c>
      <c r="T267">
        <v>950</v>
      </c>
      <c r="U267">
        <v>0</v>
      </c>
      <c r="W267" t="s">
        <v>36</v>
      </c>
      <c r="X267" t="s">
        <v>36</v>
      </c>
      <c r="AC267" t="s">
        <v>37</v>
      </c>
      <c r="AD267" t="s">
        <v>38</v>
      </c>
      <c r="AE267" s="4">
        <f t="shared" si="20"/>
        <v>6431.84</v>
      </c>
      <c r="AF267">
        <f t="shared" si="17"/>
        <v>0</v>
      </c>
      <c r="AG267" s="4">
        <f t="shared" si="18"/>
        <v>6431.84</v>
      </c>
      <c r="AI267" t="s">
        <v>47</v>
      </c>
    </row>
    <row r="268" spans="1:35" x14ac:dyDescent="0.3">
      <c r="A268" t="s">
        <v>43</v>
      </c>
      <c r="B268" t="s">
        <v>43</v>
      </c>
      <c r="C268" t="s">
        <v>44</v>
      </c>
      <c r="E268">
        <v>277</v>
      </c>
      <c r="F268" s="6" t="s">
        <v>651</v>
      </c>
      <c r="G268" s="6" t="s">
        <v>136</v>
      </c>
      <c r="H268" s="9">
        <v>46055</v>
      </c>
      <c r="J268" s="6" t="s">
        <v>52</v>
      </c>
      <c r="K268" s="6" t="s">
        <v>34</v>
      </c>
      <c r="L268" s="6" t="s">
        <v>35</v>
      </c>
      <c r="M268" s="4">
        <f t="shared" si="19"/>
        <v>5101.62</v>
      </c>
      <c r="N268" s="4">
        <v>2801.97</v>
      </c>
      <c r="O268" s="4">
        <v>982.77</v>
      </c>
      <c r="P268" s="4">
        <v>973.12</v>
      </c>
      <c r="Q268" s="4">
        <v>343.76</v>
      </c>
      <c r="R268" s="4">
        <v>896.93094869999993</v>
      </c>
      <c r="S268" s="4">
        <v>896.93094869999993</v>
      </c>
      <c r="T268">
        <v>912</v>
      </c>
      <c r="U268">
        <v>0</v>
      </c>
      <c r="W268" t="s">
        <v>36</v>
      </c>
      <c r="X268" t="s">
        <v>36</v>
      </c>
      <c r="AC268" t="s">
        <v>37</v>
      </c>
      <c r="AD268" t="s">
        <v>38</v>
      </c>
      <c r="AE268" s="4">
        <f t="shared" si="20"/>
        <v>6013.62</v>
      </c>
      <c r="AF268">
        <f t="shared" si="17"/>
        <v>0</v>
      </c>
      <c r="AG268" s="4">
        <f t="shared" si="18"/>
        <v>6013.62</v>
      </c>
      <c r="AI268" t="s">
        <v>47</v>
      </c>
    </row>
    <row r="269" spans="1:35" x14ac:dyDescent="0.3">
      <c r="A269" t="s">
        <v>43</v>
      </c>
      <c r="B269" t="s">
        <v>43</v>
      </c>
      <c r="C269" t="s">
        <v>44</v>
      </c>
      <c r="E269">
        <v>278</v>
      </c>
      <c r="F269" s="6" t="s">
        <v>640</v>
      </c>
      <c r="G269" s="6" t="s">
        <v>60</v>
      </c>
      <c r="H269" s="9">
        <v>46055</v>
      </c>
      <c r="I269" s="2">
        <v>46149</v>
      </c>
      <c r="J269" s="6" t="s">
        <v>33</v>
      </c>
      <c r="K269" s="6" t="s">
        <v>34</v>
      </c>
      <c r="L269" s="6" t="s">
        <v>35</v>
      </c>
      <c r="M269" s="4">
        <f t="shared" si="19"/>
        <v>3469.13</v>
      </c>
      <c r="N269" s="4">
        <v>2189.9699999999998</v>
      </c>
      <c r="O269" s="4">
        <v>653.66999999999996</v>
      </c>
      <c r="P269" s="4">
        <v>525.48</v>
      </c>
      <c r="Q269" s="4">
        <v>100.01</v>
      </c>
      <c r="R269" s="4">
        <v>205.32336389999998</v>
      </c>
      <c r="S269" s="4">
        <v>205.32336389999998</v>
      </c>
      <c r="T269">
        <v>0</v>
      </c>
      <c r="U269">
        <v>0</v>
      </c>
      <c r="W269">
        <v>0</v>
      </c>
      <c r="X269" t="s">
        <v>36</v>
      </c>
      <c r="AC269" t="s">
        <v>37</v>
      </c>
      <c r="AD269" t="s">
        <v>38</v>
      </c>
      <c r="AE269" s="4">
        <f t="shared" si="20"/>
        <v>3469.13</v>
      </c>
      <c r="AF269">
        <f t="shared" si="17"/>
        <v>0</v>
      </c>
      <c r="AG269" s="4">
        <f t="shared" si="18"/>
        <v>3469.13</v>
      </c>
      <c r="AI269" t="s">
        <v>47</v>
      </c>
    </row>
    <row r="270" spans="1:35" x14ac:dyDescent="0.3">
      <c r="A270" t="s">
        <v>43</v>
      </c>
      <c r="B270" t="s">
        <v>43</v>
      </c>
      <c r="C270" t="s">
        <v>44</v>
      </c>
      <c r="D270" t="s">
        <v>218</v>
      </c>
      <c r="E270">
        <v>279</v>
      </c>
      <c r="F270" s="6" t="s">
        <v>431</v>
      </c>
      <c r="G270" s="6" t="s">
        <v>60</v>
      </c>
      <c r="H270" s="9">
        <v>46055</v>
      </c>
      <c r="I270" s="2">
        <v>46083</v>
      </c>
      <c r="J270" s="6" t="s">
        <v>33</v>
      </c>
      <c r="K270" s="6" t="s">
        <v>34</v>
      </c>
      <c r="L270" s="6" t="s">
        <v>35</v>
      </c>
      <c r="M270" s="4">
        <f t="shared" si="19"/>
        <v>2189.9699999999998</v>
      </c>
      <c r="N270" s="4">
        <v>2189.9699999999998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>
        <v>0</v>
      </c>
      <c r="U270">
        <v>0</v>
      </c>
      <c r="W270">
        <v>0</v>
      </c>
      <c r="X270" t="s">
        <v>36</v>
      </c>
      <c r="AC270" t="s">
        <v>37</v>
      </c>
      <c r="AD270" t="s">
        <v>38</v>
      </c>
      <c r="AE270" s="4">
        <f t="shared" si="20"/>
        <v>2189.9699999999998</v>
      </c>
      <c r="AF270">
        <f t="shared" si="17"/>
        <v>0</v>
      </c>
      <c r="AG270" s="4">
        <f t="shared" si="18"/>
        <v>2189.9699999999998</v>
      </c>
      <c r="AI270" t="s">
        <v>47</v>
      </c>
    </row>
    <row r="271" spans="1:35" x14ac:dyDescent="0.3">
      <c r="A271" t="s">
        <v>43</v>
      </c>
      <c r="B271" t="s">
        <v>43</v>
      </c>
      <c r="C271" t="s">
        <v>44</v>
      </c>
      <c r="E271">
        <v>280</v>
      </c>
      <c r="F271" s="6" t="s">
        <v>250</v>
      </c>
      <c r="G271" s="6" t="s">
        <v>251</v>
      </c>
      <c r="H271" s="9">
        <v>46062</v>
      </c>
      <c r="J271" s="6" t="s">
        <v>52</v>
      </c>
      <c r="K271" s="6" t="s">
        <v>34</v>
      </c>
      <c r="L271" s="6" t="s">
        <v>35</v>
      </c>
      <c r="M271" s="4">
        <f t="shared" si="19"/>
        <v>6663.67</v>
      </c>
      <c r="N271" s="4">
        <v>3049.35</v>
      </c>
      <c r="O271" s="4">
        <v>2713.41</v>
      </c>
      <c r="P271" s="4">
        <v>311.94</v>
      </c>
      <c r="Q271" s="4">
        <v>588.97</v>
      </c>
      <c r="R271" s="4">
        <v>1244.1457394999998</v>
      </c>
      <c r="S271" s="4">
        <v>1244.1457394999998</v>
      </c>
      <c r="T271">
        <v>950</v>
      </c>
      <c r="U271">
        <v>0</v>
      </c>
      <c r="V271">
        <v>600</v>
      </c>
      <c r="W271">
        <v>0</v>
      </c>
      <c r="X271">
        <v>0</v>
      </c>
      <c r="Y271" s="6">
        <v>2900</v>
      </c>
      <c r="AC271" t="s">
        <v>37</v>
      </c>
      <c r="AD271" t="s">
        <v>38</v>
      </c>
      <c r="AE271" s="4">
        <f t="shared" si="20"/>
        <v>8213.67</v>
      </c>
      <c r="AF271">
        <f t="shared" si="17"/>
        <v>2900</v>
      </c>
      <c r="AG271" s="4">
        <f t="shared" si="18"/>
        <v>11113.67</v>
      </c>
      <c r="AI271" t="s">
        <v>47</v>
      </c>
    </row>
    <row r="272" spans="1:35" x14ac:dyDescent="0.3">
      <c r="A272" t="s">
        <v>43</v>
      </c>
      <c r="B272" t="s">
        <v>43</v>
      </c>
      <c r="C272" t="s">
        <v>44</v>
      </c>
      <c r="D272" t="s">
        <v>127</v>
      </c>
      <c r="E272">
        <v>281</v>
      </c>
      <c r="F272" s="6" t="s">
        <v>539</v>
      </c>
      <c r="G272" s="6" t="s">
        <v>60</v>
      </c>
      <c r="H272" s="9">
        <v>46062</v>
      </c>
      <c r="J272" s="6" t="s">
        <v>52</v>
      </c>
      <c r="K272" s="6" t="s">
        <v>34</v>
      </c>
      <c r="L272" s="6" t="s">
        <v>35</v>
      </c>
      <c r="M272" s="4">
        <f t="shared" si="19"/>
        <v>4481.88</v>
      </c>
      <c r="N272" s="4">
        <v>2302.75</v>
      </c>
      <c r="O272" s="4">
        <v>362.66</v>
      </c>
      <c r="P272" s="4">
        <v>1581.8700000000001</v>
      </c>
      <c r="Q272" s="4">
        <v>234.6</v>
      </c>
      <c r="R272" s="4">
        <v>635.54349509999986</v>
      </c>
      <c r="S272" s="4">
        <v>635.54349509999986</v>
      </c>
      <c r="T272">
        <v>874</v>
      </c>
      <c r="U272">
        <v>0</v>
      </c>
      <c r="W272" t="s">
        <v>36</v>
      </c>
      <c r="X272" t="s">
        <v>36</v>
      </c>
      <c r="AC272" t="s">
        <v>37</v>
      </c>
      <c r="AD272" t="s">
        <v>38</v>
      </c>
      <c r="AE272" s="4">
        <f t="shared" si="20"/>
        <v>5355.88</v>
      </c>
      <c r="AF272">
        <f t="shared" si="17"/>
        <v>0</v>
      </c>
      <c r="AG272" s="4">
        <f t="shared" si="18"/>
        <v>5355.88</v>
      </c>
      <c r="AI272" t="s">
        <v>47</v>
      </c>
    </row>
    <row r="273" spans="1:35" x14ac:dyDescent="0.3">
      <c r="A273" t="s">
        <v>43</v>
      </c>
      <c r="B273" t="s">
        <v>43</v>
      </c>
      <c r="C273" t="s">
        <v>44</v>
      </c>
      <c r="D273" t="s">
        <v>132</v>
      </c>
      <c r="E273">
        <v>282</v>
      </c>
      <c r="F273" s="6" t="s">
        <v>457</v>
      </c>
      <c r="G273" s="6" t="s">
        <v>71</v>
      </c>
      <c r="H273" s="9">
        <v>46062</v>
      </c>
      <c r="I273" s="2">
        <v>46150</v>
      </c>
      <c r="J273" s="6" t="s">
        <v>33</v>
      </c>
      <c r="K273" s="6" t="s">
        <v>34</v>
      </c>
      <c r="L273" s="6" t="s">
        <v>35</v>
      </c>
      <c r="M273" s="4">
        <f t="shared" si="19"/>
        <v>3950.0299999999993</v>
      </c>
      <c r="N273" s="4">
        <v>2664.74</v>
      </c>
      <c r="O273" s="4">
        <v>910.19999999999993</v>
      </c>
      <c r="P273" s="4">
        <v>324.2</v>
      </c>
      <c r="Q273" s="4">
        <v>50.89</v>
      </c>
      <c r="R273" s="4">
        <v>259.18696799999998</v>
      </c>
      <c r="S273" s="4">
        <v>259.18696799999998</v>
      </c>
      <c r="T273">
        <v>0</v>
      </c>
      <c r="U273">
        <v>0</v>
      </c>
      <c r="W273">
        <v>0</v>
      </c>
      <c r="X273" t="s">
        <v>36</v>
      </c>
      <c r="AC273" t="s">
        <v>37</v>
      </c>
      <c r="AD273" t="s">
        <v>38</v>
      </c>
      <c r="AE273" s="4">
        <f t="shared" si="20"/>
        <v>3950.0299999999993</v>
      </c>
      <c r="AF273">
        <f t="shared" si="17"/>
        <v>0</v>
      </c>
      <c r="AG273" s="4">
        <f t="shared" si="18"/>
        <v>3950.0299999999993</v>
      </c>
      <c r="AI273" t="s">
        <v>47</v>
      </c>
    </row>
    <row r="274" spans="1:35" x14ac:dyDescent="0.3">
      <c r="A274" t="s">
        <v>43</v>
      </c>
      <c r="B274" t="s">
        <v>43</v>
      </c>
      <c r="C274" t="s">
        <v>44</v>
      </c>
      <c r="D274" t="s">
        <v>155</v>
      </c>
      <c r="E274">
        <v>283</v>
      </c>
      <c r="F274" s="6" t="s">
        <v>355</v>
      </c>
      <c r="G274" s="6" t="s">
        <v>71</v>
      </c>
      <c r="H274" s="9">
        <v>46062</v>
      </c>
      <c r="J274" s="6" t="s">
        <v>112</v>
      </c>
      <c r="K274" s="6" t="s">
        <v>34</v>
      </c>
      <c r="L274" s="6" t="s">
        <v>35</v>
      </c>
      <c r="M274" s="4">
        <f t="shared" si="19"/>
        <v>3049.2541099999999</v>
      </c>
      <c r="N274" s="4">
        <v>2801.9741099999997</v>
      </c>
      <c r="O274" s="4">
        <v>84.34</v>
      </c>
      <c r="P274" s="4">
        <v>83.33</v>
      </c>
      <c r="Q274" s="4">
        <v>79.61</v>
      </c>
      <c r="R274" s="4">
        <v>35.205669900000004</v>
      </c>
      <c r="S274" s="4">
        <v>35.205669900000004</v>
      </c>
      <c r="T274">
        <v>0</v>
      </c>
      <c r="U274">
        <v>0</v>
      </c>
      <c r="W274" t="s">
        <v>36</v>
      </c>
      <c r="X274" t="s">
        <v>36</v>
      </c>
      <c r="AC274" t="s">
        <v>37</v>
      </c>
      <c r="AD274" t="s">
        <v>38</v>
      </c>
      <c r="AE274" s="4">
        <f t="shared" si="20"/>
        <v>3049.2541099999999</v>
      </c>
      <c r="AF274">
        <f t="shared" si="17"/>
        <v>0</v>
      </c>
      <c r="AG274" s="4">
        <f t="shared" si="18"/>
        <v>3049.2541099999999</v>
      </c>
      <c r="AI274" t="s">
        <v>47</v>
      </c>
    </row>
    <row r="275" spans="1:35" x14ac:dyDescent="0.3">
      <c r="A275" t="s">
        <v>43</v>
      </c>
      <c r="B275" t="s">
        <v>43</v>
      </c>
      <c r="C275" t="s">
        <v>44</v>
      </c>
      <c r="D275" t="s">
        <v>58</v>
      </c>
      <c r="E275">
        <v>284</v>
      </c>
      <c r="F275" s="6" t="s">
        <v>329</v>
      </c>
      <c r="G275" s="6" t="s">
        <v>106</v>
      </c>
      <c r="H275" s="9">
        <v>46062</v>
      </c>
      <c r="I275" s="2">
        <v>46128</v>
      </c>
      <c r="J275" s="6" t="s">
        <v>33</v>
      </c>
      <c r="K275" s="6" t="s">
        <v>34</v>
      </c>
      <c r="L275" s="6" t="s">
        <v>35</v>
      </c>
      <c r="M275" s="4">
        <f t="shared" si="19"/>
        <v>4452</v>
      </c>
      <c r="N275" s="4">
        <v>4452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>
        <v>0</v>
      </c>
      <c r="U275">
        <v>0</v>
      </c>
      <c r="W275">
        <v>0</v>
      </c>
      <c r="X275" t="s">
        <v>36</v>
      </c>
      <c r="AC275" t="s">
        <v>53</v>
      </c>
      <c r="AD275" t="s">
        <v>38</v>
      </c>
      <c r="AE275" s="4">
        <f t="shared" si="20"/>
        <v>4452</v>
      </c>
      <c r="AF275">
        <f t="shared" si="17"/>
        <v>0</v>
      </c>
      <c r="AG275" s="4">
        <f t="shared" si="18"/>
        <v>4452</v>
      </c>
      <c r="AI275" t="s">
        <v>47</v>
      </c>
    </row>
    <row r="276" spans="1:35" x14ac:dyDescent="0.3">
      <c r="A276" t="s">
        <v>43</v>
      </c>
      <c r="B276" t="s">
        <v>43</v>
      </c>
      <c r="C276" t="s">
        <v>44</v>
      </c>
      <c r="E276">
        <v>285</v>
      </c>
      <c r="F276" s="6" t="s">
        <v>105</v>
      </c>
      <c r="G276" s="6" t="s">
        <v>106</v>
      </c>
      <c r="H276" s="9">
        <v>46062</v>
      </c>
      <c r="I276" s="2">
        <v>46129</v>
      </c>
      <c r="J276" s="6" t="s">
        <v>33</v>
      </c>
      <c r="K276" s="6" t="s">
        <v>34</v>
      </c>
      <c r="L276" s="6" t="s">
        <v>35</v>
      </c>
      <c r="M276" s="4">
        <f t="shared" si="19"/>
        <v>4452</v>
      </c>
      <c r="N276" s="4">
        <v>4452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>
        <v>0</v>
      </c>
      <c r="U276">
        <v>0</v>
      </c>
      <c r="W276">
        <v>0</v>
      </c>
      <c r="X276" t="s">
        <v>36</v>
      </c>
      <c r="AC276" t="s">
        <v>53</v>
      </c>
      <c r="AD276" t="s">
        <v>38</v>
      </c>
      <c r="AE276" s="4">
        <f t="shared" si="20"/>
        <v>4452</v>
      </c>
      <c r="AF276">
        <f t="shared" si="17"/>
        <v>0</v>
      </c>
      <c r="AG276" s="4">
        <f t="shared" si="18"/>
        <v>4452</v>
      </c>
      <c r="AI276" t="s">
        <v>47</v>
      </c>
    </row>
    <row r="277" spans="1:35" x14ac:dyDescent="0.3">
      <c r="A277" t="s">
        <v>43</v>
      </c>
      <c r="B277" t="s">
        <v>43</v>
      </c>
      <c r="C277" t="s">
        <v>44</v>
      </c>
      <c r="D277" t="s">
        <v>428</v>
      </c>
      <c r="E277">
        <v>286</v>
      </c>
      <c r="F277" s="6" t="s">
        <v>430</v>
      </c>
      <c r="G277" s="6" t="s">
        <v>106</v>
      </c>
      <c r="H277" s="9">
        <v>46062</v>
      </c>
      <c r="J277" s="6" t="s">
        <v>52</v>
      </c>
      <c r="K277" s="6" t="s">
        <v>34</v>
      </c>
      <c r="L277" s="6" t="s">
        <v>35</v>
      </c>
      <c r="M277" s="4">
        <f t="shared" si="19"/>
        <v>10409.1</v>
      </c>
      <c r="N277" s="4">
        <v>4681.28</v>
      </c>
      <c r="O277" s="4">
        <v>3489.84</v>
      </c>
      <c r="P277" s="4">
        <v>725.24</v>
      </c>
      <c r="Q277" s="4">
        <v>1512.74</v>
      </c>
      <c r="R277" s="4">
        <v>1819.8267876000004</v>
      </c>
      <c r="S277" s="4">
        <v>1819.8267876000004</v>
      </c>
      <c r="T277">
        <v>912</v>
      </c>
      <c r="U277">
        <v>0</v>
      </c>
      <c r="W277" t="s">
        <v>36</v>
      </c>
      <c r="X277" t="s">
        <v>36</v>
      </c>
      <c r="Y277" s="6">
        <v>15000</v>
      </c>
      <c r="AC277" t="s">
        <v>53</v>
      </c>
      <c r="AD277" t="s">
        <v>38</v>
      </c>
      <c r="AE277" s="4">
        <f t="shared" si="20"/>
        <v>11321.1</v>
      </c>
      <c r="AF277">
        <f t="shared" si="17"/>
        <v>15000</v>
      </c>
      <c r="AG277" s="4">
        <f t="shared" si="18"/>
        <v>26321.1</v>
      </c>
      <c r="AI277" t="s">
        <v>47</v>
      </c>
    </row>
    <row r="278" spans="1:35" x14ac:dyDescent="0.3">
      <c r="A278" t="s">
        <v>43</v>
      </c>
      <c r="B278" t="s">
        <v>43</v>
      </c>
      <c r="C278" t="s">
        <v>44</v>
      </c>
      <c r="E278">
        <v>287</v>
      </c>
      <c r="F278" s="6" t="s">
        <v>531</v>
      </c>
      <c r="G278" s="6" t="s">
        <v>60</v>
      </c>
      <c r="H278" s="9">
        <v>46062</v>
      </c>
      <c r="I278" s="2">
        <v>46113</v>
      </c>
      <c r="J278" s="6" t="s">
        <v>33</v>
      </c>
      <c r="K278" s="6" t="s">
        <v>34</v>
      </c>
      <c r="L278" s="6" t="s">
        <v>35</v>
      </c>
      <c r="M278" s="4">
        <f t="shared" si="19"/>
        <v>2189.9699999999998</v>
      </c>
      <c r="N278" s="4">
        <v>2189.9699999999998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>
        <v>0</v>
      </c>
      <c r="U278">
        <v>0</v>
      </c>
      <c r="W278">
        <v>0</v>
      </c>
      <c r="X278" t="s">
        <v>36</v>
      </c>
      <c r="AC278" t="s">
        <v>37</v>
      </c>
      <c r="AD278" t="s">
        <v>38</v>
      </c>
      <c r="AE278" s="4">
        <f t="shared" si="20"/>
        <v>2189.9699999999998</v>
      </c>
      <c r="AF278">
        <f t="shared" si="17"/>
        <v>0</v>
      </c>
      <c r="AG278" s="4">
        <f t="shared" si="18"/>
        <v>2189.9699999999998</v>
      </c>
      <c r="AI278" t="s">
        <v>47</v>
      </c>
    </row>
    <row r="279" spans="1:35" x14ac:dyDescent="0.3">
      <c r="A279" t="s">
        <v>43</v>
      </c>
      <c r="B279" t="s">
        <v>43</v>
      </c>
      <c r="C279" t="s">
        <v>44</v>
      </c>
      <c r="D279" t="s">
        <v>138</v>
      </c>
      <c r="E279">
        <v>288</v>
      </c>
      <c r="F279" s="6" t="s">
        <v>295</v>
      </c>
      <c r="G279" s="6" t="s">
        <v>71</v>
      </c>
      <c r="H279" s="9">
        <v>46065</v>
      </c>
      <c r="J279" s="6" t="s">
        <v>52</v>
      </c>
      <c r="K279" s="6" t="s">
        <v>34</v>
      </c>
      <c r="L279" s="6" t="s">
        <v>35</v>
      </c>
      <c r="M279" s="4">
        <f t="shared" si="19"/>
        <v>7818.59</v>
      </c>
      <c r="N279" s="4">
        <v>2801.97</v>
      </c>
      <c r="O279" s="4">
        <v>3339.96</v>
      </c>
      <c r="P279" s="4">
        <v>743.25</v>
      </c>
      <c r="Q279" s="4">
        <v>933.41</v>
      </c>
      <c r="R279" s="4">
        <v>1416.8670615000001</v>
      </c>
      <c r="S279" s="4">
        <v>1416.8670615000001</v>
      </c>
      <c r="T279">
        <v>950</v>
      </c>
      <c r="U279">
        <v>0</v>
      </c>
      <c r="W279" t="s">
        <v>36</v>
      </c>
      <c r="X279" t="s">
        <v>36</v>
      </c>
      <c r="AC279" t="s">
        <v>37</v>
      </c>
      <c r="AD279" t="s">
        <v>38</v>
      </c>
      <c r="AE279" s="4">
        <f t="shared" si="20"/>
        <v>8768.59</v>
      </c>
      <c r="AF279">
        <f t="shared" si="17"/>
        <v>0</v>
      </c>
      <c r="AG279" s="4">
        <f t="shared" si="18"/>
        <v>8768.59</v>
      </c>
      <c r="AI279" t="s">
        <v>47</v>
      </c>
    </row>
    <row r="280" spans="1:35" x14ac:dyDescent="0.3">
      <c r="A280" t="s">
        <v>43</v>
      </c>
      <c r="B280" t="s">
        <v>43</v>
      </c>
      <c r="C280" t="s">
        <v>44</v>
      </c>
      <c r="D280" t="s">
        <v>54</v>
      </c>
      <c r="E280">
        <v>289</v>
      </c>
      <c r="F280" s="6" t="s">
        <v>492</v>
      </c>
      <c r="G280" s="6" t="s">
        <v>121</v>
      </c>
      <c r="H280" s="9">
        <v>46065</v>
      </c>
      <c r="J280" s="6" t="s">
        <v>52</v>
      </c>
      <c r="K280" s="6" t="s">
        <v>34</v>
      </c>
      <c r="L280" s="6" t="s">
        <v>35</v>
      </c>
      <c r="M280" s="4">
        <f t="shared" si="19"/>
        <v>13843.740000000002</v>
      </c>
      <c r="N280" s="4">
        <v>6464.62</v>
      </c>
      <c r="O280" s="4">
        <v>3724.58</v>
      </c>
      <c r="P280" s="4">
        <v>1500</v>
      </c>
      <c r="Q280" s="4">
        <v>2154.54</v>
      </c>
      <c r="R280" s="4">
        <v>2387.9006226000001</v>
      </c>
      <c r="S280" s="4">
        <v>2387.9006226000001</v>
      </c>
      <c r="T280">
        <v>1026</v>
      </c>
      <c r="U280">
        <v>2300</v>
      </c>
      <c r="V280">
        <v>1200</v>
      </c>
      <c r="W280" t="s">
        <v>715</v>
      </c>
      <c r="X280" t="s">
        <v>714</v>
      </c>
      <c r="AC280" t="s">
        <v>37</v>
      </c>
      <c r="AD280" t="s">
        <v>38</v>
      </c>
      <c r="AE280" s="4">
        <f t="shared" si="20"/>
        <v>16069.740000000002</v>
      </c>
      <c r="AF280">
        <f t="shared" si="17"/>
        <v>2300</v>
      </c>
      <c r="AG280" s="4">
        <f t="shared" si="18"/>
        <v>18369.740000000002</v>
      </c>
      <c r="AI280" t="s">
        <v>47</v>
      </c>
    </row>
    <row r="281" spans="1:35" x14ac:dyDescent="0.3">
      <c r="A281" t="s">
        <v>43</v>
      </c>
      <c r="B281" t="s">
        <v>43</v>
      </c>
      <c r="C281" t="s">
        <v>44</v>
      </c>
      <c r="E281">
        <v>290</v>
      </c>
      <c r="F281" s="6" t="s">
        <v>443</v>
      </c>
      <c r="G281" s="6" t="s">
        <v>106</v>
      </c>
      <c r="H281" s="9">
        <v>46065</v>
      </c>
      <c r="I281" s="2">
        <v>46147</v>
      </c>
      <c r="J281" s="6" t="s">
        <v>33</v>
      </c>
      <c r="K281" s="6" t="s">
        <v>34</v>
      </c>
      <c r="L281" s="6" t="s">
        <v>35</v>
      </c>
      <c r="M281" s="4">
        <f t="shared" si="19"/>
        <v>6939.1500000000005</v>
      </c>
      <c r="N281" s="4">
        <v>4452</v>
      </c>
      <c r="O281" s="4">
        <v>1808.94</v>
      </c>
      <c r="P281" s="4">
        <v>445.90999999999997</v>
      </c>
      <c r="Q281" s="4">
        <v>232.3</v>
      </c>
      <c r="R281" s="4">
        <v>447.89540579999993</v>
      </c>
      <c r="S281" s="4">
        <v>447.89540579999993</v>
      </c>
      <c r="T281">
        <v>0</v>
      </c>
      <c r="U281">
        <v>0</v>
      </c>
      <c r="W281">
        <v>0</v>
      </c>
      <c r="X281" t="s">
        <v>36</v>
      </c>
      <c r="AC281" t="s">
        <v>37</v>
      </c>
      <c r="AD281" t="s">
        <v>38</v>
      </c>
      <c r="AE281" s="4">
        <f t="shared" si="20"/>
        <v>6939.1500000000005</v>
      </c>
      <c r="AF281">
        <f t="shared" si="17"/>
        <v>0</v>
      </c>
      <c r="AG281" s="4">
        <f t="shared" si="18"/>
        <v>6939.1500000000005</v>
      </c>
      <c r="AI281" t="s">
        <v>47</v>
      </c>
    </row>
    <row r="282" spans="1:35" x14ac:dyDescent="0.3">
      <c r="A282" t="s">
        <v>43</v>
      </c>
      <c r="B282" t="s">
        <v>43</v>
      </c>
      <c r="C282" t="s">
        <v>44</v>
      </c>
      <c r="D282" t="s">
        <v>132</v>
      </c>
      <c r="E282">
        <v>291</v>
      </c>
      <c r="F282" s="6" t="s">
        <v>589</v>
      </c>
      <c r="G282" s="6" t="s">
        <v>60</v>
      </c>
      <c r="H282" s="9">
        <v>46065</v>
      </c>
      <c r="I282" s="2">
        <v>46132</v>
      </c>
      <c r="J282" s="6" t="s">
        <v>33</v>
      </c>
      <c r="K282" s="6" t="s">
        <v>34</v>
      </c>
      <c r="L282" s="6" t="s">
        <v>35</v>
      </c>
      <c r="M282" s="4">
        <f t="shared" si="19"/>
        <v>2189.9699999999998</v>
      </c>
      <c r="N282" s="4">
        <v>2189.9699999999998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>
        <v>0</v>
      </c>
      <c r="U282">
        <v>0</v>
      </c>
      <c r="W282">
        <v>0</v>
      </c>
      <c r="X282" t="s">
        <v>36</v>
      </c>
      <c r="AC282" t="s">
        <v>37</v>
      </c>
      <c r="AD282" t="s">
        <v>38</v>
      </c>
      <c r="AE282" s="4">
        <f t="shared" si="20"/>
        <v>2189.9699999999998</v>
      </c>
      <c r="AF282">
        <f t="shared" si="17"/>
        <v>0</v>
      </c>
      <c r="AG282" s="4">
        <f t="shared" si="18"/>
        <v>2189.9699999999998</v>
      </c>
      <c r="AI282" t="s">
        <v>47</v>
      </c>
    </row>
    <row r="283" spans="1:35" x14ac:dyDescent="0.3">
      <c r="A283" t="s">
        <v>77</v>
      </c>
      <c r="B283" t="s">
        <v>148</v>
      </c>
      <c r="C283" t="s">
        <v>30</v>
      </c>
      <c r="D283" t="s">
        <v>149</v>
      </c>
      <c r="E283">
        <v>292</v>
      </c>
      <c r="F283" s="6" t="s">
        <v>510</v>
      </c>
      <c r="G283" s="6" t="s">
        <v>511</v>
      </c>
      <c r="H283" s="9">
        <v>46065</v>
      </c>
      <c r="J283" s="6" t="s">
        <v>52</v>
      </c>
      <c r="K283" s="6" t="s">
        <v>34</v>
      </c>
      <c r="L283" s="6" t="s">
        <v>35</v>
      </c>
      <c r="M283" s="4">
        <f t="shared" si="19"/>
        <v>5774.9000000000005</v>
      </c>
      <c r="N283" s="4">
        <v>3195.53</v>
      </c>
      <c r="O283" s="4">
        <v>921.32999999999993</v>
      </c>
      <c r="P283" s="4">
        <v>1294.2</v>
      </c>
      <c r="Q283" s="4">
        <v>363.84</v>
      </c>
      <c r="R283" s="4">
        <v>932.34028950000015</v>
      </c>
      <c r="S283" s="4">
        <v>932.34028950000015</v>
      </c>
      <c r="T283">
        <v>912</v>
      </c>
      <c r="U283">
        <v>0</v>
      </c>
      <c r="W283" t="s">
        <v>36</v>
      </c>
      <c r="X283" t="s">
        <v>36</v>
      </c>
      <c r="AC283" t="s">
        <v>37</v>
      </c>
      <c r="AD283" t="s">
        <v>38</v>
      </c>
      <c r="AE283" s="4">
        <f t="shared" si="20"/>
        <v>6686.9000000000005</v>
      </c>
      <c r="AF283">
        <f t="shared" si="17"/>
        <v>0</v>
      </c>
      <c r="AG283" s="4">
        <f t="shared" si="18"/>
        <v>6686.9000000000005</v>
      </c>
      <c r="AI283" t="s">
        <v>47</v>
      </c>
    </row>
    <row r="284" spans="1:35" x14ac:dyDescent="0.3">
      <c r="A284" t="s">
        <v>43</v>
      </c>
      <c r="B284" t="s">
        <v>43</v>
      </c>
      <c r="C284" t="s">
        <v>44</v>
      </c>
      <c r="D284" t="s">
        <v>132</v>
      </c>
      <c r="E284">
        <v>293</v>
      </c>
      <c r="F284" s="6" t="s">
        <v>520</v>
      </c>
      <c r="G284" s="6" t="s">
        <v>60</v>
      </c>
      <c r="H284" s="9">
        <v>46065</v>
      </c>
      <c r="I284" s="2">
        <v>46146</v>
      </c>
      <c r="J284" s="6" t="s">
        <v>33</v>
      </c>
      <c r="K284" s="6" t="s">
        <v>34</v>
      </c>
      <c r="L284" s="6" t="s">
        <v>35</v>
      </c>
      <c r="M284" s="4">
        <f t="shared" si="19"/>
        <v>2556.5899999999992</v>
      </c>
      <c r="N284" s="4">
        <v>2189.9699999999998</v>
      </c>
      <c r="O284" s="4">
        <v>12.239999999999998</v>
      </c>
      <c r="P284" s="4">
        <v>324.2</v>
      </c>
      <c r="Q284" s="4">
        <v>30.18</v>
      </c>
      <c r="R284" s="4">
        <v>70.6423068</v>
      </c>
      <c r="S284" s="4">
        <v>70.6423068</v>
      </c>
      <c r="T284">
        <v>0</v>
      </c>
      <c r="U284">
        <v>0</v>
      </c>
      <c r="W284">
        <v>0</v>
      </c>
      <c r="X284" t="s">
        <v>36</v>
      </c>
      <c r="AC284" t="s">
        <v>37</v>
      </c>
      <c r="AD284" t="s">
        <v>38</v>
      </c>
      <c r="AE284" s="4">
        <f t="shared" si="20"/>
        <v>2556.5899999999992</v>
      </c>
      <c r="AF284">
        <f t="shared" si="17"/>
        <v>0</v>
      </c>
      <c r="AG284" s="4">
        <f t="shared" si="18"/>
        <v>2556.5899999999992</v>
      </c>
      <c r="AI284" t="s">
        <v>47</v>
      </c>
    </row>
    <row r="285" spans="1:35" x14ac:dyDescent="0.3">
      <c r="A285" t="s">
        <v>43</v>
      </c>
      <c r="B285" t="s">
        <v>43</v>
      </c>
      <c r="C285" t="s">
        <v>44</v>
      </c>
      <c r="E285">
        <v>294</v>
      </c>
      <c r="F285" s="6" t="s">
        <v>478</v>
      </c>
      <c r="G285" s="6" t="s">
        <v>136</v>
      </c>
      <c r="H285" s="9">
        <v>46073</v>
      </c>
      <c r="I285" s="2">
        <v>46129</v>
      </c>
      <c r="J285" s="6" t="s">
        <v>33</v>
      </c>
      <c r="K285" s="6" t="s">
        <v>34</v>
      </c>
      <c r="L285" s="6" t="s">
        <v>35</v>
      </c>
      <c r="M285" s="4">
        <f t="shared" si="19"/>
        <v>2664.74</v>
      </c>
      <c r="N285" s="4">
        <v>2664.74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>
        <v>0</v>
      </c>
      <c r="U285">
        <v>0</v>
      </c>
      <c r="W285">
        <v>0</v>
      </c>
      <c r="X285" t="s">
        <v>36</v>
      </c>
      <c r="AE285" s="4">
        <f t="shared" si="20"/>
        <v>2664.74</v>
      </c>
      <c r="AF285">
        <f t="shared" si="17"/>
        <v>0</v>
      </c>
      <c r="AG285" s="4">
        <f t="shared" si="18"/>
        <v>2664.74</v>
      </c>
      <c r="AI285" t="s">
        <v>47</v>
      </c>
    </row>
    <row r="286" spans="1:35" x14ac:dyDescent="0.3">
      <c r="A286" t="s">
        <v>72</v>
      </c>
      <c r="B286" t="s">
        <v>43</v>
      </c>
      <c r="C286" t="s">
        <v>44</v>
      </c>
      <c r="D286" t="s">
        <v>428</v>
      </c>
      <c r="E286">
        <v>295</v>
      </c>
      <c r="F286" s="6" t="s">
        <v>636</v>
      </c>
      <c r="G286" s="6" t="s">
        <v>60</v>
      </c>
      <c r="H286" s="9">
        <v>46073</v>
      </c>
      <c r="I286" t="s">
        <v>36</v>
      </c>
      <c r="J286" s="6" t="s">
        <v>52</v>
      </c>
      <c r="K286" s="6" t="s">
        <v>34</v>
      </c>
      <c r="L286" s="6" t="s">
        <v>35</v>
      </c>
      <c r="M286" s="4">
        <f t="shared" si="19"/>
        <v>3673.6299999999997</v>
      </c>
      <c r="N286" s="4">
        <v>2302.75</v>
      </c>
      <c r="O286" s="4">
        <v>259.83</v>
      </c>
      <c r="P286" s="4">
        <v>911.91000000000008</v>
      </c>
      <c r="Q286" s="4">
        <v>199.14</v>
      </c>
      <c r="R286" s="4">
        <v>122.84924759999998</v>
      </c>
      <c r="S286" s="4">
        <v>122.84924759999998</v>
      </c>
      <c r="T286">
        <v>570</v>
      </c>
      <c r="U286">
        <v>0</v>
      </c>
      <c r="W286" t="s">
        <v>36</v>
      </c>
      <c r="X286" t="s">
        <v>36</v>
      </c>
      <c r="AE286" s="4">
        <f t="shared" si="20"/>
        <v>4243.6299999999992</v>
      </c>
      <c r="AF286">
        <f t="shared" si="17"/>
        <v>0</v>
      </c>
      <c r="AG286" s="4">
        <f t="shared" si="18"/>
        <v>4243.6299999999992</v>
      </c>
      <c r="AI286" t="s">
        <v>47</v>
      </c>
    </row>
    <row r="287" spans="1:35" x14ac:dyDescent="0.3">
      <c r="A287" t="s">
        <v>43</v>
      </c>
      <c r="B287" t="s">
        <v>43</v>
      </c>
      <c r="C287" t="s">
        <v>44</v>
      </c>
      <c r="D287" t="s">
        <v>326</v>
      </c>
      <c r="E287">
        <v>296</v>
      </c>
      <c r="F287" s="6" t="s">
        <v>607</v>
      </c>
      <c r="G287" s="6" t="s">
        <v>60</v>
      </c>
      <c r="H287" s="9">
        <v>46073</v>
      </c>
      <c r="I287" t="s">
        <v>36</v>
      </c>
      <c r="J287" s="6" t="s">
        <v>52</v>
      </c>
      <c r="K287" s="6" t="s">
        <v>34</v>
      </c>
      <c r="L287" s="6" t="s">
        <v>35</v>
      </c>
      <c r="M287" s="4">
        <f t="shared" si="19"/>
        <v>4831.9400000000005</v>
      </c>
      <c r="N287" s="4">
        <v>2302.75</v>
      </c>
      <c r="O287" s="4">
        <v>1122.78</v>
      </c>
      <c r="P287" s="4">
        <v>1085.1400000000001</v>
      </c>
      <c r="Q287" s="4">
        <v>321.27</v>
      </c>
      <c r="R287" s="4">
        <v>351.17062559999999</v>
      </c>
      <c r="S287" s="4">
        <v>351.17062559999999</v>
      </c>
      <c r="T287">
        <v>912</v>
      </c>
      <c r="U287">
        <v>0</v>
      </c>
      <c r="W287" t="s">
        <v>36</v>
      </c>
      <c r="X287" t="s">
        <v>36</v>
      </c>
      <c r="AE287" s="4">
        <f t="shared" si="20"/>
        <v>5743.9400000000005</v>
      </c>
      <c r="AF287">
        <f t="shared" si="17"/>
        <v>0</v>
      </c>
      <c r="AG287" s="4">
        <f t="shared" si="18"/>
        <v>5743.9400000000005</v>
      </c>
      <c r="AI287" t="s">
        <v>47</v>
      </c>
    </row>
    <row r="288" spans="1:35" x14ac:dyDescent="0.3">
      <c r="A288" t="s">
        <v>72</v>
      </c>
      <c r="B288" t="s">
        <v>43</v>
      </c>
      <c r="C288" t="s">
        <v>44</v>
      </c>
      <c r="D288" t="s">
        <v>58</v>
      </c>
      <c r="E288">
        <v>297</v>
      </c>
      <c r="F288" s="6" t="s">
        <v>158</v>
      </c>
      <c r="G288" s="6" t="s">
        <v>60</v>
      </c>
      <c r="H288" s="9">
        <v>46073</v>
      </c>
      <c r="I288" t="s">
        <v>36</v>
      </c>
      <c r="J288" s="6" t="s">
        <v>52</v>
      </c>
      <c r="K288" s="6" t="s">
        <v>34</v>
      </c>
      <c r="L288" s="6" t="s">
        <v>35</v>
      </c>
      <c r="M288" s="4">
        <f t="shared" si="19"/>
        <v>5791.96</v>
      </c>
      <c r="N288" s="4">
        <v>2302.75</v>
      </c>
      <c r="O288" s="4">
        <v>1657.36</v>
      </c>
      <c r="P288" s="4">
        <v>1440.8400000000001</v>
      </c>
      <c r="Q288" s="4">
        <v>391.01</v>
      </c>
      <c r="R288" s="4">
        <v>910.79316809999989</v>
      </c>
      <c r="S288" s="4">
        <v>910.79316809999989</v>
      </c>
      <c r="T288">
        <v>1064</v>
      </c>
      <c r="U288">
        <v>0</v>
      </c>
      <c r="W288" t="s">
        <v>36</v>
      </c>
      <c r="X288" t="s">
        <v>36</v>
      </c>
      <c r="AE288" s="4">
        <f t="shared" si="20"/>
        <v>6855.96</v>
      </c>
      <c r="AF288">
        <f t="shared" si="17"/>
        <v>0</v>
      </c>
      <c r="AG288" s="4">
        <f t="shared" si="18"/>
        <v>6855.96</v>
      </c>
      <c r="AI288" t="s">
        <v>47</v>
      </c>
    </row>
    <row r="289" spans="1:35" x14ac:dyDescent="0.3">
      <c r="A289" t="s">
        <v>43</v>
      </c>
      <c r="B289" t="s">
        <v>43</v>
      </c>
      <c r="C289" t="s">
        <v>44</v>
      </c>
      <c r="D289" t="s">
        <v>138</v>
      </c>
      <c r="E289">
        <v>298</v>
      </c>
      <c r="F289" s="6" t="s">
        <v>137</v>
      </c>
      <c r="G289" s="6" t="s">
        <v>60</v>
      </c>
      <c r="H289" s="9">
        <v>46073</v>
      </c>
      <c r="I289" t="s">
        <v>36</v>
      </c>
      <c r="J289" s="6" t="s">
        <v>33</v>
      </c>
      <c r="K289" s="6" t="s">
        <v>34</v>
      </c>
      <c r="L289" s="6" t="s">
        <v>35</v>
      </c>
      <c r="M289" s="4">
        <f t="shared" si="19"/>
        <v>1859.46</v>
      </c>
      <c r="N289" s="4">
        <v>0</v>
      </c>
      <c r="O289" s="4">
        <v>1225.26</v>
      </c>
      <c r="P289" s="4">
        <v>468.2</v>
      </c>
      <c r="Q289" s="4">
        <v>166</v>
      </c>
      <c r="R289" s="4">
        <v>325.34011620000001</v>
      </c>
      <c r="S289" s="4">
        <v>325.34011620000001</v>
      </c>
      <c r="T289">
        <v>0</v>
      </c>
      <c r="U289">
        <v>0</v>
      </c>
      <c r="W289" t="s">
        <v>736</v>
      </c>
      <c r="X289" t="s">
        <v>736</v>
      </c>
      <c r="AE289" s="4">
        <f t="shared" si="20"/>
        <v>1859.46</v>
      </c>
      <c r="AF289">
        <f t="shared" si="17"/>
        <v>0</v>
      </c>
      <c r="AG289" s="4">
        <f t="shared" si="18"/>
        <v>1859.46</v>
      </c>
      <c r="AI289" t="s">
        <v>47</v>
      </c>
    </row>
    <row r="290" spans="1:35" x14ac:dyDescent="0.3">
      <c r="A290" t="s">
        <v>72</v>
      </c>
      <c r="B290" t="s">
        <v>43</v>
      </c>
      <c r="C290" t="s">
        <v>44</v>
      </c>
      <c r="D290" t="s">
        <v>54</v>
      </c>
      <c r="E290">
        <v>299</v>
      </c>
      <c r="F290" s="6" t="s">
        <v>55</v>
      </c>
      <c r="G290" s="6" t="s">
        <v>56</v>
      </c>
      <c r="H290" s="9">
        <v>46073</v>
      </c>
      <c r="J290" s="6" t="s">
        <v>52</v>
      </c>
      <c r="K290" s="6" t="s">
        <v>34</v>
      </c>
      <c r="L290" s="6" t="s">
        <v>35</v>
      </c>
      <c r="M290" s="4">
        <f t="shared" si="19"/>
        <v>10458.84</v>
      </c>
      <c r="N290" s="4">
        <v>5377.9</v>
      </c>
      <c r="O290" s="4">
        <v>3351.1</v>
      </c>
      <c r="P290" s="4">
        <v>200</v>
      </c>
      <c r="Q290" s="4">
        <v>1529.8400000000001</v>
      </c>
      <c r="R290" s="4">
        <v>745.6244670000001</v>
      </c>
      <c r="S290" s="4">
        <v>745.6244670000001</v>
      </c>
      <c r="T290">
        <v>1064</v>
      </c>
      <c r="U290">
        <v>0</v>
      </c>
      <c r="W290" t="s">
        <v>36</v>
      </c>
      <c r="X290" t="s">
        <v>36</v>
      </c>
      <c r="AE290" s="4">
        <f t="shared" si="20"/>
        <v>11522.84</v>
      </c>
      <c r="AF290">
        <f t="shared" si="17"/>
        <v>0</v>
      </c>
      <c r="AG290" s="4">
        <f t="shared" si="18"/>
        <v>11522.84</v>
      </c>
      <c r="AI290" t="s">
        <v>47</v>
      </c>
    </row>
    <row r="291" spans="1:35" x14ac:dyDescent="0.3">
      <c r="A291" t="s">
        <v>72</v>
      </c>
      <c r="B291" t="s">
        <v>43</v>
      </c>
      <c r="C291" t="s">
        <v>44</v>
      </c>
      <c r="D291" t="s">
        <v>58</v>
      </c>
      <c r="E291">
        <v>300</v>
      </c>
      <c r="F291" s="6" t="s">
        <v>59</v>
      </c>
      <c r="G291" s="6" t="s">
        <v>60</v>
      </c>
      <c r="H291" s="9">
        <v>46073</v>
      </c>
      <c r="J291" s="6" t="s">
        <v>52</v>
      </c>
      <c r="K291" s="6" t="s">
        <v>34</v>
      </c>
      <c r="L291" s="6" t="s">
        <v>35</v>
      </c>
      <c r="M291" s="4">
        <f t="shared" si="19"/>
        <v>6472.3234549999988</v>
      </c>
      <c r="N291" s="4">
        <v>2302.753455</v>
      </c>
      <c r="O291" s="4">
        <v>2326.39</v>
      </c>
      <c r="P291" s="4">
        <v>1365.48</v>
      </c>
      <c r="Q291" s="4">
        <v>477.7</v>
      </c>
      <c r="R291" s="4">
        <v>588.03988229999993</v>
      </c>
      <c r="S291" s="4">
        <v>588.03988229999993</v>
      </c>
      <c r="T291">
        <v>1026</v>
      </c>
      <c r="U291">
        <v>0</v>
      </c>
      <c r="W291" t="s">
        <v>36</v>
      </c>
      <c r="X291" t="s">
        <v>36</v>
      </c>
      <c r="AE291" s="4">
        <f t="shared" si="20"/>
        <v>7498.3234549999988</v>
      </c>
      <c r="AF291">
        <f t="shared" si="17"/>
        <v>0</v>
      </c>
      <c r="AG291" s="4">
        <f t="shared" si="18"/>
        <v>7498.3234549999988</v>
      </c>
      <c r="AI291" t="s">
        <v>47</v>
      </c>
    </row>
    <row r="292" spans="1:35" x14ac:dyDescent="0.3">
      <c r="A292" t="s">
        <v>43</v>
      </c>
      <c r="B292" t="s">
        <v>43</v>
      </c>
      <c r="C292" t="s">
        <v>44</v>
      </c>
      <c r="D292" t="s">
        <v>58</v>
      </c>
      <c r="E292">
        <v>301</v>
      </c>
      <c r="F292" s="6" t="s">
        <v>237</v>
      </c>
      <c r="G292" s="6" t="s">
        <v>60</v>
      </c>
      <c r="H292" s="9">
        <v>46073</v>
      </c>
      <c r="J292" s="6" t="s">
        <v>52</v>
      </c>
      <c r="K292" s="6" t="s">
        <v>34</v>
      </c>
      <c r="L292" s="6" t="s">
        <v>35</v>
      </c>
      <c r="M292" s="4">
        <f t="shared" si="19"/>
        <v>6301.829999999999</v>
      </c>
      <c r="N292" s="4">
        <v>2302.75</v>
      </c>
      <c r="O292" s="4">
        <v>1915.61</v>
      </c>
      <c r="P292" s="4">
        <v>1662.32</v>
      </c>
      <c r="Q292" s="4">
        <v>421.15</v>
      </c>
      <c r="R292" s="4">
        <v>517.53615569999988</v>
      </c>
      <c r="S292" s="4">
        <v>517.53615569999988</v>
      </c>
      <c r="T292">
        <v>1064</v>
      </c>
      <c r="U292">
        <v>0</v>
      </c>
      <c r="W292" t="s">
        <v>36</v>
      </c>
      <c r="X292" t="s">
        <v>36</v>
      </c>
      <c r="AE292" s="4">
        <f t="shared" si="20"/>
        <v>7365.829999999999</v>
      </c>
      <c r="AF292">
        <f t="shared" si="17"/>
        <v>0</v>
      </c>
      <c r="AG292" s="4">
        <f t="shared" si="18"/>
        <v>7365.829999999999</v>
      </c>
      <c r="AI292" t="s">
        <v>47</v>
      </c>
    </row>
    <row r="293" spans="1:35" x14ac:dyDescent="0.3">
      <c r="A293" t="s">
        <v>43</v>
      </c>
      <c r="B293" t="s">
        <v>43</v>
      </c>
      <c r="C293" t="s">
        <v>44</v>
      </c>
      <c r="D293" t="s">
        <v>428</v>
      </c>
      <c r="E293">
        <v>302</v>
      </c>
      <c r="F293" s="6" t="s">
        <v>489</v>
      </c>
      <c r="G293" s="6" t="s">
        <v>60</v>
      </c>
      <c r="H293" s="9">
        <v>46073</v>
      </c>
      <c r="J293" s="6" t="s">
        <v>52</v>
      </c>
      <c r="K293" s="6" t="s">
        <v>34</v>
      </c>
      <c r="L293" s="6" t="s">
        <v>35</v>
      </c>
      <c r="M293" s="4">
        <f t="shared" si="19"/>
        <v>5525.55</v>
      </c>
      <c r="N293" s="4">
        <v>2302.75</v>
      </c>
      <c r="O293" s="4">
        <v>1883.01</v>
      </c>
      <c r="P293" s="4">
        <v>922.55</v>
      </c>
      <c r="Q293" s="4">
        <v>417.24</v>
      </c>
      <c r="R293" s="4">
        <v>510.87380759999985</v>
      </c>
      <c r="S293" s="4">
        <v>510.87380759999985</v>
      </c>
      <c r="T293">
        <v>912</v>
      </c>
      <c r="U293">
        <v>0</v>
      </c>
      <c r="W293" t="s">
        <v>36</v>
      </c>
      <c r="X293" t="s">
        <v>36</v>
      </c>
      <c r="AE293" s="4">
        <f t="shared" si="20"/>
        <v>6437.55</v>
      </c>
      <c r="AF293">
        <f t="shared" si="17"/>
        <v>0</v>
      </c>
      <c r="AG293" s="4">
        <f t="shared" si="18"/>
        <v>6437.55</v>
      </c>
      <c r="AI293" t="s">
        <v>47</v>
      </c>
    </row>
    <row r="294" spans="1:35" x14ac:dyDescent="0.3">
      <c r="A294" t="s">
        <v>72</v>
      </c>
      <c r="B294" t="s">
        <v>43</v>
      </c>
      <c r="C294" t="s">
        <v>44</v>
      </c>
      <c r="D294" t="s">
        <v>58</v>
      </c>
      <c r="E294">
        <v>303</v>
      </c>
      <c r="F294" s="6" t="s">
        <v>143</v>
      </c>
      <c r="G294" s="6" t="s">
        <v>71</v>
      </c>
      <c r="H294" s="9">
        <v>46073</v>
      </c>
      <c r="J294" s="6" t="s">
        <v>52</v>
      </c>
      <c r="K294" s="6" t="s">
        <v>34</v>
      </c>
      <c r="L294" s="6" t="s">
        <v>35</v>
      </c>
      <c r="M294" s="4">
        <f t="shared" si="19"/>
        <v>6569.7000000000007</v>
      </c>
      <c r="N294" s="4">
        <v>2801.97</v>
      </c>
      <c r="O294" s="4">
        <v>1718.5700000000002</v>
      </c>
      <c r="P294" s="4">
        <v>1588.65</v>
      </c>
      <c r="Q294" s="4">
        <v>460.51</v>
      </c>
      <c r="R294" s="4">
        <v>478.26336689999994</v>
      </c>
      <c r="S294" s="4">
        <v>478.26336689999994</v>
      </c>
      <c r="T294">
        <v>988</v>
      </c>
      <c r="U294">
        <v>0</v>
      </c>
      <c r="W294" t="s">
        <v>36</v>
      </c>
      <c r="X294" t="s">
        <v>36</v>
      </c>
      <c r="AE294" s="4">
        <f t="shared" si="20"/>
        <v>7557.7000000000007</v>
      </c>
      <c r="AF294">
        <f t="shared" si="17"/>
        <v>0</v>
      </c>
      <c r="AG294" s="4">
        <f t="shared" si="18"/>
        <v>7557.7000000000007</v>
      </c>
      <c r="AI294" t="s">
        <v>47</v>
      </c>
    </row>
    <row r="295" spans="1:35" x14ac:dyDescent="0.3">
      <c r="A295" t="s">
        <v>77</v>
      </c>
      <c r="B295" t="s">
        <v>195</v>
      </c>
      <c r="C295" t="s">
        <v>44</v>
      </c>
      <c r="E295">
        <v>304</v>
      </c>
      <c r="F295" s="6" t="s">
        <v>204</v>
      </c>
      <c r="G295" s="6" t="s">
        <v>60</v>
      </c>
      <c r="H295" s="9">
        <v>46073</v>
      </c>
      <c r="I295" t="s">
        <v>36</v>
      </c>
      <c r="J295" s="6" t="s">
        <v>52</v>
      </c>
      <c r="K295" s="6" t="s">
        <v>34</v>
      </c>
      <c r="L295" s="6" t="s">
        <v>35</v>
      </c>
      <c r="M295" s="4">
        <f t="shared" si="19"/>
        <v>4725.8599999999997</v>
      </c>
      <c r="N295" s="4">
        <v>3049.35</v>
      </c>
      <c r="O295" s="4">
        <v>836.76</v>
      </c>
      <c r="P295" s="4">
        <v>549.20000000000005</v>
      </c>
      <c r="Q295" s="4">
        <v>290.55</v>
      </c>
      <c r="R295" s="4">
        <v>291.01002119999998</v>
      </c>
      <c r="S295" s="4">
        <v>291.01002119999998</v>
      </c>
      <c r="T295">
        <v>912</v>
      </c>
      <c r="U295">
        <v>0</v>
      </c>
      <c r="W295" t="s">
        <v>36</v>
      </c>
      <c r="X295" t="s">
        <v>36</v>
      </c>
      <c r="AE295" s="4">
        <f t="shared" si="20"/>
        <v>5637.86</v>
      </c>
      <c r="AF295">
        <f t="shared" si="17"/>
        <v>0</v>
      </c>
      <c r="AG295" s="4">
        <f t="shared" si="18"/>
        <v>5637.86</v>
      </c>
      <c r="AI295" t="s">
        <v>47</v>
      </c>
    </row>
    <row r="296" spans="1:35" x14ac:dyDescent="0.3">
      <c r="A296" t="s">
        <v>72</v>
      </c>
      <c r="B296" t="s">
        <v>43</v>
      </c>
      <c r="C296" t="s">
        <v>44</v>
      </c>
      <c r="D296" t="s">
        <v>326</v>
      </c>
      <c r="E296">
        <v>305</v>
      </c>
      <c r="F296" s="6" t="s">
        <v>588</v>
      </c>
      <c r="G296" s="6" t="s">
        <v>60</v>
      </c>
      <c r="H296" s="9">
        <v>46073</v>
      </c>
      <c r="J296" s="6" t="s">
        <v>52</v>
      </c>
      <c r="K296" s="6" t="s">
        <v>34</v>
      </c>
      <c r="L296" s="6" t="s">
        <v>35</v>
      </c>
      <c r="M296" s="4">
        <f t="shared" si="19"/>
        <v>6414.8899999999994</v>
      </c>
      <c r="N296" s="4">
        <v>2302.75</v>
      </c>
      <c r="O296" s="4">
        <v>2227.7599999999998</v>
      </c>
      <c r="P296" s="4">
        <v>1439.48</v>
      </c>
      <c r="Q296" s="4">
        <v>444.9</v>
      </c>
      <c r="R296" s="4">
        <v>583.07829119999985</v>
      </c>
      <c r="S296" s="4">
        <v>583.07829119999985</v>
      </c>
      <c r="T296">
        <v>988</v>
      </c>
      <c r="U296">
        <v>0</v>
      </c>
      <c r="W296" t="s">
        <v>36</v>
      </c>
      <c r="X296" t="s">
        <v>36</v>
      </c>
      <c r="AE296" s="4">
        <f t="shared" si="20"/>
        <v>7402.8899999999994</v>
      </c>
      <c r="AF296">
        <f t="shared" si="17"/>
        <v>0</v>
      </c>
      <c r="AG296" s="4">
        <f t="shared" si="18"/>
        <v>7402.8899999999994</v>
      </c>
      <c r="AI296" t="s">
        <v>47</v>
      </c>
    </row>
    <row r="297" spans="1:35" x14ac:dyDescent="0.3">
      <c r="A297" t="s">
        <v>43</v>
      </c>
      <c r="B297" t="s">
        <v>43</v>
      </c>
      <c r="C297" t="s">
        <v>44</v>
      </c>
      <c r="D297" t="s">
        <v>428</v>
      </c>
      <c r="E297">
        <v>306</v>
      </c>
      <c r="F297" s="6" t="s">
        <v>429</v>
      </c>
      <c r="G297" s="6" t="s">
        <v>136</v>
      </c>
      <c r="H297" s="9">
        <v>46073</v>
      </c>
      <c r="J297" s="6" t="s">
        <v>52</v>
      </c>
      <c r="K297" s="6" t="s">
        <v>34</v>
      </c>
      <c r="L297" s="6" t="s">
        <v>35</v>
      </c>
      <c r="M297" s="4">
        <f t="shared" si="19"/>
        <v>4930.1999999999989</v>
      </c>
      <c r="N297" s="4">
        <v>2801.97</v>
      </c>
      <c r="O297" s="4">
        <v>1062.01</v>
      </c>
      <c r="P297" s="4">
        <v>712.81999999999994</v>
      </c>
      <c r="Q297" s="4">
        <v>353.4</v>
      </c>
      <c r="R297" s="4">
        <v>291.06251369999995</v>
      </c>
      <c r="S297" s="4">
        <v>291.06251369999995</v>
      </c>
      <c r="T297">
        <v>608</v>
      </c>
      <c r="U297">
        <v>0</v>
      </c>
      <c r="W297" t="s">
        <v>36</v>
      </c>
      <c r="X297" t="s">
        <v>36</v>
      </c>
      <c r="AE297" s="4">
        <f t="shared" si="20"/>
        <v>5538.1999999999989</v>
      </c>
      <c r="AF297">
        <f t="shared" si="17"/>
        <v>0</v>
      </c>
      <c r="AG297" s="4">
        <f t="shared" si="18"/>
        <v>5538.1999999999989</v>
      </c>
      <c r="AI297" t="s">
        <v>47</v>
      </c>
    </row>
    <row r="298" spans="1:35" x14ac:dyDescent="0.3">
      <c r="A298" t="s">
        <v>72</v>
      </c>
      <c r="B298" t="s">
        <v>43</v>
      </c>
      <c r="C298" t="s">
        <v>44</v>
      </c>
      <c r="D298" t="s">
        <v>58</v>
      </c>
      <c r="E298">
        <v>307</v>
      </c>
      <c r="F298" s="6" t="s">
        <v>583</v>
      </c>
      <c r="G298" s="6" t="s">
        <v>136</v>
      </c>
      <c r="H298" s="9">
        <v>46073</v>
      </c>
      <c r="J298" s="6" t="s">
        <v>52</v>
      </c>
      <c r="K298" s="6" t="s">
        <v>34</v>
      </c>
      <c r="L298" s="6" t="s">
        <v>35</v>
      </c>
      <c r="M298" s="4">
        <f t="shared" si="19"/>
        <v>7542.93</v>
      </c>
      <c r="N298" s="4">
        <v>2801.97</v>
      </c>
      <c r="O298" s="4">
        <v>1945.54</v>
      </c>
      <c r="P298" s="4">
        <v>2303.08</v>
      </c>
      <c r="Q298" s="4">
        <v>492.34</v>
      </c>
      <c r="R298" s="4">
        <v>1099.0837655999999</v>
      </c>
      <c r="S298" s="4">
        <v>1099.0837655999999</v>
      </c>
      <c r="T298">
        <v>1064</v>
      </c>
      <c r="U298">
        <v>0</v>
      </c>
      <c r="W298" t="s">
        <v>36</v>
      </c>
      <c r="X298" t="s">
        <v>36</v>
      </c>
      <c r="AE298" s="4">
        <f t="shared" si="20"/>
        <v>8606.93</v>
      </c>
      <c r="AF298">
        <f t="shared" si="17"/>
        <v>0</v>
      </c>
      <c r="AG298" s="4">
        <f t="shared" si="18"/>
        <v>8606.93</v>
      </c>
      <c r="AI298" t="s">
        <v>47</v>
      </c>
    </row>
    <row r="299" spans="1:35" x14ac:dyDescent="0.3">
      <c r="A299" t="s">
        <v>40</v>
      </c>
      <c r="B299" t="s">
        <v>750</v>
      </c>
      <c r="C299" t="s">
        <v>30</v>
      </c>
      <c r="E299">
        <v>308</v>
      </c>
      <c r="F299" s="6" t="s">
        <v>463</v>
      </c>
      <c r="G299" s="6" t="s">
        <v>93</v>
      </c>
      <c r="H299" s="9">
        <v>46083</v>
      </c>
      <c r="I299" s="2">
        <v>46085</v>
      </c>
      <c r="J299" s="6" t="s">
        <v>33</v>
      </c>
      <c r="K299" s="6" t="s">
        <v>34</v>
      </c>
      <c r="L299" s="6" t="s">
        <v>35</v>
      </c>
      <c r="M299" s="4">
        <f t="shared" si="19"/>
        <v>2681.3</v>
      </c>
      <c r="N299" s="4">
        <v>2681.3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>
        <v>0</v>
      </c>
      <c r="U299">
        <v>0</v>
      </c>
      <c r="W299">
        <v>0</v>
      </c>
      <c r="X299" t="s">
        <v>36</v>
      </c>
      <c r="AE299" s="4">
        <f t="shared" si="20"/>
        <v>2681.3</v>
      </c>
      <c r="AF299">
        <f t="shared" si="17"/>
        <v>0</v>
      </c>
      <c r="AG299" s="4">
        <f t="shared" si="18"/>
        <v>2681.3</v>
      </c>
      <c r="AI299" t="s">
        <v>47</v>
      </c>
    </row>
    <row r="300" spans="1:35" x14ac:dyDescent="0.3">
      <c r="A300" t="s">
        <v>43</v>
      </c>
      <c r="B300" t="s">
        <v>43</v>
      </c>
      <c r="C300" t="s">
        <v>44</v>
      </c>
      <c r="E300">
        <v>309</v>
      </c>
      <c r="F300" s="6" t="s">
        <v>349</v>
      </c>
      <c r="G300" s="6" t="s">
        <v>60</v>
      </c>
      <c r="H300" s="9">
        <v>46086</v>
      </c>
      <c r="J300" s="6" t="s">
        <v>52</v>
      </c>
      <c r="K300" s="6" t="s">
        <v>34</v>
      </c>
      <c r="L300" s="6" t="s">
        <v>35</v>
      </c>
      <c r="M300" s="4">
        <f t="shared" si="19"/>
        <v>5154.37</v>
      </c>
      <c r="N300" s="4">
        <v>2302.75</v>
      </c>
      <c r="O300" s="4">
        <v>1959.37</v>
      </c>
      <c r="P300" s="4">
        <v>482.51</v>
      </c>
      <c r="Q300" s="4">
        <v>409.74</v>
      </c>
      <c r="R300" s="4">
        <v>972.54954450000002</v>
      </c>
      <c r="S300" s="4">
        <v>972.54954450000002</v>
      </c>
      <c r="T300">
        <v>912</v>
      </c>
      <c r="U300">
        <v>0</v>
      </c>
      <c r="W300" t="s">
        <v>36</v>
      </c>
      <c r="X300" t="s">
        <v>36</v>
      </c>
      <c r="AE300" s="4">
        <f t="shared" si="20"/>
        <v>6066.37</v>
      </c>
      <c r="AF300">
        <f t="shared" si="17"/>
        <v>0</v>
      </c>
      <c r="AG300" s="4">
        <f t="shared" si="18"/>
        <v>6066.37</v>
      </c>
      <c r="AI300" t="s">
        <v>47</v>
      </c>
    </row>
    <row r="301" spans="1:35" x14ac:dyDescent="0.3">
      <c r="A301" t="s">
        <v>43</v>
      </c>
      <c r="B301" t="s">
        <v>43</v>
      </c>
      <c r="C301" t="s">
        <v>44</v>
      </c>
      <c r="E301">
        <v>310</v>
      </c>
      <c r="F301" s="6" t="s">
        <v>577</v>
      </c>
      <c r="G301" s="6" t="s">
        <v>60</v>
      </c>
      <c r="H301" s="9">
        <v>46086</v>
      </c>
      <c r="I301" t="s">
        <v>36</v>
      </c>
      <c r="J301" s="6" t="s">
        <v>52</v>
      </c>
      <c r="K301" s="6" t="s">
        <v>34</v>
      </c>
      <c r="L301" s="6" t="s">
        <v>35</v>
      </c>
      <c r="M301" s="4">
        <f t="shared" si="19"/>
        <v>7046.9399999999987</v>
      </c>
      <c r="N301" s="4">
        <v>2302.75</v>
      </c>
      <c r="O301" s="4">
        <v>2797.3199999999997</v>
      </c>
      <c r="P301" s="4">
        <v>1396.56</v>
      </c>
      <c r="Q301" s="4">
        <v>550.30999999999995</v>
      </c>
      <c r="R301" s="4">
        <v>1170.2866922999999</v>
      </c>
      <c r="S301" s="4">
        <v>1170.2866922999999</v>
      </c>
      <c r="T301">
        <v>950</v>
      </c>
      <c r="U301">
        <v>0</v>
      </c>
      <c r="W301" t="s">
        <v>36</v>
      </c>
      <c r="X301" t="s">
        <v>36</v>
      </c>
      <c r="AE301" s="4">
        <f t="shared" si="20"/>
        <v>7996.9399999999987</v>
      </c>
      <c r="AF301">
        <f t="shared" si="17"/>
        <v>0</v>
      </c>
      <c r="AG301" s="4">
        <f t="shared" si="18"/>
        <v>7996.9399999999987</v>
      </c>
      <c r="AI301" t="s">
        <v>47</v>
      </c>
    </row>
    <row r="302" spans="1:35" x14ac:dyDescent="0.3">
      <c r="A302" t="s">
        <v>40</v>
      </c>
      <c r="B302" t="s">
        <v>40</v>
      </c>
      <c r="C302" t="s">
        <v>30</v>
      </c>
      <c r="D302" t="s">
        <v>485</v>
      </c>
      <c r="E302">
        <v>311</v>
      </c>
      <c r="F302" s="6" t="s">
        <v>624</v>
      </c>
      <c r="G302" s="6" t="s">
        <v>32</v>
      </c>
      <c r="H302" s="9">
        <v>46083</v>
      </c>
      <c r="J302" s="6" t="s">
        <v>52</v>
      </c>
      <c r="K302" s="6" t="s">
        <v>34</v>
      </c>
      <c r="L302" s="6" t="s">
        <v>35</v>
      </c>
      <c r="M302" s="4">
        <f t="shared" si="19"/>
        <v>6356.01</v>
      </c>
      <c r="N302" s="4">
        <v>3195.53</v>
      </c>
      <c r="O302" s="4">
        <v>1536.4099999999999</v>
      </c>
      <c r="P302" s="4">
        <v>1182</v>
      </c>
      <c r="Q302" s="4">
        <v>442.07</v>
      </c>
      <c r="R302" s="4">
        <v>1086.6850371</v>
      </c>
      <c r="S302" s="4">
        <v>1086.6850371</v>
      </c>
      <c r="T302">
        <v>1026</v>
      </c>
      <c r="U302">
        <v>0</v>
      </c>
      <c r="W302" t="s">
        <v>36</v>
      </c>
      <c r="X302" t="s">
        <v>36</v>
      </c>
      <c r="AE302" s="4">
        <f t="shared" si="20"/>
        <v>7382.01</v>
      </c>
      <c r="AF302">
        <f t="shared" si="17"/>
        <v>0</v>
      </c>
      <c r="AG302" s="4">
        <f t="shared" si="18"/>
        <v>7382.01</v>
      </c>
      <c r="AI302" t="s">
        <v>39</v>
      </c>
    </row>
    <row r="303" spans="1:35" x14ac:dyDescent="0.3">
      <c r="A303" t="s">
        <v>43</v>
      </c>
      <c r="B303" t="s">
        <v>43</v>
      </c>
      <c r="C303" t="s">
        <v>44</v>
      </c>
      <c r="E303">
        <v>312</v>
      </c>
      <c r="F303" s="6" t="s">
        <v>289</v>
      </c>
      <c r="G303" s="6" t="s">
        <v>136</v>
      </c>
      <c r="H303" s="9">
        <v>46086</v>
      </c>
      <c r="I303" t="s">
        <v>36</v>
      </c>
      <c r="J303" s="6" t="s">
        <v>52</v>
      </c>
      <c r="K303" s="6" t="s">
        <v>34</v>
      </c>
      <c r="L303" s="6" t="s">
        <v>35</v>
      </c>
      <c r="M303" s="4">
        <f t="shared" si="19"/>
        <v>5429.16</v>
      </c>
      <c r="N303" s="4">
        <v>2801.97</v>
      </c>
      <c r="O303" s="4">
        <v>1564.0600000000002</v>
      </c>
      <c r="P303" s="4">
        <v>624.20000000000005</v>
      </c>
      <c r="Q303" s="4">
        <v>438.93</v>
      </c>
      <c r="R303" s="4">
        <v>1018.9844099999999</v>
      </c>
      <c r="S303" s="4">
        <v>1018.9844099999999</v>
      </c>
      <c r="T303">
        <v>912</v>
      </c>
      <c r="U303">
        <v>0</v>
      </c>
      <c r="W303" t="s">
        <v>36</v>
      </c>
      <c r="X303" t="s">
        <v>36</v>
      </c>
      <c r="AE303" s="4">
        <f t="shared" si="20"/>
        <v>6341.16</v>
      </c>
      <c r="AF303">
        <f t="shared" si="17"/>
        <v>0</v>
      </c>
      <c r="AG303" s="4">
        <f t="shared" si="18"/>
        <v>6341.16</v>
      </c>
      <c r="AI303" t="s">
        <v>47</v>
      </c>
    </row>
    <row r="304" spans="1:35" x14ac:dyDescent="0.3">
      <c r="A304" t="s">
        <v>43</v>
      </c>
      <c r="B304" t="s">
        <v>43</v>
      </c>
      <c r="C304" t="s">
        <v>44</v>
      </c>
      <c r="E304">
        <v>313</v>
      </c>
      <c r="F304" s="6" t="s">
        <v>473</v>
      </c>
      <c r="G304" s="6" t="s">
        <v>60</v>
      </c>
      <c r="H304" s="9">
        <v>46086</v>
      </c>
      <c r="I304" t="s">
        <v>36</v>
      </c>
      <c r="J304" s="6" t="s">
        <v>33</v>
      </c>
      <c r="K304" s="6" t="s">
        <v>34</v>
      </c>
      <c r="L304" s="6" t="s">
        <v>35</v>
      </c>
      <c r="M304" s="4">
        <f t="shared" si="19"/>
        <v>3188.1499999999996</v>
      </c>
      <c r="N304" s="4">
        <v>2189.9699999999998</v>
      </c>
      <c r="O304" s="4">
        <v>202.53000000000003</v>
      </c>
      <c r="P304" s="4">
        <v>641.16</v>
      </c>
      <c r="Q304" s="4">
        <v>154.49</v>
      </c>
      <c r="R304" s="4">
        <v>524.44206899999995</v>
      </c>
      <c r="S304" s="4">
        <v>524.44206899999995</v>
      </c>
      <c r="T304">
        <v>0</v>
      </c>
      <c r="U304">
        <v>0</v>
      </c>
      <c r="W304" t="s">
        <v>36</v>
      </c>
      <c r="X304" t="s">
        <v>36</v>
      </c>
      <c r="AE304" s="4">
        <f t="shared" si="20"/>
        <v>3188.1499999999996</v>
      </c>
      <c r="AF304">
        <f t="shared" si="17"/>
        <v>0</v>
      </c>
      <c r="AG304" s="4">
        <f t="shared" si="18"/>
        <v>3188.1499999999996</v>
      </c>
      <c r="AI304" t="s">
        <v>47</v>
      </c>
    </row>
    <row r="305" spans="1:35" x14ac:dyDescent="0.3">
      <c r="A305" t="s">
        <v>43</v>
      </c>
      <c r="B305" t="s">
        <v>43</v>
      </c>
      <c r="C305" t="s">
        <v>44</v>
      </c>
      <c r="E305">
        <v>314</v>
      </c>
      <c r="F305" s="6" t="s">
        <v>440</v>
      </c>
      <c r="G305" s="6" t="s">
        <v>106</v>
      </c>
      <c r="H305" s="9">
        <v>46086</v>
      </c>
      <c r="J305" s="6" t="s">
        <v>52</v>
      </c>
      <c r="K305" s="6" t="s">
        <v>34</v>
      </c>
      <c r="L305" s="6" t="s">
        <v>35</v>
      </c>
      <c r="M305" s="4">
        <f t="shared" si="19"/>
        <v>9278.1</v>
      </c>
      <c r="N305" s="4">
        <v>4681.28</v>
      </c>
      <c r="O305" s="4">
        <v>2736.73</v>
      </c>
      <c r="P305" s="4">
        <v>669.48</v>
      </c>
      <c r="Q305" s="4">
        <v>1190.6100000000001</v>
      </c>
      <c r="R305" s="4">
        <v>1640.4809120999998</v>
      </c>
      <c r="S305" s="4">
        <v>1640.4809120999998</v>
      </c>
      <c r="T305">
        <v>1026</v>
      </c>
      <c r="U305">
        <v>0</v>
      </c>
      <c r="W305" t="s">
        <v>36</v>
      </c>
      <c r="X305" t="s">
        <v>36</v>
      </c>
      <c r="Y305" s="6">
        <v>14000</v>
      </c>
      <c r="AE305" s="4">
        <f t="shared" si="20"/>
        <v>10304.1</v>
      </c>
      <c r="AF305">
        <f t="shared" si="17"/>
        <v>14000</v>
      </c>
      <c r="AG305" s="4">
        <f t="shared" si="18"/>
        <v>24304.1</v>
      </c>
      <c r="AI305" t="s">
        <v>47</v>
      </c>
    </row>
    <row r="306" spans="1:35" x14ac:dyDescent="0.3">
      <c r="A306" t="s">
        <v>77</v>
      </c>
      <c r="B306" t="s">
        <v>195</v>
      </c>
      <c r="C306" t="s">
        <v>44</v>
      </c>
      <c r="E306">
        <v>315</v>
      </c>
      <c r="F306" s="6" t="s">
        <v>509</v>
      </c>
      <c r="G306" s="6" t="s">
        <v>60</v>
      </c>
      <c r="H306" s="9">
        <v>46086</v>
      </c>
      <c r="J306" s="6" t="s">
        <v>52</v>
      </c>
      <c r="K306" s="6" t="s">
        <v>34</v>
      </c>
      <c r="L306" s="6" t="s">
        <v>35</v>
      </c>
      <c r="M306" s="4">
        <f t="shared" si="19"/>
        <v>3871.67</v>
      </c>
      <c r="N306" s="4">
        <v>2302.75</v>
      </c>
      <c r="O306" s="4">
        <v>740.69</v>
      </c>
      <c r="P306" s="4">
        <v>549.20000000000005</v>
      </c>
      <c r="Q306" s="4">
        <v>279.02999999999997</v>
      </c>
      <c r="R306" s="4">
        <v>715.33839420000004</v>
      </c>
      <c r="S306" s="4">
        <v>715.33839420000004</v>
      </c>
      <c r="T306">
        <v>874</v>
      </c>
      <c r="U306">
        <v>0</v>
      </c>
      <c r="W306" t="s">
        <v>36</v>
      </c>
      <c r="X306" t="s">
        <v>36</v>
      </c>
      <c r="AE306" s="4">
        <f t="shared" si="20"/>
        <v>4745.67</v>
      </c>
      <c r="AF306">
        <f t="shared" si="17"/>
        <v>0</v>
      </c>
      <c r="AG306" s="4">
        <f t="shared" si="18"/>
        <v>4745.67</v>
      </c>
      <c r="AI306" t="s">
        <v>47</v>
      </c>
    </row>
    <row r="307" spans="1:35" x14ac:dyDescent="0.3">
      <c r="A307" t="s">
        <v>43</v>
      </c>
      <c r="B307" t="s">
        <v>43</v>
      </c>
      <c r="C307" t="s">
        <v>44</v>
      </c>
      <c r="E307">
        <v>316</v>
      </c>
      <c r="F307" s="6" t="s">
        <v>641</v>
      </c>
      <c r="G307" s="6" t="s">
        <v>106</v>
      </c>
      <c r="H307" s="9">
        <v>46086</v>
      </c>
      <c r="J307" s="6" t="s">
        <v>52</v>
      </c>
      <c r="K307" s="6" t="s">
        <v>34</v>
      </c>
      <c r="L307" s="6" t="s">
        <v>35</v>
      </c>
      <c r="M307" s="4">
        <f t="shared" si="19"/>
        <v>13406.08</v>
      </c>
      <c r="N307" s="4">
        <v>4681.28</v>
      </c>
      <c r="O307" s="4">
        <v>4634.08</v>
      </c>
      <c r="P307" s="4">
        <v>2097.1499999999996</v>
      </c>
      <c r="Q307" s="4">
        <v>1993.5700000000002</v>
      </c>
      <c r="R307" s="4">
        <v>2042.9346105000004</v>
      </c>
      <c r="S307" s="4">
        <v>2042.9346105000004</v>
      </c>
      <c r="T307">
        <v>1026</v>
      </c>
      <c r="U307">
        <v>0</v>
      </c>
      <c r="W307" t="s">
        <v>36</v>
      </c>
      <c r="X307" t="s">
        <v>36</v>
      </c>
      <c r="Y307" s="6">
        <v>15000</v>
      </c>
      <c r="AE307" s="4">
        <f t="shared" si="20"/>
        <v>14432.08</v>
      </c>
      <c r="AF307">
        <f t="shared" si="17"/>
        <v>15000</v>
      </c>
      <c r="AG307" s="4">
        <f t="shared" si="18"/>
        <v>29432.080000000002</v>
      </c>
      <c r="AI307" t="s">
        <v>47</v>
      </c>
    </row>
    <row r="308" spans="1:35" x14ac:dyDescent="0.3">
      <c r="A308" t="s">
        <v>43</v>
      </c>
      <c r="B308" t="s">
        <v>43</v>
      </c>
      <c r="C308" t="s">
        <v>44</v>
      </c>
      <c r="E308">
        <v>317</v>
      </c>
      <c r="F308" s="6" t="s">
        <v>467</v>
      </c>
      <c r="G308" s="6" t="s">
        <v>106</v>
      </c>
      <c r="H308" s="9">
        <v>46086</v>
      </c>
      <c r="J308" s="6" t="s">
        <v>33</v>
      </c>
      <c r="K308" s="6" t="s">
        <v>34</v>
      </c>
      <c r="L308" s="6" t="s">
        <v>35</v>
      </c>
      <c r="M308" s="4">
        <f t="shared" si="19"/>
        <v>11314.76</v>
      </c>
      <c r="N308" s="4">
        <v>4452</v>
      </c>
      <c r="O308" s="4">
        <v>4443.59</v>
      </c>
      <c r="P308" s="4">
        <v>554.58999999999992</v>
      </c>
      <c r="Q308" s="4">
        <v>1864.58</v>
      </c>
      <c r="R308" s="4">
        <v>1984.2542946000001</v>
      </c>
      <c r="S308" s="4">
        <v>1984.2542946000001</v>
      </c>
      <c r="T308">
        <v>0</v>
      </c>
      <c r="U308">
        <v>0</v>
      </c>
      <c r="W308">
        <v>0</v>
      </c>
      <c r="X308">
        <v>0</v>
      </c>
      <c r="Y308" s="6">
        <v>0</v>
      </c>
      <c r="AE308" s="4">
        <f t="shared" si="20"/>
        <v>11314.76</v>
      </c>
      <c r="AF308">
        <f t="shared" si="17"/>
        <v>0</v>
      </c>
      <c r="AG308" s="4">
        <f t="shared" si="18"/>
        <v>11314.76</v>
      </c>
      <c r="AI308" t="s">
        <v>47</v>
      </c>
    </row>
    <row r="309" spans="1:35" x14ac:dyDescent="0.3">
      <c r="A309" t="s">
        <v>43</v>
      </c>
      <c r="B309" t="s">
        <v>43</v>
      </c>
      <c r="C309" t="s">
        <v>44</v>
      </c>
      <c r="E309">
        <v>318</v>
      </c>
      <c r="F309" s="6" t="s">
        <v>647</v>
      </c>
      <c r="G309" s="6" t="s">
        <v>60</v>
      </c>
      <c r="H309" s="9">
        <v>46086</v>
      </c>
      <c r="J309" s="6" t="s">
        <v>33</v>
      </c>
      <c r="K309" s="6" t="s">
        <v>34</v>
      </c>
      <c r="L309" s="6" t="s">
        <v>35</v>
      </c>
      <c r="M309" s="4">
        <f t="shared" si="19"/>
        <v>2829.8299999999995</v>
      </c>
      <c r="N309" s="4">
        <v>2189.9699999999998</v>
      </c>
      <c r="O309" s="4">
        <v>235.57999999999998</v>
      </c>
      <c r="P309" s="4">
        <v>384.2</v>
      </c>
      <c r="Q309" s="4">
        <v>20.079999999999998</v>
      </c>
      <c r="R309" s="4">
        <v>577.36500749999993</v>
      </c>
      <c r="S309" s="4">
        <v>577.36500749999993</v>
      </c>
      <c r="T309">
        <v>0</v>
      </c>
      <c r="U309">
        <v>0</v>
      </c>
      <c r="W309" t="s">
        <v>36</v>
      </c>
      <c r="X309" t="s">
        <v>36</v>
      </c>
      <c r="AE309" s="4">
        <f t="shared" si="20"/>
        <v>2829.8299999999995</v>
      </c>
      <c r="AF309">
        <f t="shared" si="17"/>
        <v>0</v>
      </c>
      <c r="AG309" s="4">
        <f t="shared" si="18"/>
        <v>2829.8299999999995</v>
      </c>
      <c r="AI309" t="s">
        <v>47</v>
      </c>
    </row>
    <row r="310" spans="1:35" x14ac:dyDescent="0.3">
      <c r="A310" t="s">
        <v>72</v>
      </c>
      <c r="B310" t="s">
        <v>43</v>
      </c>
      <c r="C310" t="s">
        <v>44</v>
      </c>
      <c r="E310">
        <v>319</v>
      </c>
      <c r="F310" s="6" t="s">
        <v>592</v>
      </c>
      <c r="G310" s="6" t="s">
        <v>136</v>
      </c>
      <c r="H310" s="9">
        <v>46086</v>
      </c>
      <c r="J310" s="6" t="s">
        <v>52</v>
      </c>
      <c r="K310" s="6" t="s">
        <v>34</v>
      </c>
      <c r="L310" s="6" t="s">
        <v>35</v>
      </c>
      <c r="M310" s="4">
        <f t="shared" si="19"/>
        <v>6640.4900000000007</v>
      </c>
      <c r="N310" s="4">
        <v>2801.97</v>
      </c>
      <c r="O310" s="4">
        <v>1819.5300000000002</v>
      </c>
      <c r="P310" s="4">
        <v>1544.18</v>
      </c>
      <c r="Q310" s="4">
        <v>474.81</v>
      </c>
      <c r="R310" s="4">
        <v>1073.0453858999999</v>
      </c>
      <c r="S310" s="4">
        <v>1073.0453858999999</v>
      </c>
      <c r="T310">
        <v>1064</v>
      </c>
      <c r="U310">
        <v>0</v>
      </c>
      <c r="W310" t="s">
        <v>36</v>
      </c>
      <c r="X310" t="s">
        <v>36</v>
      </c>
      <c r="AE310" s="4">
        <f t="shared" si="20"/>
        <v>7704.4900000000007</v>
      </c>
      <c r="AF310">
        <f t="shared" si="17"/>
        <v>0</v>
      </c>
      <c r="AG310" s="4">
        <f t="shared" si="18"/>
        <v>7704.4900000000007</v>
      </c>
      <c r="AI310" t="s">
        <v>47</v>
      </c>
    </row>
    <row r="311" spans="1:35" x14ac:dyDescent="0.3">
      <c r="A311" t="s">
        <v>43</v>
      </c>
      <c r="B311" t="s">
        <v>43</v>
      </c>
      <c r="C311" t="s">
        <v>44</v>
      </c>
      <c r="E311">
        <v>320</v>
      </c>
      <c r="F311" s="6" t="s">
        <v>265</v>
      </c>
      <c r="G311" s="6" t="s">
        <v>60</v>
      </c>
      <c r="H311" s="9">
        <v>46086</v>
      </c>
      <c r="J311" s="6" t="s">
        <v>52</v>
      </c>
      <c r="K311" s="6" t="s">
        <v>34</v>
      </c>
      <c r="L311" s="6" t="s">
        <v>35</v>
      </c>
      <c r="M311" s="4">
        <f t="shared" si="19"/>
        <v>4579.9000000000005</v>
      </c>
      <c r="N311" s="4">
        <v>2302.75</v>
      </c>
      <c r="O311" s="4">
        <v>1136.1500000000001</v>
      </c>
      <c r="P311" s="4">
        <v>836.28</v>
      </c>
      <c r="Q311" s="4">
        <v>304.72000000000003</v>
      </c>
      <c r="R311" s="4">
        <v>780.77344499999981</v>
      </c>
      <c r="S311" s="4">
        <v>780.77344499999981</v>
      </c>
      <c r="T311">
        <v>836</v>
      </c>
      <c r="U311">
        <v>0</v>
      </c>
      <c r="W311" t="s">
        <v>36</v>
      </c>
      <c r="X311" t="s">
        <v>36</v>
      </c>
      <c r="AE311" s="4">
        <f t="shared" si="20"/>
        <v>5415.9000000000005</v>
      </c>
      <c r="AF311">
        <f t="shared" si="17"/>
        <v>0</v>
      </c>
      <c r="AG311" s="4">
        <f t="shared" si="18"/>
        <v>5415.9000000000005</v>
      </c>
      <c r="AI311" t="s">
        <v>47</v>
      </c>
    </row>
    <row r="312" spans="1:35" x14ac:dyDescent="0.3">
      <c r="A312" t="s">
        <v>43</v>
      </c>
      <c r="B312" t="s">
        <v>43</v>
      </c>
      <c r="C312" t="s">
        <v>44</v>
      </c>
      <c r="E312">
        <v>322</v>
      </c>
      <c r="F312" s="6" t="s">
        <v>596</v>
      </c>
      <c r="G312" s="6" t="s">
        <v>136</v>
      </c>
      <c r="H312" s="9">
        <v>46086</v>
      </c>
      <c r="I312" t="s">
        <v>36</v>
      </c>
      <c r="J312" s="6" t="s">
        <v>33</v>
      </c>
      <c r="K312" s="6" t="s">
        <v>34</v>
      </c>
      <c r="L312" s="6" t="s">
        <v>35</v>
      </c>
      <c r="M312" s="4">
        <f t="shared" si="19"/>
        <v>4741.25</v>
      </c>
      <c r="N312" s="4">
        <v>2664.74</v>
      </c>
      <c r="O312" s="4">
        <v>404.33</v>
      </c>
      <c r="P312" s="4">
        <v>1429.68</v>
      </c>
      <c r="Q312" s="4">
        <v>242.5</v>
      </c>
      <c r="R312" s="4">
        <v>712.48490189999984</v>
      </c>
      <c r="S312" s="4">
        <v>712.48490189999984</v>
      </c>
      <c r="T312">
        <v>0</v>
      </c>
      <c r="U312">
        <v>0</v>
      </c>
      <c r="W312" t="s">
        <v>36</v>
      </c>
      <c r="X312" t="s">
        <v>36</v>
      </c>
      <c r="AE312" s="4">
        <f t="shared" si="20"/>
        <v>4741.25</v>
      </c>
      <c r="AF312">
        <f t="shared" si="17"/>
        <v>0</v>
      </c>
      <c r="AG312" s="4">
        <f t="shared" si="18"/>
        <v>4741.25</v>
      </c>
      <c r="AI312" t="s">
        <v>47</v>
      </c>
    </row>
    <row r="313" spans="1:35" x14ac:dyDescent="0.3">
      <c r="A313" t="s">
        <v>77</v>
      </c>
      <c r="B313" t="s">
        <v>195</v>
      </c>
      <c r="C313" t="s">
        <v>44</v>
      </c>
      <c r="E313">
        <v>323</v>
      </c>
      <c r="F313" s="6" t="s">
        <v>362</v>
      </c>
      <c r="G313" s="6" t="s">
        <v>60</v>
      </c>
      <c r="H313" s="9">
        <v>46086</v>
      </c>
      <c r="J313" s="6" t="s">
        <v>52</v>
      </c>
      <c r="K313" s="6" t="s">
        <v>34</v>
      </c>
      <c r="L313" s="6" t="s">
        <v>35</v>
      </c>
      <c r="M313" s="4">
        <f t="shared" si="19"/>
        <v>4277.8600000000006</v>
      </c>
      <c r="N313" s="4">
        <v>2302.75</v>
      </c>
      <c r="O313" s="4">
        <v>654.0100000000001</v>
      </c>
      <c r="P313" s="4">
        <v>1051.94</v>
      </c>
      <c r="Q313" s="4">
        <v>269.16000000000003</v>
      </c>
      <c r="R313" s="4">
        <v>713.19460049999975</v>
      </c>
      <c r="S313" s="4">
        <v>713.19460049999975</v>
      </c>
      <c r="T313">
        <v>912</v>
      </c>
      <c r="U313">
        <v>0</v>
      </c>
      <c r="W313" t="s">
        <v>36</v>
      </c>
      <c r="X313" t="s">
        <v>36</v>
      </c>
      <c r="AE313" s="4">
        <f t="shared" si="20"/>
        <v>5189.8600000000006</v>
      </c>
      <c r="AF313">
        <f t="shared" si="17"/>
        <v>0</v>
      </c>
      <c r="AG313" s="4">
        <f t="shared" si="18"/>
        <v>5189.8600000000006</v>
      </c>
      <c r="AI313" t="s">
        <v>47</v>
      </c>
    </row>
    <row r="314" spans="1:35" x14ac:dyDescent="0.3">
      <c r="A314" t="s">
        <v>72</v>
      </c>
      <c r="B314" t="s">
        <v>43</v>
      </c>
      <c r="C314" t="s">
        <v>44</v>
      </c>
      <c r="E314">
        <v>325</v>
      </c>
      <c r="F314" s="6" t="s">
        <v>405</v>
      </c>
      <c r="G314" s="6" t="s">
        <v>111</v>
      </c>
      <c r="H314" s="9">
        <v>46086</v>
      </c>
      <c r="J314" s="6" t="s">
        <v>52</v>
      </c>
      <c r="K314" s="6" t="s">
        <v>34</v>
      </c>
      <c r="L314" s="6" t="s">
        <v>35</v>
      </c>
      <c r="M314" s="4">
        <f t="shared" si="19"/>
        <v>6073.7699999999995</v>
      </c>
      <c r="N314" s="4">
        <v>3356.8</v>
      </c>
      <c r="O314" s="4">
        <v>1624.52</v>
      </c>
      <c r="P314" s="4">
        <v>616.57000000000005</v>
      </c>
      <c r="Q314" s="4">
        <v>475.88</v>
      </c>
      <c r="R314" s="4">
        <v>1074.3975926999999</v>
      </c>
      <c r="S314" s="4">
        <v>1074.3975926999999</v>
      </c>
      <c r="T314">
        <v>950</v>
      </c>
      <c r="U314">
        <v>0</v>
      </c>
      <c r="W314" t="s">
        <v>36</v>
      </c>
      <c r="X314" t="s">
        <v>36</v>
      </c>
      <c r="Y314" s="6">
        <v>10000</v>
      </c>
      <c r="AC314" t="s">
        <v>113</v>
      </c>
      <c r="AD314" t="s">
        <v>38</v>
      </c>
      <c r="AE314" s="4">
        <f t="shared" si="20"/>
        <v>7023.7699999999995</v>
      </c>
      <c r="AF314">
        <f t="shared" si="17"/>
        <v>10000</v>
      </c>
      <c r="AG314" s="4">
        <f t="shared" si="18"/>
        <v>17023.77</v>
      </c>
      <c r="AI314" t="s">
        <v>47</v>
      </c>
    </row>
    <row r="315" spans="1:35" x14ac:dyDescent="0.3">
      <c r="A315" t="s">
        <v>77</v>
      </c>
      <c r="B315" t="s">
        <v>195</v>
      </c>
      <c r="C315" t="s">
        <v>44</v>
      </c>
      <c r="E315">
        <v>326</v>
      </c>
      <c r="F315" s="6" t="s">
        <v>266</v>
      </c>
      <c r="G315" s="6" t="s">
        <v>267</v>
      </c>
      <c r="H315" s="9">
        <v>46086</v>
      </c>
      <c r="I315" t="s">
        <v>36</v>
      </c>
      <c r="J315" s="6" t="s">
        <v>52</v>
      </c>
      <c r="K315" s="6" t="s">
        <v>34</v>
      </c>
      <c r="L315" s="6" t="s">
        <v>35</v>
      </c>
      <c r="M315" s="4">
        <f t="shared" si="19"/>
        <v>4435.369999999999</v>
      </c>
      <c r="N315" s="4">
        <v>3049.35</v>
      </c>
      <c r="O315" s="4">
        <v>758.94999999999993</v>
      </c>
      <c r="P315" s="4">
        <v>303.8</v>
      </c>
      <c r="Q315" s="4">
        <v>323.27</v>
      </c>
      <c r="R315" s="4">
        <v>832.05861750000008</v>
      </c>
      <c r="S315" s="4">
        <v>832.05861750000008</v>
      </c>
      <c r="T315">
        <v>912</v>
      </c>
      <c r="U315">
        <v>0</v>
      </c>
      <c r="W315" t="s">
        <v>36</v>
      </c>
      <c r="X315" t="s">
        <v>36</v>
      </c>
      <c r="Y315" s="6">
        <v>5000</v>
      </c>
      <c r="AE315" s="4">
        <f t="shared" si="20"/>
        <v>5347.369999999999</v>
      </c>
      <c r="AF315">
        <f t="shared" si="17"/>
        <v>5000</v>
      </c>
      <c r="AG315" s="4">
        <f t="shared" si="18"/>
        <v>10347.369999999999</v>
      </c>
      <c r="AI315" t="s">
        <v>47</v>
      </c>
    </row>
    <row r="316" spans="1:35" x14ac:dyDescent="0.3">
      <c r="A316" t="s">
        <v>43</v>
      </c>
      <c r="B316" t="s">
        <v>43</v>
      </c>
      <c r="C316" t="s">
        <v>44</v>
      </c>
      <c r="E316">
        <v>327</v>
      </c>
      <c r="F316" s="6" t="s">
        <v>172</v>
      </c>
      <c r="G316" s="6" t="s">
        <v>111</v>
      </c>
      <c r="H316" s="9">
        <v>46086</v>
      </c>
      <c r="J316" s="6" t="s">
        <v>52</v>
      </c>
      <c r="K316" s="6" t="s">
        <v>34</v>
      </c>
      <c r="L316" s="6" t="s">
        <v>35</v>
      </c>
      <c r="M316" s="4">
        <f t="shared" si="19"/>
        <v>6881.91</v>
      </c>
      <c r="N316" s="4">
        <v>3356.8</v>
      </c>
      <c r="O316" s="4">
        <v>2596.4499999999998</v>
      </c>
      <c r="P316" s="4">
        <v>318.95</v>
      </c>
      <c r="Q316" s="4">
        <v>609.71</v>
      </c>
      <c r="R316" s="4">
        <v>1282.4526662999999</v>
      </c>
      <c r="S316" s="4">
        <v>1282.4526662999999</v>
      </c>
      <c r="T316">
        <v>950</v>
      </c>
      <c r="U316">
        <v>0</v>
      </c>
      <c r="W316" t="s">
        <v>36</v>
      </c>
      <c r="X316" t="s">
        <v>36</v>
      </c>
      <c r="Y316" s="6">
        <v>15000</v>
      </c>
      <c r="AC316" t="s">
        <v>113</v>
      </c>
      <c r="AD316" t="s">
        <v>38</v>
      </c>
      <c r="AE316" s="4">
        <f t="shared" si="20"/>
        <v>7831.91</v>
      </c>
      <c r="AF316">
        <f t="shared" si="17"/>
        <v>15000</v>
      </c>
      <c r="AG316" s="4">
        <f t="shared" si="18"/>
        <v>22831.91</v>
      </c>
      <c r="AI316" t="s">
        <v>47</v>
      </c>
    </row>
    <row r="317" spans="1:35" x14ac:dyDescent="0.3">
      <c r="A317" t="s">
        <v>43</v>
      </c>
      <c r="B317" t="s">
        <v>43</v>
      </c>
      <c r="C317" t="s">
        <v>44</v>
      </c>
      <c r="E317">
        <v>328</v>
      </c>
      <c r="F317" s="6" t="s">
        <v>584</v>
      </c>
      <c r="G317" s="6" t="s">
        <v>71</v>
      </c>
      <c r="H317" s="9">
        <v>46093</v>
      </c>
      <c r="I317" t="s">
        <v>36</v>
      </c>
      <c r="J317" s="6" t="s">
        <v>33</v>
      </c>
      <c r="K317" s="6" t="s">
        <v>34</v>
      </c>
      <c r="L317" s="6" t="s">
        <v>35</v>
      </c>
      <c r="M317" s="4">
        <f t="shared" si="19"/>
        <v>5644.1200000000008</v>
      </c>
      <c r="N317" s="4">
        <v>2801.97</v>
      </c>
      <c r="O317" s="4">
        <v>1796.6</v>
      </c>
      <c r="P317" s="4">
        <v>574.20000000000005</v>
      </c>
      <c r="Q317" s="4">
        <v>471.35</v>
      </c>
      <c r="R317" s="4">
        <v>1057.3123338</v>
      </c>
      <c r="S317" s="4">
        <v>1057.3123338</v>
      </c>
      <c r="T317">
        <v>0</v>
      </c>
      <c r="U317">
        <v>0</v>
      </c>
      <c r="W317">
        <v>0</v>
      </c>
      <c r="X317">
        <v>0</v>
      </c>
      <c r="AE317" s="4">
        <f t="shared" si="20"/>
        <v>5644.1200000000008</v>
      </c>
      <c r="AF317">
        <f t="shared" si="17"/>
        <v>0</v>
      </c>
      <c r="AG317" s="4">
        <f t="shared" si="18"/>
        <v>5644.1200000000008</v>
      </c>
      <c r="AI317" t="s">
        <v>47</v>
      </c>
    </row>
    <row r="318" spans="1:35" x14ac:dyDescent="0.3">
      <c r="A318" t="s">
        <v>43</v>
      </c>
      <c r="B318" t="s">
        <v>43</v>
      </c>
      <c r="C318" t="s">
        <v>44</v>
      </c>
      <c r="E318">
        <v>329</v>
      </c>
      <c r="F318" s="6" t="s">
        <v>339</v>
      </c>
      <c r="G318" s="6" t="s">
        <v>60</v>
      </c>
      <c r="H318" s="9">
        <v>46093</v>
      </c>
      <c r="J318" s="6" t="s">
        <v>52</v>
      </c>
      <c r="K318" s="6" t="s">
        <v>34</v>
      </c>
      <c r="L318" s="6" t="s">
        <v>35</v>
      </c>
      <c r="M318" s="4">
        <f t="shared" si="19"/>
        <v>4615.68</v>
      </c>
      <c r="N318" s="4">
        <v>2302.75</v>
      </c>
      <c r="O318" s="4">
        <v>898.4799999999999</v>
      </c>
      <c r="P318" s="4">
        <v>1119.3599999999999</v>
      </c>
      <c r="Q318" s="4">
        <v>295.08999999999997</v>
      </c>
      <c r="R318" s="4">
        <v>748.04962049999995</v>
      </c>
      <c r="S318" s="4">
        <v>748.04962049999995</v>
      </c>
      <c r="T318">
        <v>950</v>
      </c>
      <c r="U318">
        <v>0</v>
      </c>
      <c r="W318" t="s">
        <v>36</v>
      </c>
      <c r="X318" t="s">
        <v>36</v>
      </c>
      <c r="AE318" s="4">
        <f t="shared" si="20"/>
        <v>5565.68</v>
      </c>
      <c r="AF318">
        <f t="shared" si="17"/>
        <v>0</v>
      </c>
      <c r="AG318" s="4">
        <f t="shared" si="18"/>
        <v>5565.68</v>
      </c>
      <c r="AI318" t="s">
        <v>47</v>
      </c>
    </row>
    <row r="319" spans="1:35" x14ac:dyDescent="0.3">
      <c r="A319" t="s">
        <v>43</v>
      </c>
      <c r="B319" t="s">
        <v>43</v>
      </c>
      <c r="C319" t="s">
        <v>44</v>
      </c>
      <c r="E319">
        <v>330</v>
      </c>
      <c r="F319" s="6" t="s">
        <v>376</v>
      </c>
      <c r="G319" s="6" t="s">
        <v>111</v>
      </c>
      <c r="H319" s="9">
        <v>46093</v>
      </c>
      <c r="I319" t="s">
        <v>36</v>
      </c>
      <c r="J319" s="6" t="s">
        <v>52</v>
      </c>
      <c r="K319" s="6" t="s">
        <v>34</v>
      </c>
      <c r="L319" s="6" t="s">
        <v>35</v>
      </c>
      <c r="M319" s="4">
        <f t="shared" si="19"/>
        <v>5286.12</v>
      </c>
      <c r="N319" s="4">
        <v>3356.8</v>
      </c>
      <c r="O319" s="4">
        <v>1145.69</v>
      </c>
      <c r="P319" s="4">
        <v>400</v>
      </c>
      <c r="Q319" s="4">
        <v>383.63</v>
      </c>
      <c r="R319" s="4">
        <v>994.85465759999988</v>
      </c>
      <c r="S319" s="4">
        <v>994.85465759999988</v>
      </c>
      <c r="T319">
        <v>836</v>
      </c>
      <c r="U319">
        <v>0</v>
      </c>
      <c r="W319" t="s">
        <v>36</v>
      </c>
      <c r="X319" t="s">
        <v>36</v>
      </c>
      <c r="Y319" s="6">
        <v>12000</v>
      </c>
      <c r="AE319" s="4">
        <f t="shared" si="20"/>
        <v>6122.12</v>
      </c>
      <c r="AF319">
        <f t="shared" si="17"/>
        <v>12000</v>
      </c>
      <c r="AG319" s="4">
        <f t="shared" si="18"/>
        <v>18122.12</v>
      </c>
      <c r="AI319" t="s">
        <v>47</v>
      </c>
    </row>
    <row r="320" spans="1:35" x14ac:dyDescent="0.3">
      <c r="A320" t="s">
        <v>43</v>
      </c>
      <c r="B320" t="s">
        <v>43</v>
      </c>
      <c r="C320" t="s">
        <v>44</v>
      </c>
      <c r="E320">
        <v>331</v>
      </c>
      <c r="F320" s="6" t="s">
        <v>614</v>
      </c>
      <c r="G320" s="6" t="s">
        <v>251</v>
      </c>
      <c r="H320" s="9">
        <v>46100</v>
      </c>
      <c r="J320" s="6" t="s">
        <v>52</v>
      </c>
      <c r="K320" s="6" t="s">
        <v>34</v>
      </c>
      <c r="L320" s="6" t="s">
        <v>35</v>
      </c>
      <c r="M320" s="4">
        <f t="shared" si="19"/>
        <v>5814.97</v>
      </c>
      <c r="N320" s="4">
        <v>3049.35</v>
      </c>
      <c r="O320" s="4">
        <v>1985.9099999999999</v>
      </c>
      <c r="P320" s="4">
        <v>300</v>
      </c>
      <c r="Q320" s="4">
        <v>479.71</v>
      </c>
      <c r="R320" s="4">
        <v>1088.8855227000001</v>
      </c>
      <c r="S320" s="4">
        <v>1088.8855227000001</v>
      </c>
      <c r="T320">
        <v>912</v>
      </c>
      <c r="U320">
        <v>0</v>
      </c>
      <c r="V320">
        <v>600</v>
      </c>
      <c r="W320">
        <f>3500+3500</f>
        <v>7000</v>
      </c>
      <c r="X320" t="s">
        <v>36</v>
      </c>
      <c r="Y320" s="6">
        <f>3500+3500</f>
        <v>7000</v>
      </c>
      <c r="AE320" s="4">
        <f t="shared" si="20"/>
        <v>7326.97</v>
      </c>
      <c r="AF320">
        <f t="shared" si="17"/>
        <v>7000</v>
      </c>
      <c r="AG320" s="4">
        <f t="shared" si="18"/>
        <v>14326.970000000001</v>
      </c>
      <c r="AI320" t="s">
        <v>47</v>
      </c>
    </row>
    <row r="321" spans="1:35" x14ac:dyDescent="0.3">
      <c r="A321" t="s">
        <v>43</v>
      </c>
      <c r="B321" t="s">
        <v>43</v>
      </c>
      <c r="C321" t="s">
        <v>44</v>
      </c>
      <c r="E321">
        <v>332</v>
      </c>
      <c r="F321" s="6" t="s">
        <v>639</v>
      </c>
      <c r="G321" s="6" t="s">
        <v>111</v>
      </c>
      <c r="H321" s="9">
        <v>46093</v>
      </c>
      <c r="I321" t="s">
        <v>36</v>
      </c>
      <c r="J321" s="6" t="s">
        <v>52</v>
      </c>
      <c r="K321" s="6" t="s">
        <v>34</v>
      </c>
      <c r="L321" s="6" t="s">
        <v>35</v>
      </c>
      <c r="M321" s="4">
        <f t="shared" si="19"/>
        <v>6101.9800000000014</v>
      </c>
      <c r="N321" s="4">
        <v>3356.8</v>
      </c>
      <c r="O321" s="4">
        <v>1908.8200000000002</v>
      </c>
      <c r="P321" s="4">
        <v>318.14</v>
      </c>
      <c r="Q321" s="4">
        <v>518.22</v>
      </c>
      <c r="R321" s="4">
        <v>1137.9009194999999</v>
      </c>
      <c r="S321" s="4">
        <v>1137.9009194999999</v>
      </c>
      <c r="T321">
        <v>950</v>
      </c>
      <c r="U321">
        <v>0</v>
      </c>
      <c r="W321" t="s">
        <v>36</v>
      </c>
      <c r="X321" t="s">
        <v>36</v>
      </c>
      <c r="Y321" s="6">
        <v>38000</v>
      </c>
      <c r="AE321" s="4">
        <f t="shared" si="20"/>
        <v>7051.9800000000014</v>
      </c>
      <c r="AF321">
        <f t="shared" si="17"/>
        <v>38000</v>
      </c>
      <c r="AG321" s="4">
        <f t="shared" si="18"/>
        <v>45051.98</v>
      </c>
      <c r="AI321" t="s">
        <v>47</v>
      </c>
    </row>
    <row r="322" spans="1:35" x14ac:dyDescent="0.3">
      <c r="A322" t="s">
        <v>43</v>
      </c>
      <c r="B322" t="s">
        <v>43</v>
      </c>
      <c r="C322" t="s">
        <v>44</v>
      </c>
      <c r="E322">
        <v>333</v>
      </c>
      <c r="F322" s="6" t="s">
        <v>630</v>
      </c>
      <c r="G322" s="6" t="s">
        <v>106</v>
      </c>
      <c r="H322" s="9">
        <v>46093</v>
      </c>
      <c r="J322" s="6" t="s">
        <v>52</v>
      </c>
      <c r="K322" s="6" t="s">
        <v>34</v>
      </c>
      <c r="L322" s="6" t="s">
        <v>35</v>
      </c>
      <c r="M322" s="4">
        <f t="shared" si="19"/>
        <v>10691.830000000002</v>
      </c>
      <c r="N322" s="4">
        <v>4681.28</v>
      </c>
      <c r="O322" s="4">
        <v>3701.56</v>
      </c>
      <c r="P322" s="4">
        <v>624.20000000000005</v>
      </c>
      <c r="Q322" s="4">
        <v>1684.79</v>
      </c>
      <c r="R322" s="4">
        <v>1843.0662672000001</v>
      </c>
      <c r="S322" s="4">
        <v>1843.0662672000001</v>
      </c>
      <c r="T322">
        <v>1026</v>
      </c>
      <c r="U322">
        <v>0</v>
      </c>
      <c r="W322" t="s">
        <v>36</v>
      </c>
      <c r="X322" t="s">
        <v>36</v>
      </c>
      <c r="Y322" s="6">
        <v>14500</v>
      </c>
      <c r="AE322" s="4">
        <f t="shared" si="20"/>
        <v>11717.830000000002</v>
      </c>
      <c r="AF322">
        <f t="shared" si="17"/>
        <v>14500</v>
      </c>
      <c r="AG322" s="4">
        <f t="shared" si="18"/>
        <v>26217.83</v>
      </c>
      <c r="AI322" t="s">
        <v>39</v>
      </c>
    </row>
    <row r="323" spans="1:35" x14ac:dyDescent="0.3">
      <c r="A323" t="s">
        <v>43</v>
      </c>
      <c r="B323" t="s">
        <v>43</v>
      </c>
      <c r="C323" t="s">
        <v>44</v>
      </c>
      <c r="E323">
        <v>334</v>
      </c>
      <c r="F323" s="6" t="s">
        <v>571</v>
      </c>
      <c r="G323" s="6" t="s">
        <v>111</v>
      </c>
      <c r="H323" s="9">
        <v>46093</v>
      </c>
      <c r="I323" t="s">
        <v>36</v>
      </c>
      <c r="J323" s="6" t="s">
        <v>52</v>
      </c>
      <c r="K323" s="6" t="s">
        <v>34</v>
      </c>
      <c r="L323" s="6" t="s">
        <v>35</v>
      </c>
      <c r="M323" s="4">
        <f t="shared" si="19"/>
        <v>7424.57</v>
      </c>
      <c r="N323" s="4">
        <v>3356.8</v>
      </c>
      <c r="O323" s="4">
        <v>2083.7799999999997</v>
      </c>
      <c r="P323" s="4">
        <v>1444.3200000000002</v>
      </c>
      <c r="Q323" s="4">
        <v>539.66999999999996</v>
      </c>
      <c r="R323" s="4">
        <v>1170.8284148999999</v>
      </c>
      <c r="S323" s="4">
        <v>1170.8284148999999</v>
      </c>
      <c r="T323">
        <v>950</v>
      </c>
      <c r="U323">
        <v>0</v>
      </c>
      <c r="W323" t="s">
        <v>36</v>
      </c>
      <c r="X323" t="s">
        <v>36</v>
      </c>
      <c r="Y323" s="6">
        <v>15000</v>
      </c>
      <c r="AE323" s="4">
        <f t="shared" si="20"/>
        <v>8374.57</v>
      </c>
      <c r="AF323">
        <f t="shared" ref="AF323:AF386" si="21">U323+Y323</f>
        <v>15000</v>
      </c>
      <c r="AG323" s="4">
        <f t="shared" ref="AG323:AG386" si="22">AF323+AE323</f>
        <v>23374.57</v>
      </c>
      <c r="AI323" t="s">
        <v>47</v>
      </c>
    </row>
    <row r="324" spans="1:35" x14ac:dyDescent="0.3">
      <c r="A324" t="s">
        <v>43</v>
      </c>
      <c r="B324" t="s">
        <v>43</v>
      </c>
      <c r="C324" t="s">
        <v>44</v>
      </c>
      <c r="E324">
        <v>335</v>
      </c>
      <c r="F324" s="6" t="s">
        <v>258</v>
      </c>
      <c r="G324" s="6" t="s">
        <v>60</v>
      </c>
      <c r="H324" s="9">
        <v>46093</v>
      </c>
      <c r="J324" s="6" t="s">
        <v>52</v>
      </c>
      <c r="K324" s="6" t="s">
        <v>34</v>
      </c>
      <c r="L324" s="6" t="s">
        <v>35</v>
      </c>
      <c r="M324" s="4">
        <f t="shared" ref="M324:M387" si="23">N324+O324+P324+Q324-S324+R324</f>
        <v>5204.9399999999996</v>
      </c>
      <c r="N324" s="4">
        <v>2302.75</v>
      </c>
      <c r="O324" s="4">
        <v>1679.36</v>
      </c>
      <c r="P324" s="4">
        <v>848.86999999999989</v>
      </c>
      <c r="Q324" s="4">
        <v>373.96</v>
      </c>
      <c r="R324" s="4">
        <v>880.6981679999999</v>
      </c>
      <c r="S324" s="4">
        <v>880.6981679999999</v>
      </c>
      <c r="T324">
        <v>874</v>
      </c>
      <c r="U324">
        <v>0</v>
      </c>
      <c r="W324" t="s">
        <v>36</v>
      </c>
      <c r="X324" t="s">
        <v>36</v>
      </c>
      <c r="AE324" s="4">
        <f t="shared" ref="AE324:AE387" si="24">M324+T324+V324</f>
        <v>6078.94</v>
      </c>
      <c r="AF324">
        <f t="shared" si="21"/>
        <v>0</v>
      </c>
      <c r="AG324" s="4">
        <f t="shared" si="22"/>
        <v>6078.94</v>
      </c>
      <c r="AI324" t="s">
        <v>47</v>
      </c>
    </row>
    <row r="325" spans="1:35" x14ac:dyDescent="0.3">
      <c r="A325" t="s">
        <v>43</v>
      </c>
      <c r="B325" t="s">
        <v>43</v>
      </c>
      <c r="C325" t="s">
        <v>44</v>
      </c>
      <c r="E325">
        <v>336</v>
      </c>
      <c r="F325" s="6" t="s">
        <v>425</v>
      </c>
      <c r="G325" s="6" t="s">
        <v>111</v>
      </c>
      <c r="H325" s="9">
        <v>46093</v>
      </c>
      <c r="I325" t="s">
        <v>36</v>
      </c>
      <c r="J325" s="6" t="s">
        <v>52</v>
      </c>
      <c r="K325" s="6" t="s">
        <v>34</v>
      </c>
      <c r="L325" s="6" t="s">
        <v>35</v>
      </c>
      <c r="M325" s="4">
        <f t="shared" si="23"/>
        <v>5974.63</v>
      </c>
      <c r="N325" s="4">
        <v>3356.8</v>
      </c>
      <c r="O325" s="4">
        <v>1815.25</v>
      </c>
      <c r="P325" s="4">
        <v>300</v>
      </c>
      <c r="Q325" s="4">
        <v>502.58</v>
      </c>
      <c r="R325" s="4">
        <v>1114.4451707999999</v>
      </c>
      <c r="S325" s="4">
        <v>1114.4451707999999</v>
      </c>
      <c r="T325">
        <v>950</v>
      </c>
      <c r="U325">
        <v>0</v>
      </c>
      <c r="W325" t="s">
        <v>36</v>
      </c>
      <c r="X325" t="s">
        <v>36</v>
      </c>
      <c r="Y325" s="6">
        <v>12000</v>
      </c>
      <c r="AE325" s="4">
        <f t="shared" si="24"/>
        <v>6924.63</v>
      </c>
      <c r="AF325">
        <f t="shared" si="21"/>
        <v>12000</v>
      </c>
      <c r="AG325" s="4">
        <f t="shared" si="22"/>
        <v>18924.63</v>
      </c>
      <c r="AI325" t="s">
        <v>47</v>
      </c>
    </row>
    <row r="326" spans="1:35" x14ac:dyDescent="0.3">
      <c r="A326" t="s">
        <v>43</v>
      </c>
      <c r="B326" t="s">
        <v>43</v>
      </c>
      <c r="C326" t="s">
        <v>44</v>
      </c>
      <c r="E326">
        <v>337</v>
      </c>
      <c r="F326" s="6" t="s">
        <v>542</v>
      </c>
      <c r="G326" s="6" t="s">
        <v>111</v>
      </c>
      <c r="H326" s="9">
        <v>46100</v>
      </c>
      <c r="J326" s="6" t="s">
        <v>33</v>
      </c>
      <c r="K326" s="6" t="s">
        <v>34</v>
      </c>
      <c r="L326" s="6" t="s">
        <v>35</v>
      </c>
      <c r="M326" s="4">
        <f t="shared" si="23"/>
        <v>3192.39</v>
      </c>
      <c r="N326" s="4">
        <v>3192.39</v>
      </c>
      <c r="O326" s="4">
        <v>0</v>
      </c>
      <c r="P326" s="4">
        <v>0</v>
      </c>
      <c r="Q326" s="4">
        <v>0</v>
      </c>
      <c r="R326" s="4">
        <v>0</v>
      </c>
      <c r="S326" s="4">
        <v>0</v>
      </c>
      <c r="T326">
        <v>0</v>
      </c>
      <c r="U326">
        <v>0</v>
      </c>
      <c r="W326">
        <v>0</v>
      </c>
      <c r="X326">
        <v>0</v>
      </c>
      <c r="AE326" s="4">
        <f t="shared" si="24"/>
        <v>3192.39</v>
      </c>
      <c r="AF326">
        <f t="shared" si="21"/>
        <v>0</v>
      </c>
      <c r="AG326" s="4">
        <f t="shared" si="22"/>
        <v>3192.39</v>
      </c>
      <c r="AI326" t="s">
        <v>47</v>
      </c>
    </row>
    <row r="327" spans="1:35" x14ac:dyDescent="0.3">
      <c r="A327" t="s">
        <v>43</v>
      </c>
      <c r="B327" t="s">
        <v>43</v>
      </c>
      <c r="C327" t="s">
        <v>44</v>
      </c>
      <c r="E327">
        <v>338</v>
      </c>
      <c r="F327" s="6" t="s">
        <v>462</v>
      </c>
      <c r="G327" s="6" t="s">
        <v>106</v>
      </c>
      <c r="H327" s="9">
        <v>46093</v>
      </c>
      <c r="J327" s="6" t="s">
        <v>52</v>
      </c>
      <c r="K327" s="6" t="s">
        <v>34</v>
      </c>
      <c r="L327" s="6" t="s">
        <v>35</v>
      </c>
      <c r="M327" s="4">
        <f t="shared" si="23"/>
        <v>9901.6</v>
      </c>
      <c r="N327" s="4">
        <v>4681.28</v>
      </c>
      <c r="O327" s="4">
        <v>3183.71</v>
      </c>
      <c r="P327" s="4">
        <v>633.75</v>
      </c>
      <c r="Q327" s="4">
        <v>1402.8600000000001</v>
      </c>
      <c r="R327" s="4">
        <v>1736.3385161999997</v>
      </c>
      <c r="S327" s="4">
        <v>1736.3385161999997</v>
      </c>
      <c r="T327">
        <v>988</v>
      </c>
      <c r="U327">
        <v>0</v>
      </c>
      <c r="W327" t="s">
        <v>36</v>
      </c>
      <c r="X327" t="s">
        <v>36</v>
      </c>
      <c r="Y327" s="6">
        <v>13000</v>
      </c>
      <c r="AE327" s="4">
        <f t="shared" si="24"/>
        <v>10889.6</v>
      </c>
      <c r="AF327">
        <f t="shared" si="21"/>
        <v>13000</v>
      </c>
      <c r="AG327" s="4">
        <f t="shared" si="22"/>
        <v>23889.599999999999</v>
      </c>
      <c r="AI327" t="s">
        <v>47</v>
      </c>
    </row>
    <row r="328" spans="1:35" x14ac:dyDescent="0.3">
      <c r="A328" t="s">
        <v>43</v>
      </c>
      <c r="B328" t="s">
        <v>43</v>
      </c>
      <c r="C328" t="s">
        <v>44</v>
      </c>
      <c r="E328">
        <v>339</v>
      </c>
      <c r="F328" s="6" t="s">
        <v>538</v>
      </c>
      <c r="G328" s="6" t="s">
        <v>111</v>
      </c>
      <c r="H328" s="9">
        <v>46093</v>
      </c>
      <c r="I328" t="s">
        <v>36</v>
      </c>
      <c r="J328" s="6" t="s">
        <v>52</v>
      </c>
      <c r="K328" s="6" t="s">
        <v>34</v>
      </c>
      <c r="L328" s="6" t="s">
        <v>35</v>
      </c>
      <c r="M328" s="4">
        <f t="shared" si="23"/>
        <v>9847.0400000000009</v>
      </c>
      <c r="N328" s="4">
        <v>3356.8</v>
      </c>
      <c r="O328" s="4">
        <v>3840.3</v>
      </c>
      <c r="P328" s="4">
        <v>1481.9799999999998</v>
      </c>
      <c r="Q328" s="4">
        <v>1167.96</v>
      </c>
      <c r="R328" s="4">
        <v>1545.3854991000003</v>
      </c>
      <c r="S328" s="4">
        <v>1545.3854991000003</v>
      </c>
      <c r="T328">
        <v>1026</v>
      </c>
      <c r="U328">
        <v>0</v>
      </c>
      <c r="W328" t="s">
        <v>36</v>
      </c>
      <c r="X328" t="s">
        <v>36</v>
      </c>
      <c r="Y328" s="6">
        <v>38000</v>
      </c>
      <c r="AE328" s="4">
        <f t="shared" si="24"/>
        <v>10873.04</v>
      </c>
      <c r="AF328">
        <f t="shared" si="21"/>
        <v>38000</v>
      </c>
      <c r="AG328" s="4">
        <f t="shared" si="22"/>
        <v>48873.04</v>
      </c>
      <c r="AI328" t="s">
        <v>47</v>
      </c>
    </row>
    <row r="329" spans="1:35" x14ac:dyDescent="0.3">
      <c r="A329" t="s">
        <v>43</v>
      </c>
      <c r="B329" t="s">
        <v>43</v>
      </c>
      <c r="C329" t="s">
        <v>44</v>
      </c>
      <c r="E329">
        <v>340</v>
      </c>
      <c r="F329" s="6" t="s">
        <v>555</v>
      </c>
      <c r="G329" s="6" t="s">
        <v>60</v>
      </c>
      <c r="H329" s="9">
        <v>46093</v>
      </c>
      <c r="I329" t="s">
        <v>36</v>
      </c>
      <c r="J329" s="6" t="s">
        <v>52</v>
      </c>
      <c r="K329" s="6" t="s">
        <v>34</v>
      </c>
      <c r="L329" s="6" t="s">
        <v>35</v>
      </c>
      <c r="M329" s="4">
        <f t="shared" si="23"/>
        <v>4191.92</v>
      </c>
      <c r="N329" s="4">
        <v>2302.75</v>
      </c>
      <c r="O329" s="4">
        <v>1077.49</v>
      </c>
      <c r="P329" s="4">
        <v>490.2</v>
      </c>
      <c r="Q329" s="4">
        <v>321.48</v>
      </c>
      <c r="R329" s="4">
        <v>788.99587020000001</v>
      </c>
      <c r="S329" s="4">
        <v>788.99587020000001</v>
      </c>
      <c r="T329">
        <v>912</v>
      </c>
      <c r="U329">
        <v>0</v>
      </c>
      <c r="W329" t="s">
        <v>36</v>
      </c>
      <c r="X329" t="s">
        <v>36</v>
      </c>
      <c r="AE329" s="4">
        <f t="shared" si="24"/>
        <v>5103.92</v>
      </c>
      <c r="AF329">
        <f t="shared" si="21"/>
        <v>0</v>
      </c>
      <c r="AG329" s="4">
        <f t="shared" si="22"/>
        <v>5103.92</v>
      </c>
      <c r="AI329" t="s">
        <v>47</v>
      </c>
    </row>
    <row r="330" spans="1:35" x14ac:dyDescent="0.3">
      <c r="A330" t="s">
        <v>43</v>
      </c>
      <c r="B330" t="s">
        <v>43</v>
      </c>
      <c r="C330" t="s">
        <v>44</v>
      </c>
      <c r="E330">
        <v>341</v>
      </c>
      <c r="F330" s="6" t="s">
        <v>635</v>
      </c>
      <c r="G330" s="6" t="s">
        <v>106</v>
      </c>
      <c r="H330" s="9">
        <v>46100</v>
      </c>
      <c r="I330" t="s">
        <v>36</v>
      </c>
      <c r="J330" s="6" t="s">
        <v>33</v>
      </c>
      <c r="K330" s="6" t="s">
        <v>34</v>
      </c>
      <c r="L330" s="6" t="s">
        <v>35</v>
      </c>
      <c r="M330" s="4">
        <f t="shared" si="23"/>
        <v>0</v>
      </c>
      <c r="N330" s="4">
        <v>0</v>
      </c>
      <c r="O330" s="4">
        <v>0</v>
      </c>
      <c r="P330" s="4">
        <v>0</v>
      </c>
      <c r="Q330" s="4">
        <v>0</v>
      </c>
      <c r="R330" s="4">
        <v>0</v>
      </c>
      <c r="S330" s="4">
        <v>0</v>
      </c>
      <c r="T330">
        <v>0</v>
      </c>
      <c r="U330">
        <v>0</v>
      </c>
      <c r="W330" t="s">
        <v>736</v>
      </c>
      <c r="X330" t="s">
        <v>736</v>
      </c>
      <c r="AE330" s="4">
        <f t="shared" si="24"/>
        <v>0</v>
      </c>
      <c r="AF330">
        <f t="shared" si="21"/>
        <v>0</v>
      </c>
      <c r="AG330" s="4">
        <f t="shared" si="22"/>
        <v>0</v>
      </c>
      <c r="AI330" t="s">
        <v>47</v>
      </c>
    </row>
    <row r="331" spans="1:35" x14ac:dyDescent="0.3">
      <c r="A331" t="s">
        <v>43</v>
      </c>
      <c r="B331" t="s">
        <v>43</v>
      </c>
      <c r="C331" t="s">
        <v>44</v>
      </c>
      <c r="E331">
        <v>342</v>
      </c>
      <c r="F331" s="6" t="s">
        <v>464</v>
      </c>
      <c r="G331" s="6" t="s">
        <v>136</v>
      </c>
      <c r="H331" s="9">
        <v>46093</v>
      </c>
      <c r="I331" t="s">
        <v>36</v>
      </c>
      <c r="J331" s="6" t="s">
        <v>33</v>
      </c>
      <c r="K331" s="6" t="s">
        <v>34</v>
      </c>
      <c r="L331" s="6" t="s">
        <v>35</v>
      </c>
      <c r="M331" s="4">
        <f t="shared" si="23"/>
        <v>5479.34411</v>
      </c>
      <c r="N331" s="4">
        <v>2801.9741100000001</v>
      </c>
      <c r="O331" s="4">
        <v>1482.9299999999998</v>
      </c>
      <c r="P331" s="4">
        <v>886.92000000000007</v>
      </c>
      <c r="Q331" s="4">
        <v>307.52</v>
      </c>
      <c r="R331" s="4">
        <v>938.95854389999988</v>
      </c>
      <c r="S331" s="4">
        <v>938.95854389999988</v>
      </c>
      <c r="T331">
        <v>0</v>
      </c>
      <c r="U331">
        <v>0</v>
      </c>
      <c r="W331">
        <v>0</v>
      </c>
      <c r="X331">
        <v>0</v>
      </c>
      <c r="AE331" s="4">
        <f t="shared" si="24"/>
        <v>5479.34411</v>
      </c>
      <c r="AF331">
        <f t="shared" si="21"/>
        <v>0</v>
      </c>
      <c r="AG331" s="4">
        <f t="shared" si="22"/>
        <v>5479.34411</v>
      </c>
      <c r="AI331" t="s">
        <v>47</v>
      </c>
    </row>
    <row r="332" spans="1:35" x14ac:dyDescent="0.3">
      <c r="A332" t="s">
        <v>43</v>
      </c>
      <c r="B332" t="s">
        <v>43</v>
      </c>
      <c r="C332" t="s">
        <v>44</v>
      </c>
      <c r="E332">
        <v>343</v>
      </c>
      <c r="F332" s="6" t="s">
        <v>551</v>
      </c>
      <c r="G332" s="6" t="s">
        <v>60</v>
      </c>
      <c r="H332" s="9">
        <v>46093</v>
      </c>
      <c r="J332" s="6" t="s">
        <v>52</v>
      </c>
      <c r="K332" s="6" t="s">
        <v>34</v>
      </c>
      <c r="L332" s="6" t="s">
        <v>35</v>
      </c>
      <c r="M332" s="4">
        <f t="shared" si="23"/>
        <v>6301.0599999999995</v>
      </c>
      <c r="N332" s="4">
        <v>2302.75</v>
      </c>
      <c r="O332" s="4">
        <v>1814.54</v>
      </c>
      <c r="P332" s="4">
        <v>1794.08</v>
      </c>
      <c r="Q332" s="4">
        <v>389.69</v>
      </c>
      <c r="R332" s="4">
        <v>943.77105629999983</v>
      </c>
      <c r="S332" s="4">
        <v>943.77105629999983</v>
      </c>
      <c r="T332">
        <v>874</v>
      </c>
      <c r="U332">
        <v>0</v>
      </c>
      <c r="W332" t="s">
        <v>36</v>
      </c>
      <c r="X332" t="s">
        <v>36</v>
      </c>
      <c r="AE332" s="4">
        <f t="shared" si="24"/>
        <v>7175.0599999999995</v>
      </c>
      <c r="AF332">
        <f t="shared" si="21"/>
        <v>0</v>
      </c>
      <c r="AG332" s="4">
        <f t="shared" si="22"/>
        <v>7175.0599999999995</v>
      </c>
      <c r="AI332" t="s">
        <v>47</v>
      </c>
    </row>
    <row r="333" spans="1:35" x14ac:dyDescent="0.3">
      <c r="A333" t="s">
        <v>43</v>
      </c>
      <c r="B333" t="s">
        <v>43</v>
      </c>
      <c r="C333" t="s">
        <v>44</v>
      </c>
      <c r="E333">
        <v>344</v>
      </c>
      <c r="F333" s="6" t="s">
        <v>351</v>
      </c>
      <c r="G333" s="6" t="s">
        <v>136</v>
      </c>
      <c r="H333" s="9">
        <v>46093</v>
      </c>
      <c r="I333" t="s">
        <v>36</v>
      </c>
      <c r="J333" s="6" t="s">
        <v>33</v>
      </c>
      <c r="K333" s="6" t="s">
        <v>34</v>
      </c>
      <c r="L333" s="6" t="s">
        <v>35</v>
      </c>
      <c r="M333" s="4">
        <f t="shared" si="23"/>
        <v>2664.74</v>
      </c>
      <c r="N333" s="4">
        <v>2664.74</v>
      </c>
      <c r="O333" s="4">
        <v>0</v>
      </c>
      <c r="P333" s="4">
        <v>0</v>
      </c>
      <c r="Q333" s="4">
        <v>0</v>
      </c>
      <c r="R333" s="4">
        <v>0</v>
      </c>
      <c r="S333" s="4">
        <v>0</v>
      </c>
      <c r="T333">
        <v>0</v>
      </c>
      <c r="U333">
        <v>0</v>
      </c>
      <c r="W333">
        <v>0</v>
      </c>
      <c r="X333" t="s">
        <v>36</v>
      </c>
      <c r="AE333" s="4">
        <f t="shared" si="24"/>
        <v>2664.74</v>
      </c>
      <c r="AF333">
        <f t="shared" si="21"/>
        <v>0</v>
      </c>
      <c r="AG333" s="4">
        <f t="shared" si="22"/>
        <v>2664.74</v>
      </c>
      <c r="AI333" t="s">
        <v>47</v>
      </c>
    </row>
    <row r="334" spans="1:35" x14ac:dyDescent="0.3">
      <c r="A334" t="s">
        <v>43</v>
      </c>
      <c r="B334" t="s">
        <v>43</v>
      </c>
      <c r="C334" t="s">
        <v>44</v>
      </c>
      <c r="E334">
        <v>345</v>
      </c>
      <c r="F334" s="6" t="s">
        <v>119</v>
      </c>
      <c r="G334" s="6" t="s">
        <v>111</v>
      </c>
      <c r="H334" s="9">
        <v>46100</v>
      </c>
      <c r="J334" s="6" t="s">
        <v>52</v>
      </c>
      <c r="K334" s="6" t="s">
        <v>34</v>
      </c>
      <c r="L334" s="6" t="s">
        <v>35</v>
      </c>
      <c r="M334" s="4">
        <f t="shared" si="23"/>
        <v>6199.88</v>
      </c>
      <c r="N334" s="4">
        <v>3356.8</v>
      </c>
      <c r="O334" s="4">
        <v>2017.3600000000001</v>
      </c>
      <c r="P334" s="4">
        <v>300</v>
      </c>
      <c r="Q334" s="4">
        <v>525.72</v>
      </c>
      <c r="R334" s="4">
        <v>1156.8822074999998</v>
      </c>
      <c r="S334" s="4">
        <v>1156.8822074999998</v>
      </c>
      <c r="T334">
        <v>988</v>
      </c>
      <c r="U334">
        <v>0</v>
      </c>
      <c r="W334" t="s">
        <v>36</v>
      </c>
      <c r="X334" t="s">
        <v>36</v>
      </c>
      <c r="Y334" s="6">
        <v>11000</v>
      </c>
      <c r="AE334" s="4">
        <f t="shared" si="24"/>
        <v>7187.88</v>
      </c>
      <c r="AF334">
        <f t="shared" si="21"/>
        <v>11000</v>
      </c>
      <c r="AG334" s="4">
        <f t="shared" si="22"/>
        <v>18187.88</v>
      </c>
      <c r="AI334" t="s">
        <v>47</v>
      </c>
    </row>
    <row r="335" spans="1:35" x14ac:dyDescent="0.3">
      <c r="A335" t="s">
        <v>43</v>
      </c>
      <c r="B335" t="s">
        <v>43</v>
      </c>
      <c r="C335" t="s">
        <v>44</v>
      </c>
      <c r="E335">
        <v>346</v>
      </c>
      <c r="F335" s="6" t="s">
        <v>414</v>
      </c>
      <c r="G335" s="6" t="s">
        <v>60</v>
      </c>
      <c r="H335" s="9">
        <v>46093</v>
      </c>
      <c r="J335" s="6" t="s">
        <v>52</v>
      </c>
      <c r="K335" s="6" t="s">
        <v>34</v>
      </c>
      <c r="L335" s="6" t="s">
        <v>35</v>
      </c>
      <c r="M335" s="4">
        <f t="shared" si="23"/>
        <v>4572.5</v>
      </c>
      <c r="N335" s="4">
        <v>2302.75</v>
      </c>
      <c r="O335" s="4">
        <v>1071.82</v>
      </c>
      <c r="P335" s="4">
        <v>877.1400000000001</v>
      </c>
      <c r="Q335" s="4">
        <v>320.79000000000002</v>
      </c>
      <c r="R335" s="4">
        <v>803.55309029999989</v>
      </c>
      <c r="S335" s="4">
        <v>803.55309029999989</v>
      </c>
      <c r="T335">
        <v>912</v>
      </c>
      <c r="U335">
        <v>0</v>
      </c>
      <c r="W335" t="s">
        <v>36</v>
      </c>
      <c r="X335" t="s">
        <v>36</v>
      </c>
      <c r="AE335" s="4">
        <f t="shared" si="24"/>
        <v>5484.5</v>
      </c>
      <c r="AF335">
        <f t="shared" si="21"/>
        <v>0</v>
      </c>
      <c r="AG335" s="4">
        <f t="shared" si="22"/>
        <v>5484.5</v>
      </c>
      <c r="AI335" t="s">
        <v>47</v>
      </c>
    </row>
    <row r="336" spans="1:35" x14ac:dyDescent="0.3">
      <c r="A336" t="s">
        <v>43</v>
      </c>
      <c r="B336" t="s">
        <v>43</v>
      </c>
      <c r="C336" t="s">
        <v>44</v>
      </c>
      <c r="E336">
        <v>347</v>
      </c>
      <c r="F336" s="6" t="s">
        <v>177</v>
      </c>
      <c r="G336" s="6" t="s">
        <v>71</v>
      </c>
      <c r="H336" s="9">
        <v>46093</v>
      </c>
      <c r="I336" t="s">
        <v>36</v>
      </c>
      <c r="J336" s="6" t="s">
        <v>52</v>
      </c>
      <c r="K336" s="6" t="s">
        <v>34</v>
      </c>
      <c r="L336" s="6" t="s">
        <v>35</v>
      </c>
      <c r="M336" s="4">
        <f t="shared" si="23"/>
        <v>6561.37</v>
      </c>
      <c r="N336" s="4">
        <v>2801.97</v>
      </c>
      <c r="O336" s="4">
        <v>2021.55</v>
      </c>
      <c r="P336" s="4">
        <v>1234.3400000000001</v>
      </c>
      <c r="Q336" s="4">
        <v>503.51</v>
      </c>
      <c r="R336" s="4">
        <v>1105.3387718999995</v>
      </c>
      <c r="S336" s="4">
        <v>1105.3387718999995</v>
      </c>
      <c r="T336">
        <v>912</v>
      </c>
      <c r="U336">
        <v>0</v>
      </c>
      <c r="W336" t="s">
        <v>36</v>
      </c>
      <c r="X336" t="s">
        <v>36</v>
      </c>
      <c r="AE336" s="4">
        <f t="shared" si="24"/>
        <v>7473.37</v>
      </c>
      <c r="AF336">
        <f t="shared" si="21"/>
        <v>0</v>
      </c>
      <c r="AG336" s="4">
        <f t="shared" si="22"/>
        <v>7473.37</v>
      </c>
      <c r="AI336" t="s">
        <v>47</v>
      </c>
    </row>
    <row r="337" spans="1:35" x14ac:dyDescent="0.3">
      <c r="A337" t="s">
        <v>43</v>
      </c>
      <c r="B337" t="s">
        <v>43</v>
      </c>
      <c r="C337" t="s">
        <v>44</v>
      </c>
      <c r="E337">
        <v>349</v>
      </c>
      <c r="F337" s="6" t="s">
        <v>336</v>
      </c>
      <c r="G337" s="6" t="s">
        <v>71</v>
      </c>
      <c r="H337" s="9">
        <v>46093</v>
      </c>
      <c r="I337" t="s">
        <v>36</v>
      </c>
      <c r="J337" s="6" t="s">
        <v>52</v>
      </c>
      <c r="K337" s="6" t="s">
        <v>34</v>
      </c>
      <c r="L337" s="6" t="s">
        <v>35</v>
      </c>
      <c r="M337" s="4">
        <f t="shared" si="23"/>
        <v>7140.67</v>
      </c>
      <c r="N337" s="4">
        <v>2801.97</v>
      </c>
      <c r="O337" s="4">
        <v>2278.9</v>
      </c>
      <c r="P337" s="4">
        <v>1522.09</v>
      </c>
      <c r="Q337" s="4">
        <v>537.71</v>
      </c>
      <c r="R337" s="4">
        <v>1162.7067752999999</v>
      </c>
      <c r="S337" s="4">
        <v>1162.7067752999999</v>
      </c>
      <c r="T337">
        <v>912</v>
      </c>
      <c r="U337">
        <v>0</v>
      </c>
      <c r="W337" t="s">
        <v>36</v>
      </c>
      <c r="X337" t="s">
        <v>36</v>
      </c>
      <c r="AE337" s="4">
        <f t="shared" si="24"/>
        <v>8052.67</v>
      </c>
      <c r="AF337">
        <f t="shared" si="21"/>
        <v>0</v>
      </c>
      <c r="AG337" s="4">
        <f t="shared" si="22"/>
        <v>8052.67</v>
      </c>
      <c r="AI337" t="s">
        <v>47</v>
      </c>
    </row>
    <row r="338" spans="1:35" x14ac:dyDescent="0.3">
      <c r="A338" t="s">
        <v>43</v>
      </c>
      <c r="B338" t="s">
        <v>43</v>
      </c>
      <c r="C338" t="s">
        <v>44</v>
      </c>
      <c r="E338">
        <v>350</v>
      </c>
      <c r="F338" s="6" t="s">
        <v>176</v>
      </c>
      <c r="G338" s="6" t="s">
        <v>136</v>
      </c>
      <c r="H338" s="9">
        <v>46100</v>
      </c>
      <c r="J338" s="6" t="s">
        <v>52</v>
      </c>
      <c r="K338" s="6" t="s">
        <v>34</v>
      </c>
      <c r="L338" s="6" t="s">
        <v>35</v>
      </c>
      <c r="M338" s="4">
        <f t="shared" si="23"/>
        <v>6887.85</v>
      </c>
      <c r="N338" s="4">
        <v>2801.97</v>
      </c>
      <c r="O338" s="4">
        <v>2334.7000000000003</v>
      </c>
      <c r="P338" s="4">
        <v>1204.3600000000001</v>
      </c>
      <c r="Q338" s="4">
        <v>546.82000000000005</v>
      </c>
      <c r="R338" s="4">
        <v>1180.7956907999999</v>
      </c>
      <c r="S338" s="4">
        <v>1180.7956907999999</v>
      </c>
      <c r="T338">
        <v>1102</v>
      </c>
      <c r="U338">
        <v>0</v>
      </c>
      <c r="W338" t="s">
        <v>36</v>
      </c>
      <c r="X338" t="s">
        <v>36</v>
      </c>
      <c r="AE338" s="4">
        <f t="shared" si="24"/>
        <v>7989.85</v>
      </c>
      <c r="AF338">
        <f t="shared" si="21"/>
        <v>0</v>
      </c>
      <c r="AG338" s="4">
        <f t="shared" si="22"/>
        <v>7989.85</v>
      </c>
      <c r="AI338" t="s">
        <v>47</v>
      </c>
    </row>
    <row r="339" spans="1:35" x14ac:dyDescent="0.3">
      <c r="A339" t="s">
        <v>43</v>
      </c>
      <c r="B339" t="s">
        <v>43</v>
      </c>
      <c r="C339" t="s">
        <v>44</v>
      </c>
      <c r="E339">
        <v>351</v>
      </c>
      <c r="F339" s="6" t="s">
        <v>587</v>
      </c>
      <c r="G339" s="6" t="s">
        <v>60</v>
      </c>
      <c r="H339" s="9">
        <v>46100</v>
      </c>
      <c r="J339" s="6" t="s">
        <v>52</v>
      </c>
      <c r="K339" s="6" t="s">
        <v>34</v>
      </c>
      <c r="L339" s="6" t="s">
        <v>35</v>
      </c>
      <c r="M339" s="4">
        <f t="shared" si="23"/>
        <v>5430.0700000000006</v>
      </c>
      <c r="N339" s="4">
        <v>2302.75</v>
      </c>
      <c r="O339" s="4">
        <v>1773.55</v>
      </c>
      <c r="P339" s="4">
        <v>950.65000000000009</v>
      </c>
      <c r="Q339" s="4">
        <v>403.12</v>
      </c>
      <c r="R339" s="4">
        <v>932.20800840000004</v>
      </c>
      <c r="S339" s="4">
        <v>932.20800840000004</v>
      </c>
      <c r="T339">
        <v>1026</v>
      </c>
      <c r="U339">
        <v>0</v>
      </c>
      <c r="W339" t="s">
        <v>36</v>
      </c>
      <c r="X339" t="s">
        <v>36</v>
      </c>
      <c r="AE339" s="4">
        <f t="shared" si="24"/>
        <v>6456.0700000000006</v>
      </c>
      <c r="AF339">
        <f t="shared" si="21"/>
        <v>0</v>
      </c>
      <c r="AG339" s="4">
        <f t="shared" si="22"/>
        <v>6456.0700000000006</v>
      </c>
      <c r="AI339" t="s">
        <v>47</v>
      </c>
    </row>
    <row r="340" spans="1:35" x14ac:dyDescent="0.3">
      <c r="A340" t="s">
        <v>43</v>
      </c>
      <c r="B340" t="s">
        <v>43</v>
      </c>
      <c r="C340" t="s">
        <v>44</v>
      </c>
      <c r="E340">
        <v>352</v>
      </c>
      <c r="F340" s="6" t="s">
        <v>247</v>
      </c>
      <c r="G340" s="6" t="s">
        <v>56</v>
      </c>
      <c r="H340" s="9">
        <v>46100</v>
      </c>
      <c r="J340" s="6" t="s">
        <v>52</v>
      </c>
      <c r="K340" s="6" t="s">
        <v>34</v>
      </c>
      <c r="L340" s="6" t="s">
        <v>35</v>
      </c>
      <c r="M340" s="4">
        <f t="shared" si="23"/>
        <v>11810.849999999999</v>
      </c>
      <c r="N340" s="4">
        <v>5377.9</v>
      </c>
      <c r="O340" s="4">
        <v>3934.45</v>
      </c>
      <c r="P340" s="4">
        <v>600</v>
      </c>
      <c r="Q340" s="4">
        <v>1898.5</v>
      </c>
      <c r="R340" s="4">
        <v>2025.9900314999998</v>
      </c>
      <c r="S340" s="4">
        <v>2025.9900314999998</v>
      </c>
      <c r="T340">
        <v>1064</v>
      </c>
      <c r="U340">
        <v>0</v>
      </c>
      <c r="W340" t="s">
        <v>36</v>
      </c>
      <c r="X340" t="s">
        <v>36</v>
      </c>
      <c r="AE340" s="4">
        <f t="shared" si="24"/>
        <v>12874.849999999999</v>
      </c>
      <c r="AF340">
        <f t="shared" si="21"/>
        <v>0</v>
      </c>
      <c r="AG340" s="4">
        <f t="shared" si="22"/>
        <v>12874.849999999999</v>
      </c>
      <c r="AI340" t="s">
        <v>47</v>
      </c>
    </row>
    <row r="341" spans="1:35" x14ac:dyDescent="0.3">
      <c r="A341" t="s">
        <v>43</v>
      </c>
      <c r="B341" t="s">
        <v>43</v>
      </c>
      <c r="C341" t="s">
        <v>44</v>
      </c>
      <c r="E341">
        <v>353</v>
      </c>
      <c r="F341" s="6" t="s">
        <v>328</v>
      </c>
      <c r="G341" s="6" t="s">
        <v>136</v>
      </c>
      <c r="H341" s="9">
        <v>46100</v>
      </c>
      <c r="J341" s="6" t="s">
        <v>52</v>
      </c>
      <c r="K341" s="6" t="s">
        <v>34</v>
      </c>
      <c r="L341" s="6" t="s">
        <v>35</v>
      </c>
      <c r="M341" s="4">
        <f t="shared" si="23"/>
        <v>5281.9</v>
      </c>
      <c r="N341" s="4">
        <v>2801.97</v>
      </c>
      <c r="O341" s="4">
        <v>1434.8799999999999</v>
      </c>
      <c r="P341" s="4">
        <v>624.20000000000005</v>
      </c>
      <c r="Q341" s="4">
        <v>420.85</v>
      </c>
      <c r="R341" s="4">
        <v>991.8604853999999</v>
      </c>
      <c r="S341" s="4">
        <v>991.8604853999999</v>
      </c>
      <c r="T341">
        <v>912</v>
      </c>
      <c r="U341">
        <v>0</v>
      </c>
      <c r="W341" t="s">
        <v>36</v>
      </c>
      <c r="X341" t="s">
        <v>36</v>
      </c>
      <c r="AE341" s="4">
        <f t="shared" si="24"/>
        <v>6193.9</v>
      </c>
      <c r="AF341">
        <f t="shared" si="21"/>
        <v>0</v>
      </c>
      <c r="AG341" s="4">
        <f t="shared" si="22"/>
        <v>6193.9</v>
      </c>
      <c r="AI341" t="s">
        <v>47</v>
      </c>
    </row>
    <row r="342" spans="1:35" x14ac:dyDescent="0.3">
      <c r="A342" t="s">
        <v>43</v>
      </c>
      <c r="B342" t="s">
        <v>43</v>
      </c>
      <c r="C342" t="s">
        <v>44</v>
      </c>
      <c r="E342">
        <v>354</v>
      </c>
      <c r="F342" s="6" t="s">
        <v>185</v>
      </c>
      <c r="G342" s="6" t="s">
        <v>60</v>
      </c>
      <c r="H342" s="9">
        <v>46100</v>
      </c>
      <c r="I342" s="2">
        <v>46129</v>
      </c>
      <c r="J342" s="6" t="s">
        <v>33</v>
      </c>
      <c r="K342" s="6" t="s">
        <v>129</v>
      </c>
      <c r="L342" s="6" t="s">
        <v>35</v>
      </c>
      <c r="M342" s="4">
        <f t="shared" si="23"/>
        <v>2189.9699999999998</v>
      </c>
      <c r="N342" s="4">
        <v>2189.9699999999998</v>
      </c>
      <c r="O342" s="4">
        <v>0</v>
      </c>
      <c r="P342" s="4">
        <v>0</v>
      </c>
      <c r="Q342" s="4">
        <v>0</v>
      </c>
      <c r="R342" s="4">
        <v>0</v>
      </c>
      <c r="S342" s="4">
        <v>0</v>
      </c>
      <c r="T342">
        <v>0</v>
      </c>
      <c r="U342">
        <v>0</v>
      </c>
      <c r="W342">
        <v>0</v>
      </c>
      <c r="X342">
        <v>0</v>
      </c>
      <c r="AE342" s="4">
        <f t="shared" si="24"/>
        <v>2189.9699999999998</v>
      </c>
      <c r="AF342">
        <f t="shared" si="21"/>
        <v>0</v>
      </c>
      <c r="AG342" s="4">
        <f t="shared" si="22"/>
        <v>2189.9699999999998</v>
      </c>
      <c r="AI342" t="s">
        <v>47</v>
      </c>
    </row>
    <row r="343" spans="1:35" x14ac:dyDescent="0.3">
      <c r="A343" t="s">
        <v>43</v>
      </c>
      <c r="B343" t="s">
        <v>43</v>
      </c>
      <c r="C343" t="s">
        <v>44</v>
      </c>
      <c r="E343">
        <v>355</v>
      </c>
      <c r="F343" s="6" t="s">
        <v>501</v>
      </c>
      <c r="G343" s="6" t="s">
        <v>60</v>
      </c>
      <c r="H343" s="9">
        <v>46100</v>
      </c>
      <c r="J343" s="6" t="s">
        <v>52</v>
      </c>
      <c r="K343" s="6" t="s">
        <v>34</v>
      </c>
      <c r="L343" s="6" t="s">
        <v>35</v>
      </c>
      <c r="M343" s="4">
        <f t="shared" si="23"/>
        <v>6262.42</v>
      </c>
      <c r="N343" s="4">
        <v>2302.75</v>
      </c>
      <c r="O343" s="4">
        <v>1518.3200000000002</v>
      </c>
      <c r="P343" s="4">
        <v>2068.8500000000004</v>
      </c>
      <c r="Q343" s="4">
        <v>372.5</v>
      </c>
      <c r="R343" s="4">
        <v>893.94517529999996</v>
      </c>
      <c r="S343" s="4">
        <v>893.94517529999996</v>
      </c>
      <c r="T343">
        <v>988</v>
      </c>
      <c r="U343">
        <v>0</v>
      </c>
      <c r="W343" t="s">
        <v>36</v>
      </c>
      <c r="X343" t="s">
        <v>36</v>
      </c>
      <c r="AE343" s="4">
        <f t="shared" si="24"/>
        <v>7250.42</v>
      </c>
      <c r="AF343">
        <f t="shared" si="21"/>
        <v>0</v>
      </c>
      <c r="AG343" s="4">
        <f t="shared" si="22"/>
        <v>7250.42</v>
      </c>
      <c r="AI343" t="s">
        <v>47</v>
      </c>
    </row>
    <row r="344" spans="1:35" x14ac:dyDescent="0.3">
      <c r="A344" t="s">
        <v>43</v>
      </c>
      <c r="B344" t="s">
        <v>43</v>
      </c>
      <c r="C344" t="s">
        <v>44</v>
      </c>
      <c r="E344">
        <v>357</v>
      </c>
      <c r="F344" s="6" t="s">
        <v>620</v>
      </c>
      <c r="G344" s="6" t="s">
        <v>60</v>
      </c>
      <c r="H344" s="9">
        <v>46100</v>
      </c>
      <c r="I344" s="2">
        <v>46129</v>
      </c>
      <c r="J344" s="6" t="s">
        <v>33</v>
      </c>
      <c r="K344" s="6" t="s">
        <v>621</v>
      </c>
      <c r="L344" s="6" t="s">
        <v>35</v>
      </c>
      <c r="M344" s="4">
        <f t="shared" si="23"/>
        <v>2189.9699999999998</v>
      </c>
      <c r="N344" s="4">
        <v>2189.9699999999998</v>
      </c>
      <c r="O344" s="4">
        <v>0</v>
      </c>
      <c r="P344" s="4">
        <v>0</v>
      </c>
      <c r="Q344" s="4">
        <v>0</v>
      </c>
      <c r="R344" s="4">
        <v>0</v>
      </c>
      <c r="S344" s="4">
        <v>0</v>
      </c>
      <c r="T344">
        <v>0</v>
      </c>
      <c r="U344">
        <v>0</v>
      </c>
      <c r="W344">
        <v>0</v>
      </c>
      <c r="X344">
        <v>0</v>
      </c>
      <c r="AE344" s="4">
        <f t="shared" si="24"/>
        <v>2189.9699999999998</v>
      </c>
      <c r="AF344">
        <f t="shared" si="21"/>
        <v>0</v>
      </c>
      <c r="AG344" s="4">
        <f t="shared" si="22"/>
        <v>2189.9699999999998</v>
      </c>
      <c r="AI344" t="s">
        <v>39</v>
      </c>
    </row>
    <row r="345" spans="1:35" x14ac:dyDescent="0.3">
      <c r="A345" t="s">
        <v>43</v>
      </c>
      <c r="B345" t="s">
        <v>43</v>
      </c>
      <c r="C345" t="s">
        <v>44</v>
      </c>
      <c r="E345">
        <v>358</v>
      </c>
      <c r="F345" s="6" t="s">
        <v>353</v>
      </c>
      <c r="G345" s="6" t="s">
        <v>60</v>
      </c>
      <c r="H345" s="9">
        <v>46100</v>
      </c>
      <c r="J345" s="6" t="s">
        <v>52</v>
      </c>
      <c r="K345" s="6" t="s">
        <v>34</v>
      </c>
      <c r="L345" s="6" t="s">
        <v>35</v>
      </c>
      <c r="M345" s="4">
        <f t="shared" si="23"/>
        <v>6089.4500000000007</v>
      </c>
      <c r="N345" s="4">
        <v>2302.75</v>
      </c>
      <c r="O345" s="4">
        <v>1494.22</v>
      </c>
      <c r="P345" s="4">
        <v>1959.68</v>
      </c>
      <c r="Q345" s="4">
        <v>332.8</v>
      </c>
      <c r="R345" s="4">
        <v>888.88489830000003</v>
      </c>
      <c r="S345" s="4">
        <v>888.88489830000003</v>
      </c>
      <c r="T345">
        <v>912</v>
      </c>
      <c r="U345">
        <v>0</v>
      </c>
      <c r="W345" t="s">
        <v>36</v>
      </c>
      <c r="X345" t="s">
        <v>36</v>
      </c>
      <c r="AE345" s="4">
        <f t="shared" si="24"/>
        <v>7001.4500000000007</v>
      </c>
      <c r="AF345">
        <f t="shared" si="21"/>
        <v>0</v>
      </c>
      <c r="AG345" s="4">
        <f t="shared" si="22"/>
        <v>7001.4500000000007</v>
      </c>
      <c r="AI345" t="s">
        <v>47</v>
      </c>
    </row>
    <row r="346" spans="1:35" x14ac:dyDescent="0.3">
      <c r="A346" t="s">
        <v>43</v>
      </c>
      <c r="B346" t="s">
        <v>43</v>
      </c>
      <c r="C346" t="s">
        <v>44</v>
      </c>
      <c r="E346">
        <v>359</v>
      </c>
      <c r="F346" s="6" t="s">
        <v>411</v>
      </c>
      <c r="G346" s="6" t="s">
        <v>136</v>
      </c>
      <c r="H346" s="9">
        <v>46100</v>
      </c>
      <c r="J346" s="6" t="s">
        <v>52</v>
      </c>
      <c r="K346" s="6" t="s">
        <v>34</v>
      </c>
      <c r="L346" s="6" t="s">
        <v>35</v>
      </c>
      <c r="M346" s="4">
        <f t="shared" si="23"/>
        <v>4415.82</v>
      </c>
      <c r="N346" s="4">
        <v>2801.97</v>
      </c>
      <c r="O346" s="4">
        <v>1006.83</v>
      </c>
      <c r="P346" s="4">
        <v>324.2</v>
      </c>
      <c r="Q346" s="4">
        <v>282.82</v>
      </c>
      <c r="R346" s="4">
        <v>838.99182689999986</v>
      </c>
      <c r="S346" s="4">
        <v>838.99182689999986</v>
      </c>
      <c r="T346">
        <v>570</v>
      </c>
      <c r="U346">
        <v>0</v>
      </c>
      <c r="W346" t="s">
        <v>36</v>
      </c>
      <c r="X346" t="s">
        <v>36</v>
      </c>
      <c r="AE346" s="4">
        <f t="shared" si="24"/>
        <v>4985.82</v>
      </c>
      <c r="AF346">
        <f t="shared" si="21"/>
        <v>0</v>
      </c>
      <c r="AG346" s="4">
        <f t="shared" si="22"/>
        <v>4985.82</v>
      </c>
      <c r="AI346" t="s">
        <v>47</v>
      </c>
    </row>
    <row r="347" spans="1:35" x14ac:dyDescent="0.3">
      <c r="A347" t="s">
        <v>43</v>
      </c>
      <c r="B347" t="s">
        <v>43</v>
      </c>
      <c r="C347" t="s">
        <v>44</v>
      </c>
      <c r="E347">
        <v>360</v>
      </c>
      <c r="F347" s="6" t="s">
        <v>419</v>
      </c>
      <c r="G347" s="6" t="s">
        <v>60</v>
      </c>
      <c r="H347" s="9">
        <v>46100</v>
      </c>
      <c r="J347" s="6" t="s">
        <v>52</v>
      </c>
      <c r="K347" s="6" t="s">
        <v>34</v>
      </c>
      <c r="L347" s="6" t="s">
        <v>35</v>
      </c>
      <c r="M347" s="4">
        <f t="shared" si="23"/>
        <v>3617.89</v>
      </c>
      <c r="N347" s="4">
        <v>2302.75</v>
      </c>
      <c r="O347" s="4">
        <v>613.08000000000004</v>
      </c>
      <c r="P347" s="4">
        <v>497.48</v>
      </c>
      <c r="Q347" s="4">
        <v>204.58</v>
      </c>
      <c r="R347" s="4">
        <v>688.12418249999985</v>
      </c>
      <c r="S347" s="4">
        <v>688.12418249999985</v>
      </c>
      <c r="T347">
        <v>874</v>
      </c>
      <c r="U347">
        <v>0</v>
      </c>
      <c r="W347" t="s">
        <v>36</v>
      </c>
      <c r="X347" t="s">
        <v>36</v>
      </c>
      <c r="AE347" s="4">
        <f t="shared" si="24"/>
        <v>4491.8899999999994</v>
      </c>
      <c r="AF347">
        <f t="shared" si="21"/>
        <v>0</v>
      </c>
      <c r="AG347" s="4">
        <f t="shared" si="22"/>
        <v>4491.8899999999994</v>
      </c>
      <c r="AI347" t="s">
        <v>47</v>
      </c>
    </row>
    <row r="348" spans="1:35" x14ac:dyDescent="0.3">
      <c r="A348" t="s">
        <v>43</v>
      </c>
      <c r="B348" t="s">
        <v>43</v>
      </c>
      <c r="C348" t="s">
        <v>44</v>
      </c>
      <c r="E348">
        <v>361</v>
      </c>
      <c r="F348" s="6" t="s">
        <v>634</v>
      </c>
      <c r="G348" s="6" t="s">
        <v>106</v>
      </c>
      <c r="H348" s="9">
        <v>46118</v>
      </c>
      <c r="J348" s="6" t="s">
        <v>52</v>
      </c>
      <c r="K348" s="6" t="s">
        <v>34</v>
      </c>
      <c r="L348" s="6" t="s">
        <v>35</v>
      </c>
      <c r="M348" s="4">
        <f t="shared" si="23"/>
        <v>10671.640000000001</v>
      </c>
      <c r="N348" s="4">
        <v>4681.28</v>
      </c>
      <c r="O348" s="4">
        <v>3611.6499999999996</v>
      </c>
      <c r="P348" s="4">
        <v>796.2</v>
      </c>
      <c r="Q348" s="4">
        <v>1582.51</v>
      </c>
      <c r="R348" s="4">
        <v>1807.3902644999998</v>
      </c>
      <c r="S348" s="4">
        <v>1807.3902644999998</v>
      </c>
      <c r="T348">
        <v>1026</v>
      </c>
      <c r="U348">
        <v>0</v>
      </c>
      <c r="W348" t="s">
        <v>36</v>
      </c>
      <c r="X348" t="s">
        <v>36</v>
      </c>
      <c r="AE348" s="4">
        <f t="shared" si="24"/>
        <v>11697.640000000001</v>
      </c>
      <c r="AF348">
        <f t="shared" si="21"/>
        <v>0</v>
      </c>
      <c r="AG348" s="4">
        <f t="shared" si="22"/>
        <v>11697.640000000001</v>
      </c>
      <c r="AI348" t="s">
        <v>47</v>
      </c>
    </row>
    <row r="349" spans="1:35" x14ac:dyDescent="0.3">
      <c r="A349" t="s">
        <v>72</v>
      </c>
      <c r="B349" t="s">
        <v>43</v>
      </c>
      <c r="C349" t="s">
        <v>44</v>
      </c>
      <c r="E349">
        <v>362</v>
      </c>
      <c r="F349" s="6" t="s">
        <v>115</v>
      </c>
      <c r="G349" s="6" t="s">
        <v>60</v>
      </c>
      <c r="H349" s="9">
        <v>46118</v>
      </c>
      <c r="J349" s="6" t="s">
        <v>52</v>
      </c>
      <c r="K349" s="6" t="s">
        <v>34</v>
      </c>
      <c r="L349" s="6" t="s">
        <v>35</v>
      </c>
      <c r="M349" s="4">
        <f t="shared" si="23"/>
        <v>5292.8899999999994</v>
      </c>
      <c r="N349" s="4">
        <v>2302.75</v>
      </c>
      <c r="O349" s="4">
        <v>1476.6499999999999</v>
      </c>
      <c r="P349" s="4">
        <v>1146.2</v>
      </c>
      <c r="Q349" s="4">
        <v>367.29</v>
      </c>
      <c r="R349" s="4">
        <v>888.34527539999999</v>
      </c>
      <c r="S349" s="4">
        <v>888.34527539999999</v>
      </c>
      <c r="T349">
        <v>912</v>
      </c>
      <c r="U349">
        <v>0</v>
      </c>
      <c r="W349" t="s">
        <v>36</v>
      </c>
      <c r="X349" t="s">
        <v>36</v>
      </c>
      <c r="AE349" s="4">
        <f t="shared" si="24"/>
        <v>6204.8899999999994</v>
      </c>
      <c r="AF349">
        <f t="shared" si="21"/>
        <v>0</v>
      </c>
      <c r="AG349" s="4">
        <f t="shared" si="22"/>
        <v>6204.8899999999994</v>
      </c>
      <c r="AI349" t="s">
        <v>47</v>
      </c>
    </row>
    <row r="350" spans="1:35" x14ac:dyDescent="0.3">
      <c r="A350" t="s">
        <v>43</v>
      </c>
      <c r="B350" t="s">
        <v>43</v>
      </c>
      <c r="C350" t="s">
        <v>44</v>
      </c>
      <c r="E350">
        <v>363</v>
      </c>
      <c r="F350" s="6" t="s">
        <v>625</v>
      </c>
      <c r="G350" s="6" t="s">
        <v>111</v>
      </c>
      <c r="H350" s="9">
        <v>46118</v>
      </c>
      <c r="J350" s="6" t="s">
        <v>52</v>
      </c>
      <c r="K350" s="6" t="s">
        <v>34</v>
      </c>
      <c r="L350" s="6" t="s">
        <v>35</v>
      </c>
      <c r="M350" s="4">
        <f t="shared" si="23"/>
        <v>6389.87</v>
      </c>
      <c r="N350" s="4">
        <v>3356.8</v>
      </c>
      <c r="O350" s="4">
        <v>2157.92</v>
      </c>
      <c r="P350" s="4">
        <v>324.02999999999997</v>
      </c>
      <c r="Q350" s="4">
        <v>551.12</v>
      </c>
      <c r="R350" s="4">
        <v>1191.4411697999997</v>
      </c>
      <c r="S350" s="4">
        <v>1191.4411697999997</v>
      </c>
      <c r="T350">
        <v>912</v>
      </c>
      <c r="U350">
        <v>0</v>
      </c>
      <c r="W350" t="s">
        <v>36</v>
      </c>
      <c r="X350" t="s">
        <v>36</v>
      </c>
      <c r="Y350" s="6">
        <v>15000</v>
      </c>
      <c r="AE350" s="4">
        <f t="shared" si="24"/>
        <v>7301.87</v>
      </c>
      <c r="AF350">
        <f t="shared" si="21"/>
        <v>15000</v>
      </c>
      <c r="AG350" s="4">
        <f t="shared" si="22"/>
        <v>22301.87</v>
      </c>
      <c r="AI350" t="s">
        <v>47</v>
      </c>
    </row>
    <row r="351" spans="1:35" x14ac:dyDescent="0.3">
      <c r="A351" t="s">
        <v>43</v>
      </c>
      <c r="B351" t="s">
        <v>43</v>
      </c>
      <c r="C351" t="s">
        <v>44</v>
      </c>
      <c r="E351">
        <v>364</v>
      </c>
      <c r="F351" s="6" t="s">
        <v>514</v>
      </c>
      <c r="G351" s="6" t="s">
        <v>136</v>
      </c>
      <c r="H351" s="9">
        <v>46118</v>
      </c>
      <c r="J351" s="6" t="s">
        <v>52</v>
      </c>
      <c r="K351" s="6" t="s">
        <v>34</v>
      </c>
      <c r="L351" s="6" t="s">
        <v>35</v>
      </c>
      <c r="M351" s="4">
        <f t="shared" si="23"/>
        <v>4882.6099999999997</v>
      </c>
      <c r="N351" s="4">
        <v>2801.97</v>
      </c>
      <c r="O351" s="4">
        <v>1258.19</v>
      </c>
      <c r="P351" s="4">
        <v>424.2</v>
      </c>
      <c r="Q351" s="4">
        <v>398.25</v>
      </c>
      <c r="R351" s="4">
        <v>912.76688609999985</v>
      </c>
      <c r="S351" s="4">
        <v>912.76688609999985</v>
      </c>
      <c r="T351">
        <v>950</v>
      </c>
      <c r="U351">
        <v>0</v>
      </c>
      <c r="W351" t="s">
        <v>36</v>
      </c>
      <c r="X351" t="s">
        <v>36</v>
      </c>
      <c r="AE351" s="4">
        <f t="shared" si="24"/>
        <v>5832.61</v>
      </c>
      <c r="AF351">
        <f t="shared" si="21"/>
        <v>0</v>
      </c>
      <c r="AG351" s="4">
        <f t="shared" si="22"/>
        <v>5832.61</v>
      </c>
      <c r="AI351" t="s">
        <v>47</v>
      </c>
    </row>
    <row r="352" spans="1:35" x14ac:dyDescent="0.3">
      <c r="A352" t="s">
        <v>72</v>
      </c>
      <c r="B352" t="s">
        <v>43</v>
      </c>
      <c r="C352" t="s">
        <v>44</v>
      </c>
      <c r="E352">
        <v>365</v>
      </c>
      <c r="F352" s="6" t="s">
        <v>421</v>
      </c>
      <c r="G352" s="6" t="s">
        <v>106</v>
      </c>
      <c r="H352" s="9">
        <v>46118</v>
      </c>
      <c r="J352" s="6" t="s">
        <v>52</v>
      </c>
      <c r="K352" s="6" t="s">
        <v>34</v>
      </c>
      <c r="L352" s="6" t="s">
        <v>35</v>
      </c>
      <c r="M352" s="4">
        <f t="shared" si="23"/>
        <v>9788.25</v>
      </c>
      <c r="N352" s="4">
        <v>4681.28</v>
      </c>
      <c r="O352" s="4">
        <v>3256.4</v>
      </c>
      <c r="P352" s="4">
        <v>544.20000000000005</v>
      </c>
      <c r="Q352" s="4">
        <v>1306.3699999999999</v>
      </c>
      <c r="R352" s="4">
        <v>1732.7984219999998</v>
      </c>
      <c r="S352" s="4">
        <v>1732.7984219999998</v>
      </c>
      <c r="T352">
        <v>1026</v>
      </c>
      <c r="U352">
        <v>0</v>
      </c>
      <c r="W352" t="s">
        <v>36</v>
      </c>
      <c r="X352" t="s">
        <v>36</v>
      </c>
      <c r="Y352" s="6">
        <f>33500+15000</f>
        <v>48500</v>
      </c>
      <c r="AE352" s="4">
        <f t="shared" si="24"/>
        <v>10814.25</v>
      </c>
      <c r="AF352">
        <f t="shared" si="21"/>
        <v>48500</v>
      </c>
      <c r="AG352" s="4">
        <f t="shared" si="22"/>
        <v>59314.25</v>
      </c>
      <c r="AI352" t="s">
        <v>47</v>
      </c>
    </row>
    <row r="353" spans="1:35" x14ac:dyDescent="0.3">
      <c r="A353" t="s">
        <v>43</v>
      </c>
      <c r="B353" t="s">
        <v>43</v>
      </c>
      <c r="C353" t="s">
        <v>44</v>
      </c>
      <c r="E353">
        <v>366</v>
      </c>
      <c r="F353" s="6" t="s">
        <v>205</v>
      </c>
      <c r="G353" s="6" t="s">
        <v>60</v>
      </c>
      <c r="H353" s="9">
        <v>46118</v>
      </c>
      <c r="J353" s="6" t="s">
        <v>52</v>
      </c>
      <c r="K353" s="6" t="s">
        <v>34</v>
      </c>
      <c r="L353" s="6" t="s">
        <v>35</v>
      </c>
      <c r="M353" s="4">
        <f t="shared" si="23"/>
        <v>5689.8700000000008</v>
      </c>
      <c r="N353" s="4">
        <v>2302.75</v>
      </c>
      <c r="O353" s="4">
        <v>2033.05</v>
      </c>
      <c r="P353" s="4">
        <v>923.2700000000001</v>
      </c>
      <c r="Q353" s="4">
        <v>430.8</v>
      </c>
      <c r="R353" s="4">
        <v>1009.6890380999998</v>
      </c>
      <c r="S353" s="4">
        <v>1009.6890380999998</v>
      </c>
      <c r="T353">
        <v>874</v>
      </c>
      <c r="U353">
        <v>0</v>
      </c>
      <c r="W353" t="s">
        <v>36</v>
      </c>
      <c r="X353" t="s">
        <v>36</v>
      </c>
      <c r="AE353" s="4">
        <f t="shared" si="24"/>
        <v>6563.8700000000008</v>
      </c>
      <c r="AF353">
        <f t="shared" si="21"/>
        <v>0</v>
      </c>
      <c r="AG353" s="4">
        <f t="shared" si="22"/>
        <v>6563.8700000000008</v>
      </c>
      <c r="AI353" t="s">
        <v>47</v>
      </c>
    </row>
    <row r="354" spans="1:35" x14ac:dyDescent="0.3">
      <c r="A354" t="s">
        <v>43</v>
      </c>
      <c r="B354" t="s">
        <v>43</v>
      </c>
      <c r="C354" t="s">
        <v>44</v>
      </c>
      <c r="E354">
        <v>367</v>
      </c>
      <c r="F354" s="6" t="s">
        <v>306</v>
      </c>
      <c r="G354" s="6" t="s">
        <v>136</v>
      </c>
      <c r="H354" s="9">
        <v>46118</v>
      </c>
      <c r="J354" s="6" t="s">
        <v>52</v>
      </c>
      <c r="K354" s="6" t="s">
        <v>34</v>
      </c>
      <c r="L354" s="6" t="s">
        <v>35</v>
      </c>
      <c r="M354" s="4">
        <f t="shared" si="23"/>
        <v>5772.2</v>
      </c>
      <c r="N354" s="4">
        <v>2801.97</v>
      </c>
      <c r="O354" s="4">
        <v>1567.0099999999998</v>
      </c>
      <c r="P354" s="4">
        <v>1006.41</v>
      </c>
      <c r="Q354" s="4">
        <v>396.81</v>
      </c>
      <c r="R354" s="4">
        <v>874.62373590000004</v>
      </c>
      <c r="S354" s="4">
        <v>874.62373590000004</v>
      </c>
      <c r="T354">
        <v>874</v>
      </c>
      <c r="U354">
        <v>0</v>
      </c>
      <c r="W354" t="s">
        <v>36</v>
      </c>
      <c r="X354" t="s">
        <v>36</v>
      </c>
      <c r="AE354" s="4">
        <f t="shared" si="24"/>
        <v>6646.2</v>
      </c>
      <c r="AF354">
        <f t="shared" si="21"/>
        <v>0</v>
      </c>
      <c r="AG354" s="4">
        <f t="shared" si="22"/>
        <v>6646.2</v>
      </c>
      <c r="AI354" t="s">
        <v>47</v>
      </c>
    </row>
    <row r="355" spans="1:35" x14ac:dyDescent="0.3">
      <c r="A355" t="s">
        <v>43</v>
      </c>
      <c r="B355" t="s">
        <v>43</v>
      </c>
      <c r="C355" t="s">
        <v>44</v>
      </c>
      <c r="E355">
        <v>368</v>
      </c>
      <c r="F355" s="6" t="s">
        <v>444</v>
      </c>
      <c r="G355" s="6" t="s">
        <v>60</v>
      </c>
      <c r="H355" s="9">
        <v>46118</v>
      </c>
      <c r="J355" s="6" t="s">
        <v>52</v>
      </c>
      <c r="K355" s="6" t="s">
        <v>34</v>
      </c>
      <c r="L355" s="6" t="s">
        <v>35</v>
      </c>
      <c r="M355" s="4">
        <f t="shared" si="23"/>
        <v>4843.3900000000003</v>
      </c>
      <c r="N355" s="4">
        <v>2302.75</v>
      </c>
      <c r="O355" s="4">
        <v>1176.97</v>
      </c>
      <c r="P355" s="4">
        <v>1049.58</v>
      </c>
      <c r="Q355" s="4">
        <v>314.08999999999997</v>
      </c>
      <c r="R355" s="4">
        <v>789.86514599999987</v>
      </c>
      <c r="S355" s="4">
        <v>789.86514599999987</v>
      </c>
      <c r="T355">
        <v>798</v>
      </c>
      <c r="U355">
        <v>0</v>
      </c>
      <c r="W355" t="s">
        <v>36</v>
      </c>
      <c r="X355" t="s">
        <v>36</v>
      </c>
      <c r="AE355" s="4">
        <f t="shared" si="24"/>
        <v>5641.39</v>
      </c>
      <c r="AF355">
        <f t="shared" si="21"/>
        <v>0</v>
      </c>
      <c r="AG355" s="4">
        <f t="shared" si="22"/>
        <v>5641.39</v>
      </c>
      <c r="AI355" t="s">
        <v>47</v>
      </c>
    </row>
    <row r="356" spans="1:35" x14ac:dyDescent="0.3">
      <c r="A356" t="s">
        <v>43</v>
      </c>
      <c r="B356" t="s">
        <v>43</v>
      </c>
      <c r="C356" t="s">
        <v>44</v>
      </c>
      <c r="E356">
        <v>369</v>
      </c>
      <c r="F356" s="6" t="s">
        <v>434</v>
      </c>
      <c r="G356" s="6" t="s">
        <v>60</v>
      </c>
      <c r="H356" s="9">
        <v>46118</v>
      </c>
      <c r="J356" s="6" t="s">
        <v>52</v>
      </c>
      <c r="K356" s="6" t="s">
        <v>34</v>
      </c>
      <c r="L356" s="6" t="s">
        <v>35</v>
      </c>
      <c r="M356" s="4">
        <f t="shared" si="23"/>
        <v>5390.7200000000012</v>
      </c>
      <c r="N356" s="4">
        <v>2302.75</v>
      </c>
      <c r="O356" s="4">
        <v>1365.04</v>
      </c>
      <c r="P356" s="4">
        <v>1393.54</v>
      </c>
      <c r="Q356" s="4">
        <v>329.39</v>
      </c>
      <c r="R356" s="4">
        <v>829.8833282999999</v>
      </c>
      <c r="S356" s="4">
        <v>829.8833282999999</v>
      </c>
      <c r="T356">
        <v>874</v>
      </c>
      <c r="U356">
        <v>0</v>
      </c>
      <c r="W356" t="s">
        <v>36</v>
      </c>
      <c r="X356" t="s">
        <v>36</v>
      </c>
      <c r="AE356" s="4">
        <f t="shared" si="24"/>
        <v>6264.7200000000012</v>
      </c>
      <c r="AF356">
        <f t="shared" si="21"/>
        <v>0</v>
      </c>
      <c r="AG356" s="4">
        <f t="shared" si="22"/>
        <v>6264.7200000000012</v>
      </c>
      <c r="AI356" t="s">
        <v>47</v>
      </c>
    </row>
    <row r="357" spans="1:35" x14ac:dyDescent="0.3">
      <c r="A357" t="s">
        <v>43</v>
      </c>
      <c r="B357" t="s">
        <v>43</v>
      </c>
      <c r="C357" t="s">
        <v>44</v>
      </c>
      <c r="E357">
        <v>370</v>
      </c>
      <c r="F357" s="6" t="s">
        <v>317</v>
      </c>
      <c r="G357" s="6" t="s">
        <v>60</v>
      </c>
      <c r="H357" s="9">
        <v>46118</v>
      </c>
      <c r="J357" s="6" t="s">
        <v>52</v>
      </c>
      <c r="K357" s="6" t="s">
        <v>34</v>
      </c>
      <c r="L357" s="6" t="s">
        <v>35</v>
      </c>
      <c r="M357" s="4">
        <f t="shared" si="23"/>
        <v>4921.34</v>
      </c>
      <c r="N357" s="4">
        <v>2302.75</v>
      </c>
      <c r="O357" s="4">
        <v>1259.49</v>
      </c>
      <c r="P357" s="4">
        <v>1039.96</v>
      </c>
      <c r="Q357" s="4">
        <v>319.14</v>
      </c>
      <c r="R357" s="4">
        <v>842.74819019999995</v>
      </c>
      <c r="S357" s="4">
        <v>842.74819019999995</v>
      </c>
      <c r="T357">
        <v>988</v>
      </c>
      <c r="U357">
        <v>0</v>
      </c>
      <c r="W357" t="s">
        <v>36</v>
      </c>
      <c r="X357" t="s">
        <v>36</v>
      </c>
      <c r="AE357" s="4">
        <f t="shared" si="24"/>
        <v>5909.34</v>
      </c>
      <c r="AF357">
        <f t="shared" si="21"/>
        <v>0</v>
      </c>
      <c r="AG357" s="4">
        <f t="shared" si="22"/>
        <v>5909.34</v>
      </c>
      <c r="AI357" t="s">
        <v>47</v>
      </c>
    </row>
    <row r="358" spans="1:35" x14ac:dyDescent="0.3">
      <c r="A358" t="s">
        <v>72</v>
      </c>
      <c r="B358" t="s">
        <v>43</v>
      </c>
      <c r="C358" t="s">
        <v>44</v>
      </c>
      <c r="E358">
        <v>371</v>
      </c>
      <c r="F358" s="6" t="s">
        <v>645</v>
      </c>
      <c r="G358" s="6" t="s">
        <v>60</v>
      </c>
      <c r="H358" s="9">
        <v>46118</v>
      </c>
      <c r="J358" s="6" t="s">
        <v>52</v>
      </c>
      <c r="K358" s="6" t="s">
        <v>34</v>
      </c>
      <c r="L358" s="6" t="s">
        <v>35</v>
      </c>
      <c r="M358" s="4">
        <f t="shared" si="23"/>
        <v>3935.95</v>
      </c>
      <c r="N358" s="4">
        <v>2302.75</v>
      </c>
      <c r="O358" s="4">
        <v>537.19000000000005</v>
      </c>
      <c r="P358" s="4">
        <v>916.52</v>
      </c>
      <c r="Q358" s="4">
        <v>179.49</v>
      </c>
      <c r="R358" s="4">
        <v>583.12868399999991</v>
      </c>
      <c r="S358" s="4">
        <v>583.12868399999991</v>
      </c>
      <c r="T358">
        <v>684</v>
      </c>
      <c r="U358">
        <v>0</v>
      </c>
      <c r="W358" t="s">
        <v>36</v>
      </c>
      <c r="X358" t="s">
        <v>36</v>
      </c>
      <c r="AE358" s="4">
        <f t="shared" si="24"/>
        <v>4619.95</v>
      </c>
      <c r="AF358">
        <f t="shared" si="21"/>
        <v>0</v>
      </c>
      <c r="AG358" s="4">
        <f t="shared" si="22"/>
        <v>4619.95</v>
      </c>
      <c r="AI358" t="s">
        <v>47</v>
      </c>
    </row>
    <row r="359" spans="1:35" x14ac:dyDescent="0.3">
      <c r="A359" t="s">
        <v>43</v>
      </c>
      <c r="B359" t="s">
        <v>43</v>
      </c>
      <c r="C359" t="s">
        <v>44</v>
      </c>
      <c r="E359">
        <v>372</v>
      </c>
      <c r="F359" s="6" t="s">
        <v>126</v>
      </c>
      <c r="G359" s="6" t="s">
        <v>71</v>
      </c>
      <c r="H359" s="9">
        <v>46118</v>
      </c>
      <c r="J359" s="6" t="s">
        <v>52</v>
      </c>
      <c r="K359" s="6" t="s">
        <v>34</v>
      </c>
      <c r="L359" s="6" t="s">
        <v>35</v>
      </c>
      <c r="M359" s="4">
        <f t="shared" si="23"/>
        <v>5233.0099999999993</v>
      </c>
      <c r="N359" s="4">
        <v>2801.97</v>
      </c>
      <c r="O359" s="4">
        <v>1345.5900000000001</v>
      </c>
      <c r="P359" s="4">
        <v>724.2</v>
      </c>
      <c r="Q359" s="4">
        <v>361.25</v>
      </c>
      <c r="R359" s="4">
        <v>807.60341159999996</v>
      </c>
      <c r="S359" s="4">
        <v>807.60341159999996</v>
      </c>
      <c r="T359">
        <v>646</v>
      </c>
      <c r="U359">
        <v>0</v>
      </c>
      <c r="W359" t="s">
        <v>36</v>
      </c>
      <c r="X359" t="s">
        <v>36</v>
      </c>
      <c r="AE359" s="4">
        <f t="shared" si="24"/>
        <v>5879.0099999999993</v>
      </c>
      <c r="AF359">
        <f t="shared" si="21"/>
        <v>0</v>
      </c>
      <c r="AG359" s="4">
        <f t="shared" si="22"/>
        <v>5879.0099999999993</v>
      </c>
      <c r="AI359" t="s">
        <v>47</v>
      </c>
    </row>
    <row r="360" spans="1:35" x14ac:dyDescent="0.3">
      <c r="A360" t="s">
        <v>43</v>
      </c>
      <c r="B360" t="s">
        <v>43</v>
      </c>
      <c r="C360" t="s">
        <v>44</v>
      </c>
      <c r="E360">
        <v>373</v>
      </c>
      <c r="F360" s="6" t="s">
        <v>436</v>
      </c>
      <c r="G360" s="6" t="s">
        <v>251</v>
      </c>
      <c r="H360" s="9">
        <v>46121</v>
      </c>
      <c r="J360" s="6" t="s">
        <v>52</v>
      </c>
      <c r="K360" s="6" t="s">
        <v>34</v>
      </c>
      <c r="L360" s="6" t="s">
        <v>35</v>
      </c>
      <c r="M360" s="4">
        <f t="shared" si="23"/>
        <v>6453</v>
      </c>
      <c r="N360" s="4">
        <v>3049.35</v>
      </c>
      <c r="O360" s="4">
        <v>2551</v>
      </c>
      <c r="P360" s="4">
        <v>288</v>
      </c>
      <c r="Q360" s="4">
        <v>564.65</v>
      </c>
      <c r="R360" s="4">
        <v>1184.7200300999998</v>
      </c>
      <c r="S360" s="4">
        <v>1184.7200300999998</v>
      </c>
      <c r="T360">
        <v>950</v>
      </c>
      <c r="U360">
        <v>0</v>
      </c>
      <c r="V360">
        <v>600</v>
      </c>
      <c r="W360" t="s">
        <v>36</v>
      </c>
      <c r="X360" t="s">
        <v>36</v>
      </c>
      <c r="AE360" s="4">
        <f t="shared" si="24"/>
        <v>8003</v>
      </c>
      <c r="AF360">
        <f t="shared" si="21"/>
        <v>0</v>
      </c>
      <c r="AG360" s="4">
        <f t="shared" si="22"/>
        <v>8003</v>
      </c>
      <c r="AH360" t="s">
        <v>437</v>
      </c>
      <c r="AI360" t="s">
        <v>47</v>
      </c>
    </row>
    <row r="361" spans="1:35" x14ac:dyDescent="0.3">
      <c r="A361" t="s">
        <v>43</v>
      </c>
      <c r="B361" t="s">
        <v>43</v>
      </c>
      <c r="C361" t="s">
        <v>44</v>
      </c>
      <c r="E361">
        <v>374</v>
      </c>
      <c r="F361" s="6" t="s">
        <v>241</v>
      </c>
      <c r="G361" s="6" t="s">
        <v>60</v>
      </c>
      <c r="H361" s="9">
        <v>46121</v>
      </c>
      <c r="I361" s="2">
        <v>46150</v>
      </c>
      <c r="J361" s="6" t="s">
        <v>33</v>
      </c>
      <c r="K361" s="6" t="s">
        <v>34</v>
      </c>
      <c r="L361" s="6" t="s">
        <v>35</v>
      </c>
      <c r="M361" s="4">
        <f t="shared" si="23"/>
        <v>2514.1699999999996</v>
      </c>
      <c r="N361" s="4">
        <v>2189.9699999999998</v>
      </c>
      <c r="O361" s="4">
        <v>0</v>
      </c>
      <c r="P361" s="4">
        <v>324.2</v>
      </c>
      <c r="Q361" s="4">
        <v>0</v>
      </c>
      <c r="R361" s="4">
        <v>68.072273999999993</v>
      </c>
      <c r="S361" s="4">
        <v>68.072273999999993</v>
      </c>
      <c r="T361">
        <v>0</v>
      </c>
      <c r="U361">
        <v>0</v>
      </c>
      <c r="W361">
        <v>0</v>
      </c>
      <c r="X361" t="s">
        <v>36</v>
      </c>
      <c r="AE361" s="4">
        <f t="shared" si="24"/>
        <v>2514.1699999999996</v>
      </c>
      <c r="AF361">
        <f t="shared" si="21"/>
        <v>0</v>
      </c>
      <c r="AG361" s="4">
        <f t="shared" si="22"/>
        <v>2514.1699999999996</v>
      </c>
      <c r="AI361" t="s">
        <v>47</v>
      </c>
    </row>
    <row r="362" spans="1:35" x14ac:dyDescent="0.3">
      <c r="A362" t="s">
        <v>43</v>
      </c>
      <c r="B362" t="s">
        <v>43</v>
      </c>
      <c r="C362" t="s">
        <v>44</v>
      </c>
      <c r="E362">
        <v>375</v>
      </c>
      <c r="F362" s="6" t="s">
        <v>243</v>
      </c>
      <c r="G362" s="6" t="s">
        <v>60</v>
      </c>
      <c r="H362" s="9">
        <v>46121</v>
      </c>
      <c r="I362" s="2">
        <v>46150</v>
      </c>
      <c r="J362" s="6" t="s">
        <v>33</v>
      </c>
      <c r="K362" s="6" t="s">
        <v>34</v>
      </c>
      <c r="L362" s="6" t="s">
        <v>35</v>
      </c>
      <c r="M362" s="4">
        <f t="shared" si="23"/>
        <v>2514.1699999999996</v>
      </c>
      <c r="N362" s="4">
        <v>2189.9699999999998</v>
      </c>
      <c r="O362" s="4">
        <v>0</v>
      </c>
      <c r="P362" s="4">
        <v>324.2</v>
      </c>
      <c r="Q362" s="4">
        <v>0</v>
      </c>
      <c r="R362" s="4">
        <v>68.072273999999993</v>
      </c>
      <c r="S362" s="4">
        <v>68.072273999999993</v>
      </c>
      <c r="T362">
        <v>0</v>
      </c>
      <c r="U362">
        <v>0</v>
      </c>
      <c r="W362">
        <v>0</v>
      </c>
      <c r="X362" t="s">
        <v>36</v>
      </c>
      <c r="AE362" s="4">
        <f t="shared" si="24"/>
        <v>2514.1699999999996</v>
      </c>
      <c r="AF362">
        <f t="shared" si="21"/>
        <v>0</v>
      </c>
      <c r="AG362" s="4">
        <f t="shared" si="22"/>
        <v>2514.1699999999996</v>
      </c>
      <c r="AI362" t="s">
        <v>47</v>
      </c>
    </row>
    <row r="363" spans="1:35" x14ac:dyDescent="0.3">
      <c r="A363" t="s">
        <v>43</v>
      </c>
      <c r="B363" t="s">
        <v>43</v>
      </c>
      <c r="C363" t="s">
        <v>44</v>
      </c>
      <c r="E363">
        <v>376</v>
      </c>
      <c r="F363" s="6" t="s">
        <v>613</v>
      </c>
      <c r="G363" s="6" t="s">
        <v>609</v>
      </c>
      <c r="H363" s="9">
        <v>46134</v>
      </c>
      <c r="J363" s="6" t="s">
        <v>52</v>
      </c>
      <c r="K363" s="6" t="s">
        <v>34</v>
      </c>
      <c r="L363" s="6" t="s">
        <v>35</v>
      </c>
      <c r="M363" s="4">
        <f t="shared" si="23"/>
        <v>7981.43</v>
      </c>
      <c r="N363" s="4">
        <v>5572.95</v>
      </c>
      <c r="O363" s="4">
        <v>487.52000000000004</v>
      </c>
      <c r="P363" s="4">
        <v>1309.2</v>
      </c>
      <c r="Q363" s="4">
        <v>611.76</v>
      </c>
      <c r="R363" s="4">
        <v>1349.5863743999998</v>
      </c>
      <c r="S363" s="4">
        <v>1349.5863743999998</v>
      </c>
      <c r="T363">
        <v>874</v>
      </c>
      <c r="U363">
        <v>0</v>
      </c>
      <c r="W363" t="s">
        <v>36</v>
      </c>
      <c r="X363" t="s">
        <v>36</v>
      </c>
      <c r="AE363" s="4">
        <f t="shared" si="24"/>
        <v>8855.43</v>
      </c>
      <c r="AF363">
        <f t="shared" si="21"/>
        <v>0</v>
      </c>
      <c r="AG363" s="4">
        <f t="shared" si="22"/>
        <v>8855.43</v>
      </c>
      <c r="AI363" t="s">
        <v>39</v>
      </c>
    </row>
    <row r="364" spans="1:35" x14ac:dyDescent="0.3">
      <c r="A364" t="s">
        <v>77</v>
      </c>
      <c r="B364" t="s">
        <v>148</v>
      </c>
      <c r="C364" t="s">
        <v>30</v>
      </c>
      <c r="D364" t="s">
        <v>149</v>
      </c>
      <c r="E364">
        <v>377</v>
      </c>
      <c r="F364" s="6" t="s">
        <v>139</v>
      </c>
      <c r="G364" s="6" t="s">
        <v>140</v>
      </c>
      <c r="H364" s="9">
        <v>46134</v>
      </c>
      <c r="J364" s="6" t="s">
        <v>52</v>
      </c>
      <c r="K364" s="6" t="s">
        <v>34</v>
      </c>
      <c r="L364" s="6" t="s">
        <v>35</v>
      </c>
      <c r="M364" s="4">
        <f t="shared" si="23"/>
        <v>9537.94</v>
      </c>
      <c r="N364" s="4">
        <v>5572.95</v>
      </c>
      <c r="O364" s="4">
        <v>2208.6800000000003</v>
      </c>
      <c r="P364" s="4">
        <v>640</v>
      </c>
      <c r="Q364" s="4">
        <v>1116.31</v>
      </c>
      <c r="R364" s="4">
        <v>1710.9783395999998</v>
      </c>
      <c r="S364" s="4">
        <v>1710.9783395999998</v>
      </c>
      <c r="T364">
        <v>988</v>
      </c>
      <c r="U364">
        <v>2000</v>
      </c>
      <c r="V364">
        <v>1000</v>
      </c>
      <c r="W364" t="s">
        <v>141</v>
      </c>
      <c r="X364" t="s">
        <v>142</v>
      </c>
      <c r="AE364" s="4">
        <f t="shared" si="24"/>
        <v>11525.94</v>
      </c>
      <c r="AF364">
        <f t="shared" si="21"/>
        <v>2000</v>
      </c>
      <c r="AG364" s="4">
        <f t="shared" si="22"/>
        <v>13525.94</v>
      </c>
      <c r="AH364" t="s">
        <v>141</v>
      </c>
      <c r="AI364" t="s">
        <v>47</v>
      </c>
    </row>
    <row r="365" spans="1:35" x14ac:dyDescent="0.3">
      <c r="A365" t="s">
        <v>43</v>
      </c>
      <c r="B365" t="s">
        <v>43</v>
      </c>
      <c r="C365" t="s">
        <v>44</v>
      </c>
      <c r="E365">
        <v>378</v>
      </c>
      <c r="F365" s="6" t="s">
        <v>526</v>
      </c>
      <c r="G365" s="6" t="s">
        <v>527</v>
      </c>
      <c r="H365" s="9">
        <v>46139</v>
      </c>
      <c r="J365" s="6" t="s">
        <v>52</v>
      </c>
      <c r="K365" s="6" t="s">
        <v>34</v>
      </c>
      <c r="L365" s="6" t="s">
        <v>35</v>
      </c>
      <c r="M365" s="4">
        <f t="shared" si="23"/>
        <v>8913.9699999999993</v>
      </c>
      <c r="N365" s="4">
        <v>4416.3</v>
      </c>
      <c r="O365" s="4">
        <v>1735.4</v>
      </c>
      <c r="P365" s="4">
        <v>2128.6400000000003</v>
      </c>
      <c r="Q365" s="4">
        <v>633.63</v>
      </c>
      <c r="R365" s="4">
        <v>1289.9968884</v>
      </c>
      <c r="S365" s="4">
        <v>1289.9968884</v>
      </c>
      <c r="T365">
        <v>912</v>
      </c>
      <c r="U365">
        <v>0</v>
      </c>
      <c r="W365" t="s">
        <v>36</v>
      </c>
      <c r="X365" t="s">
        <v>36</v>
      </c>
      <c r="Y365" s="6">
        <v>25000</v>
      </c>
      <c r="AE365" s="4">
        <f t="shared" si="24"/>
        <v>9825.9699999999993</v>
      </c>
      <c r="AF365">
        <f t="shared" si="21"/>
        <v>25000</v>
      </c>
      <c r="AG365" s="4">
        <f t="shared" si="22"/>
        <v>34825.97</v>
      </c>
      <c r="AI365" t="s">
        <v>47</v>
      </c>
    </row>
    <row r="366" spans="1:35" x14ac:dyDescent="0.3">
      <c r="A366" t="s">
        <v>43</v>
      </c>
      <c r="B366" t="s">
        <v>43</v>
      </c>
      <c r="C366" t="s">
        <v>44</v>
      </c>
      <c r="E366">
        <v>379</v>
      </c>
      <c r="F366" s="6" t="s">
        <v>670</v>
      </c>
      <c r="G366" s="6" t="s">
        <v>60</v>
      </c>
      <c r="H366" s="9">
        <v>46153</v>
      </c>
      <c r="J366" s="6" t="s">
        <v>52</v>
      </c>
      <c r="K366" s="6" t="s">
        <v>34</v>
      </c>
      <c r="L366" s="6" t="s">
        <v>35</v>
      </c>
      <c r="M366" s="4">
        <f t="shared" si="23"/>
        <v>3335.05</v>
      </c>
      <c r="N366" s="4">
        <v>2302.75</v>
      </c>
      <c r="O366" s="4">
        <v>202.66</v>
      </c>
      <c r="P366" s="4">
        <v>673.4</v>
      </c>
      <c r="Q366" s="4">
        <v>156.24</v>
      </c>
      <c r="R366" s="4">
        <v>422.12158829999998</v>
      </c>
      <c r="S366" s="4">
        <v>422.12158829999998</v>
      </c>
      <c r="T366">
        <v>836</v>
      </c>
      <c r="U366">
        <v>0</v>
      </c>
      <c r="W366" t="s">
        <v>36</v>
      </c>
      <c r="X366" t="s">
        <v>36</v>
      </c>
      <c r="AE366" s="4">
        <f t="shared" si="24"/>
        <v>4171.05</v>
      </c>
      <c r="AF366">
        <f t="shared" si="21"/>
        <v>0</v>
      </c>
      <c r="AG366" s="4">
        <f t="shared" si="22"/>
        <v>4171.05</v>
      </c>
      <c r="AI366" t="s">
        <v>47</v>
      </c>
    </row>
    <row r="367" spans="1:35" x14ac:dyDescent="0.3">
      <c r="A367" t="s">
        <v>72</v>
      </c>
      <c r="B367" t="s">
        <v>43</v>
      </c>
      <c r="C367" t="s">
        <v>44</v>
      </c>
      <c r="E367">
        <v>380</v>
      </c>
      <c r="F367" s="6" t="s">
        <v>688</v>
      </c>
      <c r="G367" s="6" t="s">
        <v>60</v>
      </c>
      <c r="H367" s="9">
        <v>46153</v>
      </c>
      <c r="J367" s="6" t="s">
        <v>52</v>
      </c>
      <c r="K367" s="6" t="s">
        <v>34</v>
      </c>
      <c r="L367" s="6" t="s">
        <v>35</v>
      </c>
      <c r="M367" s="4">
        <f t="shared" si="23"/>
        <v>3793.73</v>
      </c>
      <c r="N367" s="4">
        <v>2302.75</v>
      </c>
      <c r="O367" s="4">
        <v>0</v>
      </c>
      <c r="P367" s="4">
        <v>1352.6</v>
      </c>
      <c r="Q367" s="4">
        <v>138.38</v>
      </c>
      <c r="R367" s="4">
        <v>379.56906809999998</v>
      </c>
      <c r="S367" s="4">
        <v>379.56906809999998</v>
      </c>
      <c r="T367">
        <v>836</v>
      </c>
      <c r="U367">
        <v>0</v>
      </c>
      <c r="W367" t="s">
        <v>36</v>
      </c>
      <c r="X367" t="s">
        <v>36</v>
      </c>
      <c r="AE367" s="4">
        <f t="shared" si="24"/>
        <v>4629.7299999999996</v>
      </c>
      <c r="AF367">
        <f t="shared" si="21"/>
        <v>0</v>
      </c>
      <c r="AG367" s="4">
        <f t="shared" si="22"/>
        <v>4629.7299999999996</v>
      </c>
      <c r="AI367" t="s">
        <v>47</v>
      </c>
    </row>
    <row r="368" spans="1:35" x14ac:dyDescent="0.3">
      <c r="A368" t="s">
        <v>43</v>
      </c>
      <c r="B368" t="s">
        <v>43</v>
      </c>
      <c r="C368" t="s">
        <v>44</v>
      </c>
      <c r="E368">
        <v>381</v>
      </c>
      <c r="F368" s="6" t="s">
        <v>659</v>
      </c>
      <c r="G368" s="6" t="s">
        <v>60</v>
      </c>
      <c r="H368" s="9">
        <v>46153</v>
      </c>
      <c r="J368" s="6" t="s">
        <v>33</v>
      </c>
      <c r="K368" s="6" t="s">
        <v>34</v>
      </c>
      <c r="L368" s="6" t="s">
        <v>35</v>
      </c>
      <c r="M368" s="4">
        <f t="shared" si="23"/>
        <v>3629.52</v>
      </c>
      <c r="N368" s="4">
        <v>2302.75</v>
      </c>
      <c r="O368" s="4">
        <v>152.1</v>
      </c>
      <c r="P368" s="4">
        <v>1022.5999999999999</v>
      </c>
      <c r="Q368" s="4">
        <v>152.07</v>
      </c>
      <c r="R368" s="4">
        <v>411.50550509999999</v>
      </c>
      <c r="S368" s="4">
        <v>411.50550509999999</v>
      </c>
      <c r="T368">
        <v>0</v>
      </c>
      <c r="U368">
        <v>0</v>
      </c>
      <c r="W368">
        <v>0</v>
      </c>
      <c r="X368">
        <v>0</v>
      </c>
      <c r="AE368" s="4">
        <f t="shared" si="24"/>
        <v>3629.52</v>
      </c>
      <c r="AF368">
        <f t="shared" si="21"/>
        <v>0</v>
      </c>
      <c r="AG368" s="4">
        <f t="shared" si="22"/>
        <v>3629.52</v>
      </c>
      <c r="AI368" t="s">
        <v>47</v>
      </c>
    </row>
    <row r="369" spans="1:35" x14ac:dyDescent="0.3">
      <c r="A369" t="s">
        <v>72</v>
      </c>
      <c r="B369" t="s">
        <v>43</v>
      </c>
      <c r="C369" t="s">
        <v>44</v>
      </c>
      <c r="E369">
        <v>382</v>
      </c>
      <c r="F369" s="6" t="s">
        <v>663</v>
      </c>
      <c r="G369" s="6" t="s">
        <v>60</v>
      </c>
      <c r="H369" s="9">
        <v>46153</v>
      </c>
      <c r="J369" s="6" t="s">
        <v>52</v>
      </c>
      <c r="K369" s="6" t="s">
        <v>34</v>
      </c>
      <c r="L369" s="6" t="s">
        <v>35</v>
      </c>
      <c r="M369" s="4">
        <f t="shared" si="23"/>
        <v>3612.3134550000004</v>
      </c>
      <c r="N369" s="4">
        <v>2302.753455</v>
      </c>
      <c r="O369" s="4">
        <v>8.5299999999999994</v>
      </c>
      <c r="P369" s="4">
        <v>1161.8800000000001</v>
      </c>
      <c r="Q369" s="4">
        <v>139.15</v>
      </c>
      <c r="R369" s="4">
        <v>381.36011219999995</v>
      </c>
      <c r="S369" s="4">
        <v>381.36011219999995</v>
      </c>
      <c r="T369">
        <v>836</v>
      </c>
      <c r="U369">
        <v>0</v>
      </c>
      <c r="W369" t="s">
        <v>36</v>
      </c>
      <c r="X369" t="s">
        <v>36</v>
      </c>
      <c r="AE369" s="4">
        <f t="shared" si="24"/>
        <v>4448.3134550000004</v>
      </c>
      <c r="AF369">
        <f t="shared" si="21"/>
        <v>0</v>
      </c>
      <c r="AG369" s="4">
        <f t="shared" si="22"/>
        <v>4448.3134550000004</v>
      </c>
      <c r="AI369" t="s">
        <v>47</v>
      </c>
    </row>
    <row r="370" spans="1:35" x14ac:dyDescent="0.3">
      <c r="A370" t="s">
        <v>43</v>
      </c>
      <c r="B370" t="s">
        <v>43</v>
      </c>
      <c r="C370" t="s">
        <v>44</v>
      </c>
      <c r="E370">
        <v>383</v>
      </c>
      <c r="F370" s="6" t="s">
        <v>666</v>
      </c>
      <c r="G370" s="6" t="s">
        <v>60</v>
      </c>
      <c r="H370" s="9">
        <v>46153</v>
      </c>
      <c r="J370" s="6" t="s">
        <v>52</v>
      </c>
      <c r="K370" s="6" t="s">
        <v>34</v>
      </c>
      <c r="L370" s="6" t="s">
        <v>35</v>
      </c>
      <c r="M370" s="4">
        <f t="shared" si="23"/>
        <v>3658.61</v>
      </c>
      <c r="N370" s="4">
        <v>2302.75</v>
      </c>
      <c r="O370" s="4">
        <v>183.03</v>
      </c>
      <c r="P370" s="4">
        <v>1018.3599999999999</v>
      </c>
      <c r="Q370" s="4">
        <v>154.47</v>
      </c>
      <c r="R370" s="4">
        <v>417.99987719999996</v>
      </c>
      <c r="S370" s="4">
        <v>417.99987719999996</v>
      </c>
      <c r="T370">
        <v>836</v>
      </c>
      <c r="U370">
        <v>0</v>
      </c>
      <c r="W370" t="s">
        <v>36</v>
      </c>
      <c r="X370" t="s">
        <v>36</v>
      </c>
      <c r="AE370" s="4">
        <f t="shared" si="24"/>
        <v>4494.6100000000006</v>
      </c>
      <c r="AF370">
        <f t="shared" si="21"/>
        <v>0</v>
      </c>
      <c r="AG370" s="4">
        <f t="shared" si="22"/>
        <v>4494.6100000000006</v>
      </c>
      <c r="AI370" t="s">
        <v>47</v>
      </c>
    </row>
    <row r="371" spans="1:35" x14ac:dyDescent="0.3">
      <c r="A371" t="s">
        <v>43</v>
      </c>
      <c r="B371" t="s">
        <v>43</v>
      </c>
      <c r="C371" t="s">
        <v>44</v>
      </c>
      <c r="E371">
        <v>384</v>
      </c>
      <c r="F371" s="6" t="s">
        <v>665</v>
      </c>
      <c r="G371" s="6" t="s">
        <v>60</v>
      </c>
      <c r="H371" s="9">
        <v>46153</v>
      </c>
      <c r="J371" s="6" t="s">
        <v>52</v>
      </c>
      <c r="K371" s="6" t="s">
        <v>34</v>
      </c>
      <c r="L371" s="6" t="s">
        <v>35</v>
      </c>
      <c r="M371" s="4">
        <f t="shared" si="23"/>
        <v>3864.0299999999997</v>
      </c>
      <c r="N371" s="4">
        <v>2302.75</v>
      </c>
      <c r="O371" s="4">
        <v>168.54000000000002</v>
      </c>
      <c r="P371" s="4">
        <v>1268.3599999999999</v>
      </c>
      <c r="Q371" s="4">
        <v>124.38</v>
      </c>
      <c r="R371" s="4">
        <v>346.88513789999996</v>
      </c>
      <c r="S371" s="4">
        <v>346.88513789999996</v>
      </c>
      <c r="T371">
        <v>836</v>
      </c>
      <c r="U371">
        <v>0</v>
      </c>
      <c r="W371" t="s">
        <v>36</v>
      </c>
      <c r="X371" t="s">
        <v>36</v>
      </c>
      <c r="AE371" s="4">
        <f t="shared" si="24"/>
        <v>4700.03</v>
      </c>
      <c r="AF371">
        <f t="shared" si="21"/>
        <v>0</v>
      </c>
      <c r="AG371" s="4">
        <f t="shared" si="22"/>
        <v>4700.03</v>
      </c>
      <c r="AI371" t="s">
        <v>47</v>
      </c>
    </row>
    <row r="372" spans="1:35" x14ac:dyDescent="0.3">
      <c r="A372" t="s">
        <v>43</v>
      </c>
      <c r="B372" t="s">
        <v>43</v>
      </c>
      <c r="C372" t="s">
        <v>44</v>
      </c>
      <c r="E372">
        <v>385</v>
      </c>
      <c r="F372" s="6" t="s">
        <v>684</v>
      </c>
      <c r="G372" s="6" t="s">
        <v>60</v>
      </c>
      <c r="H372" s="9">
        <v>46153</v>
      </c>
      <c r="J372" s="6" t="s">
        <v>33</v>
      </c>
      <c r="K372" s="6" t="s">
        <v>34</v>
      </c>
      <c r="L372" s="6" t="s">
        <v>35</v>
      </c>
      <c r="M372" s="4">
        <f t="shared" si="23"/>
        <v>3333.03</v>
      </c>
      <c r="N372" s="4">
        <v>2302.75</v>
      </c>
      <c r="O372" s="4">
        <v>200.53</v>
      </c>
      <c r="P372" s="4">
        <v>673.4</v>
      </c>
      <c r="Q372" s="4">
        <v>156.35</v>
      </c>
      <c r="R372" s="4">
        <v>421.67435219999999</v>
      </c>
      <c r="S372" s="4">
        <v>421.67435219999999</v>
      </c>
      <c r="T372">
        <v>0</v>
      </c>
      <c r="U372">
        <v>0</v>
      </c>
      <c r="W372">
        <v>0</v>
      </c>
      <c r="X372">
        <v>0</v>
      </c>
      <c r="AE372" s="4">
        <f t="shared" si="24"/>
        <v>3333.03</v>
      </c>
      <c r="AF372">
        <f t="shared" si="21"/>
        <v>0</v>
      </c>
      <c r="AG372" s="4">
        <f t="shared" si="22"/>
        <v>3333.03</v>
      </c>
      <c r="AI372" t="s">
        <v>47</v>
      </c>
    </row>
    <row r="373" spans="1:35" x14ac:dyDescent="0.3">
      <c r="A373" t="s">
        <v>43</v>
      </c>
      <c r="B373" t="s">
        <v>43</v>
      </c>
      <c r="C373" t="s">
        <v>44</v>
      </c>
      <c r="E373">
        <v>386</v>
      </c>
      <c r="F373" s="6" t="s">
        <v>678</v>
      </c>
      <c r="G373" s="6" t="s">
        <v>60</v>
      </c>
      <c r="H373" s="9">
        <v>46153</v>
      </c>
      <c r="J373" s="6" t="s">
        <v>52</v>
      </c>
      <c r="K373" s="6" t="s">
        <v>34</v>
      </c>
      <c r="L373" s="6" t="s">
        <v>35</v>
      </c>
      <c r="M373" s="4">
        <f t="shared" si="23"/>
        <v>3221.56</v>
      </c>
      <c r="N373" s="4">
        <v>2302.75</v>
      </c>
      <c r="O373" s="4">
        <v>55.25</v>
      </c>
      <c r="P373" s="4">
        <v>720.2</v>
      </c>
      <c r="Q373" s="4">
        <v>143.36000000000001</v>
      </c>
      <c r="R373" s="4">
        <v>391.16991059999998</v>
      </c>
      <c r="S373" s="4">
        <v>391.16991059999998</v>
      </c>
      <c r="T373">
        <v>836</v>
      </c>
      <c r="U373">
        <v>0</v>
      </c>
      <c r="W373" t="s">
        <v>36</v>
      </c>
      <c r="X373" t="s">
        <v>36</v>
      </c>
      <c r="AE373" s="4">
        <f t="shared" si="24"/>
        <v>4057.56</v>
      </c>
      <c r="AF373">
        <f t="shared" si="21"/>
        <v>0</v>
      </c>
      <c r="AG373" s="4">
        <f t="shared" si="22"/>
        <v>4057.56</v>
      </c>
      <c r="AI373" t="s">
        <v>47</v>
      </c>
    </row>
    <row r="374" spans="1:35" x14ac:dyDescent="0.3">
      <c r="A374" t="s">
        <v>43</v>
      </c>
      <c r="B374" t="s">
        <v>43</v>
      </c>
      <c r="C374" t="s">
        <v>44</v>
      </c>
      <c r="E374">
        <v>387</v>
      </c>
      <c r="F374" s="6" t="s">
        <v>680</v>
      </c>
      <c r="G374" s="6" t="s">
        <v>136</v>
      </c>
      <c r="H374" s="9">
        <v>46153</v>
      </c>
      <c r="J374" s="6" t="s">
        <v>52</v>
      </c>
      <c r="K374" s="6" t="s">
        <v>34</v>
      </c>
      <c r="L374" s="6" t="s">
        <v>35</v>
      </c>
      <c r="M374" s="4">
        <f t="shared" si="23"/>
        <v>3361.49</v>
      </c>
      <c r="N374" s="4">
        <v>2801.97</v>
      </c>
      <c r="O374" s="4">
        <v>62.379999999999995</v>
      </c>
      <c r="P374" s="4">
        <v>324.2</v>
      </c>
      <c r="Q374" s="4">
        <v>172.94</v>
      </c>
      <c r="R374" s="4">
        <v>460.19754810000006</v>
      </c>
      <c r="S374" s="4">
        <v>460.19754810000006</v>
      </c>
      <c r="T374">
        <v>836</v>
      </c>
      <c r="U374">
        <v>0</v>
      </c>
      <c r="W374" t="s">
        <v>36</v>
      </c>
      <c r="X374" t="s">
        <v>36</v>
      </c>
      <c r="AE374" s="4">
        <f t="shared" si="24"/>
        <v>4197.49</v>
      </c>
      <c r="AF374">
        <f t="shared" si="21"/>
        <v>0</v>
      </c>
      <c r="AG374" s="4">
        <f t="shared" si="22"/>
        <v>4197.49</v>
      </c>
      <c r="AI374" t="s">
        <v>47</v>
      </c>
    </row>
    <row r="375" spans="1:35" x14ac:dyDescent="0.3">
      <c r="A375" t="s">
        <v>43</v>
      </c>
      <c r="B375" t="s">
        <v>43</v>
      </c>
      <c r="C375" t="s">
        <v>44</v>
      </c>
      <c r="E375">
        <v>388</v>
      </c>
      <c r="F375" s="6" t="s">
        <v>683</v>
      </c>
      <c r="G375" s="6" t="s">
        <v>60</v>
      </c>
      <c r="H375" s="9">
        <v>46153</v>
      </c>
      <c r="J375" s="6" t="s">
        <v>52</v>
      </c>
      <c r="K375" s="6" t="s">
        <v>34</v>
      </c>
      <c r="L375" s="6" t="s">
        <v>35</v>
      </c>
      <c r="M375" s="4">
        <f t="shared" si="23"/>
        <v>3356.8500000000004</v>
      </c>
      <c r="N375" s="4">
        <v>2302.75</v>
      </c>
      <c r="O375" s="4">
        <v>200.95000000000002</v>
      </c>
      <c r="P375" s="4">
        <v>696.68000000000006</v>
      </c>
      <c r="Q375" s="4">
        <v>156.47</v>
      </c>
      <c r="R375" s="4">
        <v>421.76253960000008</v>
      </c>
      <c r="S375" s="4">
        <v>421.76253960000008</v>
      </c>
      <c r="T375">
        <v>836</v>
      </c>
      <c r="U375">
        <v>0</v>
      </c>
      <c r="W375" t="s">
        <v>36</v>
      </c>
      <c r="X375" t="s">
        <v>36</v>
      </c>
      <c r="AE375" s="4">
        <f t="shared" si="24"/>
        <v>4192.8500000000004</v>
      </c>
      <c r="AF375">
        <f t="shared" si="21"/>
        <v>0</v>
      </c>
      <c r="AG375" s="4">
        <f t="shared" si="22"/>
        <v>4192.8500000000004</v>
      </c>
      <c r="AI375" t="s">
        <v>47</v>
      </c>
    </row>
    <row r="376" spans="1:35" x14ac:dyDescent="0.3">
      <c r="A376" t="s">
        <v>72</v>
      </c>
      <c r="B376" t="s">
        <v>43</v>
      </c>
      <c r="C376" t="s">
        <v>44</v>
      </c>
      <c r="E376">
        <v>389</v>
      </c>
      <c r="F376" s="6" t="s">
        <v>672</v>
      </c>
      <c r="G376" s="6" t="s">
        <v>60</v>
      </c>
      <c r="H376" s="9">
        <v>46153</v>
      </c>
      <c r="J376" s="6" t="s">
        <v>52</v>
      </c>
      <c r="K376" s="6" t="s">
        <v>34</v>
      </c>
      <c r="L376" s="6" t="s">
        <v>35</v>
      </c>
      <c r="M376" s="4">
        <f t="shared" si="23"/>
        <v>3258.62</v>
      </c>
      <c r="N376" s="4">
        <v>2302.75</v>
      </c>
      <c r="O376" s="4">
        <v>45.22</v>
      </c>
      <c r="P376" s="4">
        <v>768.2</v>
      </c>
      <c r="Q376" s="4">
        <v>142.44999999999999</v>
      </c>
      <c r="R376" s="4">
        <v>389.06391149999996</v>
      </c>
      <c r="S376" s="4">
        <v>389.06391149999996</v>
      </c>
      <c r="T376">
        <v>836</v>
      </c>
      <c r="U376">
        <v>0</v>
      </c>
      <c r="W376" t="s">
        <v>36</v>
      </c>
      <c r="X376" t="s">
        <v>36</v>
      </c>
      <c r="AE376" s="4">
        <f t="shared" si="24"/>
        <v>4094.62</v>
      </c>
      <c r="AF376">
        <f t="shared" si="21"/>
        <v>0</v>
      </c>
      <c r="AG376" s="4">
        <f t="shared" si="22"/>
        <v>4094.62</v>
      </c>
      <c r="AI376" t="s">
        <v>47</v>
      </c>
    </row>
    <row r="377" spans="1:35" x14ac:dyDescent="0.3">
      <c r="A377" t="s">
        <v>43</v>
      </c>
      <c r="B377" t="s">
        <v>43</v>
      </c>
      <c r="C377" t="s">
        <v>44</v>
      </c>
      <c r="E377">
        <v>390</v>
      </c>
      <c r="F377" s="6" t="s">
        <v>661</v>
      </c>
      <c r="G377" s="6" t="s">
        <v>136</v>
      </c>
      <c r="H377" s="9">
        <v>46153</v>
      </c>
      <c r="J377" s="6" t="s">
        <v>33</v>
      </c>
      <c r="K377" s="6" t="s">
        <v>34</v>
      </c>
      <c r="L377" s="6" t="s">
        <v>35</v>
      </c>
      <c r="M377" s="4">
        <f t="shared" si="23"/>
        <v>4144.3141100000003</v>
      </c>
      <c r="N377" s="4">
        <v>2801.9741100000001</v>
      </c>
      <c r="O377" s="4">
        <v>25.62</v>
      </c>
      <c r="P377" s="4">
        <v>1147.08</v>
      </c>
      <c r="Q377" s="4">
        <v>169.64</v>
      </c>
      <c r="R377" s="4">
        <v>452.47905090000006</v>
      </c>
      <c r="S377" s="4">
        <v>452.47905090000006</v>
      </c>
      <c r="T377">
        <v>0</v>
      </c>
      <c r="U377">
        <v>0</v>
      </c>
      <c r="W377">
        <v>0</v>
      </c>
      <c r="X377">
        <v>0</v>
      </c>
      <c r="AE377" s="4">
        <f t="shared" si="24"/>
        <v>4144.3141100000003</v>
      </c>
      <c r="AF377">
        <f t="shared" si="21"/>
        <v>0</v>
      </c>
      <c r="AG377" s="4">
        <f t="shared" si="22"/>
        <v>4144.3141100000003</v>
      </c>
      <c r="AI377" t="s">
        <v>47</v>
      </c>
    </row>
    <row r="378" spans="1:35" x14ac:dyDescent="0.3">
      <c r="A378" t="s">
        <v>43</v>
      </c>
      <c r="B378" t="s">
        <v>43</v>
      </c>
      <c r="C378" t="s">
        <v>44</v>
      </c>
      <c r="E378">
        <v>391</v>
      </c>
      <c r="F378" s="6" t="s">
        <v>658</v>
      </c>
      <c r="G378" s="6" t="s">
        <v>60</v>
      </c>
      <c r="H378" s="9">
        <v>46153</v>
      </c>
      <c r="J378" s="6" t="s">
        <v>52</v>
      </c>
      <c r="K378" s="6" t="s">
        <v>34</v>
      </c>
      <c r="L378" s="6" t="s">
        <v>35</v>
      </c>
      <c r="M378" s="4">
        <f t="shared" si="23"/>
        <v>4284.47</v>
      </c>
      <c r="N378" s="4">
        <v>2302.75</v>
      </c>
      <c r="O378" s="4">
        <v>349</v>
      </c>
      <c r="P378" s="4">
        <v>1461.64</v>
      </c>
      <c r="Q378" s="4">
        <v>171.08</v>
      </c>
      <c r="R378" s="4">
        <v>455.83857089999998</v>
      </c>
      <c r="S378" s="4">
        <v>455.83857089999998</v>
      </c>
      <c r="T378">
        <v>836</v>
      </c>
      <c r="U378">
        <v>0</v>
      </c>
      <c r="W378" t="s">
        <v>36</v>
      </c>
      <c r="X378" t="s">
        <v>36</v>
      </c>
      <c r="AE378" s="4">
        <f t="shared" si="24"/>
        <v>5120.47</v>
      </c>
      <c r="AF378">
        <f t="shared" si="21"/>
        <v>0</v>
      </c>
      <c r="AG378" s="4">
        <f t="shared" si="22"/>
        <v>5120.47</v>
      </c>
      <c r="AI378" t="s">
        <v>47</v>
      </c>
    </row>
    <row r="379" spans="1:35" x14ac:dyDescent="0.3">
      <c r="A379" t="s">
        <v>43</v>
      </c>
      <c r="B379" t="s">
        <v>43</v>
      </c>
      <c r="C379" t="s">
        <v>44</v>
      </c>
      <c r="E379">
        <v>392</v>
      </c>
      <c r="F379" s="6" t="s">
        <v>671</v>
      </c>
      <c r="G379" s="6" t="s">
        <v>111</v>
      </c>
      <c r="H379" s="9">
        <v>46153</v>
      </c>
      <c r="J379" s="6" t="s">
        <v>52</v>
      </c>
      <c r="K379" s="6" t="s">
        <v>34</v>
      </c>
      <c r="L379" s="6" t="s">
        <v>35</v>
      </c>
      <c r="M379" s="4">
        <f t="shared" si="23"/>
        <v>4725.1600000000008</v>
      </c>
      <c r="N379" s="4">
        <v>3356.8</v>
      </c>
      <c r="O379" s="4">
        <v>41.78</v>
      </c>
      <c r="P379" s="4">
        <v>1123.4000000000001</v>
      </c>
      <c r="Q379" s="4">
        <v>203.18</v>
      </c>
      <c r="R379" s="4">
        <v>530.92384289999995</v>
      </c>
      <c r="S379" s="4">
        <v>530.92384289999995</v>
      </c>
      <c r="T379">
        <v>570</v>
      </c>
      <c r="U379">
        <v>0</v>
      </c>
      <c r="W379" t="s">
        <v>36</v>
      </c>
      <c r="X379" t="s">
        <v>36</v>
      </c>
      <c r="Y379" s="6">
        <v>14000</v>
      </c>
      <c r="AE379" s="4">
        <f t="shared" si="24"/>
        <v>5295.1600000000008</v>
      </c>
      <c r="AF379">
        <f t="shared" si="21"/>
        <v>14000</v>
      </c>
      <c r="AG379" s="4">
        <f t="shared" si="22"/>
        <v>19295.16</v>
      </c>
      <c r="AI379" t="s">
        <v>47</v>
      </c>
    </row>
    <row r="380" spans="1:35" x14ac:dyDescent="0.3">
      <c r="A380" t="s">
        <v>43</v>
      </c>
      <c r="B380" t="s">
        <v>43</v>
      </c>
      <c r="C380" t="s">
        <v>44</v>
      </c>
      <c r="E380">
        <v>393</v>
      </c>
      <c r="F380" s="6" t="s">
        <v>662</v>
      </c>
      <c r="G380" s="6" t="s">
        <v>60</v>
      </c>
      <c r="H380" s="9">
        <v>46153</v>
      </c>
      <c r="J380" s="6" t="s">
        <v>52</v>
      </c>
      <c r="K380" s="6" t="s">
        <v>34</v>
      </c>
      <c r="L380" s="6" t="s">
        <v>35</v>
      </c>
      <c r="M380" s="4">
        <f t="shared" si="23"/>
        <v>3684.38</v>
      </c>
      <c r="N380" s="4">
        <v>2302.75</v>
      </c>
      <c r="O380" s="4">
        <v>200.95000000000002</v>
      </c>
      <c r="P380" s="4">
        <v>1024.28</v>
      </c>
      <c r="Q380" s="4">
        <v>156.4</v>
      </c>
      <c r="R380" s="4">
        <v>421.76253960000008</v>
      </c>
      <c r="S380" s="4">
        <v>421.76253960000008</v>
      </c>
      <c r="T380">
        <v>836</v>
      </c>
      <c r="U380">
        <v>0</v>
      </c>
      <c r="W380" t="s">
        <v>36</v>
      </c>
      <c r="X380" t="s">
        <v>36</v>
      </c>
      <c r="AE380" s="4">
        <f t="shared" si="24"/>
        <v>4520.38</v>
      </c>
      <c r="AF380">
        <f t="shared" si="21"/>
        <v>0</v>
      </c>
      <c r="AG380" s="4">
        <f t="shared" si="22"/>
        <v>4520.38</v>
      </c>
      <c r="AI380" t="s">
        <v>47</v>
      </c>
    </row>
    <row r="381" spans="1:35" x14ac:dyDescent="0.3">
      <c r="A381" t="s">
        <v>72</v>
      </c>
      <c r="B381" t="s">
        <v>43</v>
      </c>
      <c r="C381" t="s">
        <v>44</v>
      </c>
      <c r="E381">
        <v>394</v>
      </c>
      <c r="F381" s="6" t="s">
        <v>677</v>
      </c>
      <c r="G381" s="6" t="s">
        <v>71</v>
      </c>
      <c r="H381" s="9">
        <v>46153</v>
      </c>
      <c r="J381" s="6" t="s">
        <v>52</v>
      </c>
      <c r="K381" s="6" t="s">
        <v>34</v>
      </c>
      <c r="L381" s="6" t="s">
        <v>35</v>
      </c>
      <c r="M381" s="4">
        <f t="shared" si="23"/>
        <v>4400.3</v>
      </c>
      <c r="N381" s="4">
        <v>2801.97</v>
      </c>
      <c r="O381" s="4">
        <v>106.52</v>
      </c>
      <c r="P381" s="4">
        <v>1330.88</v>
      </c>
      <c r="Q381" s="4">
        <v>160.93</v>
      </c>
      <c r="R381" s="4">
        <v>469.46562389999997</v>
      </c>
      <c r="S381" s="4">
        <v>469.46562389999997</v>
      </c>
      <c r="T381">
        <v>798</v>
      </c>
      <c r="U381">
        <v>0</v>
      </c>
      <c r="W381" t="s">
        <v>36</v>
      </c>
      <c r="X381" t="s">
        <v>36</v>
      </c>
      <c r="AE381" s="4">
        <f t="shared" si="24"/>
        <v>5198.3</v>
      </c>
      <c r="AF381">
        <f t="shared" si="21"/>
        <v>0</v>
      </c>
      <c r="AG381" s="4">
        <f t="shared" si="22"/>
        <v>5198.3</v>
      </c>
      <c r="AI381" t="s">
        <v>47</v>
      </c>
    </row>
    <row r="382" spans="1:35" x14ac:dyDescent="0.3">
      <c r="A382" t="s">
        <v>72</v>
      </c>
      <c r="B382" t="s">
        <v>43</v>
      </c>
      <c r="C382" t="s">
        <v>44</v>
      </c>
      <c r="E382">
        <v>395</v>
      </c>
      <c r="F382" s="6" t="s">
        <v>692</v>
      </c>
      <c r="G382" s="6" t="s">
        <v>71</v>
      </c>
      <c r="H382" s="9">
        <v>46153</v>
      </c>
      <c r="J382" s="6" t="s">
        <v>52</v>
      </c>
      <c r="K382" s="6" t="s">
        <v>34</v>
      </c>
      <c r="L382" s="6" t="s">
        <v>35</v>
      </c>
      <c r="M382" s="4">
        <f t="shared" si="23"/>
        <v>3924.37</v>
      </c>
      <c r="N382" s="4">
        <v>2801.97</v>
      </c>
      <c r="O382" s="4">
        <v>237.13</v>
      </c>
      <c r="P382" s="4">
        <v>696.68000000000006</v>
      </c>
      <c r="Q382" s="4">
        <v>188.59</v>
      </c>
      <c r="R382" s="4">
        <v>496.88980560000005</v>
      </c>
      <c r="S382" s="4">
        <v>496.88980560000005</v>
      </c>
      <c r="T382">
        <v>836</v>
      </c>
      <c r="U382">
        <v>0</v>
      </c>
      <c r="W382" t="s">
        <v>36</v>
      </c>
      <c r="X382" t="s">
        <v>36</v>
      </c>
      <c r="AE382" s="4">
        <f t="shared" si="24"/>
        <v>4760.37</v>
      </c>
      <c r="AF382">
        <f t="shared" si="21"/>
        <v>0</v>
      </c>
      <c r="AG382" s="4">
        <f t="shared" si="22"/>
        <v>4760.37</v>
      </c>
      <c r="AI382" t="s">
        <v>47</v>
      </c>
    </row>
    <row r="383" spans="1:35" x14ac:dyDescent="0.3">
      <c r="A383" t="s">
        <v>43</v>
      </c>
      <c r="B383" t="s">
        <v>43</v>
      </c>
      <c r="C383" t="s">
        <v>44</v>
      </c>
      <c r="E383">
        <v>396</v>
      </c>
      <c r="F383" s="6" t="s">
        <v>655</v>
      </c>
      <c r="G383" s="6" t="s">
        <v>60</v>
      </c>
      <c r="H383" s="9">
        <v>46153</v>
      </c>
      <c r="J383" s="6" t="s">
        <v>52</v>
      </c>
      <c r="K383" s="6" t="s">
        <v>34</v>
      </c>
      <c r="L383" s="6" t="s">
        <v>35</v>
      </c>
      <c r="M383" s="4">
        <f t="shared" si="23"/>
        <v>3801.3</v>
      </c>
      <c r="N383" s="4">
        <v>2302.75</v>
      </c>
      <c r="O383" s="4">
        <v>140.36000000000001</v>
      </c>
      <c r="P383" s="4">
        <v>1207.0999999999999</v>
      </c>
      <c r="Q383" s="4">
        <v>151.09</v>
      </c>
      <c r="R383" s="4">
        <v>409.21263269999997</v>
      </c>
      <c r="S383" s="4">
        <v>409.21263269999997</v>
      </c>
      <c r="T383">
        <v>836</v>
      </c>
      <c r="U383">
        <v>0</v>
      </c>
      <c r="W383" t="s">
        <v>36</v>
      </c>
      <c r="X383" t="s">
        <v>36</v>
      </c>
      <c r="AE383" s="4">
        <f t="shared" si="24"/>
        <v>4637.3</v>
      </c>
      <c r="AF383">
        <f t="shared" si="21"/>
        <v>0</v>
      </c>
      <c r="AG383" s="4">
        <f t="shared" si="22"/>
        <v>4637.3</v>
      </c>
      <c r="AI383" t="s">
        <v>47</v>
      </c>
    </row>
    <row r="384" spans="1:35" x14ac:dyDescent="0.3">
      <c r="A384" t="s">
        <v>43</v>
      </c>
      <c r="B384" t="s">
        <v>43</v>
      </c>
      <c r="C384" t="s">
        <v>44</v>
      </c>
      <c r="E384">
        <v>397</v>
      </c>
      <c r="F384" s="6" t="s">
        <v>654</v>
      </c>
      <c r="G384" s="6" t="s">
        <v>136</v>
      </c>
      <c r="H384" s="9">
        <v>46153</v>
      </c>
      <c r="J384" s="6" t="s">
        <v>52</v>
      </c>
      <c r="K384" s="6" t="s">
        <v>34</v>
      </c>
      <c r="L384" s="6" t="s">
        <v>35</v>
      </c>
      <c r="M384" s="4">
        <f t="shared" si="23"/>
        <v>4033.7599999999998</v>
      </c>
      <c r="N384" s="4">
        <v>2801.97</v>
      </c>
      <c r="O384" s="4">
        <v>358.84999999999997</v>
      </c>
      <c r="P384" s="4">
        <v>673.4</v>
      </c>
      <c r="Q384" s="4">
        <v>199.54</v>
      </c>
      <c r="R384" s="4">
        <v>522.44735400000002</v>
      </c>
      <c r="S384" s="4">
        <v>522.44735400000002</v>
      </c>
      <c r="T384">
        <v>836</v>
      </c>
      <c r="U384">
        <v>0</v>
      </c>
      <c r="W384" t="s">
        <v>36</v>
      </c>
      <c r="X384" t="s">
        <v>36</v>
      </c>
      <c r="AE384" s="4">
        <f t="shared" si="24"/>
        <v>4869.76</v>
      </c>
      <c r="AF384">
        <f t="shared" si="21"/>
        <v>0</v>
      </c>
      <c r="AG384" s="4">
        <f t="shared" si="22"/>
        <v>4869.76</v>
      </c>
      <c r="AI384" t="s">
        <v>47</v>
      </c>
    </row>
    <row r="385" spans="1:35" x14ac:dyDescent="0.3">
      <c r="A385" t="s">
        <v>40</v>
      </c>
      <c r="B385" t="s">
        <v>750</v>
      </c>
      <c r="C385" t="s">
        <v>30</v>
      </c>
      <c r="E385">
        <v>398</v>
      </c>
      <c r="F385" s="6" t="s">
        <v>674</v>
      </c>
      <c r="G385" s="6" t="s">
        <v>93</v>
      </c>
      <c r="H385" s="9">
        <v>46153</v>
      </c>
      <c r="J385" s="6" t="s">
        <v>52</v>
      </c>
      <c r="K385" s="6" t="s">
        <v>34</v>
      </c>
      <c r="L385" s="6" t="s">
        <v>35</v>
      </c>
      <c r="M385" s="4">
        <f t="shared" si="23"/>
        <v>4309.9299999999994</v>
      </c>
      <c r="N385" s="4">
        <v>2819.39</v>
      </c>
      <c r="O385" s="4">
        <v>24.57</v>
      </c>
      <c r="P385" s="4">
        <v>1324.6</v>
      </c>
      <c r="Q385" s="4">
        <v>141.37</v>
      </c>
      <c r="R385" s="4">
        <v>5.1589628999999997</v>
      </c>
      <c r="S385" s="4">
        <v>5.1589628999999997</v>
      </c>
      <c r="T385">
        <v>836</v>
      </c>
      <c r="U385">
        <v>0</v>
      </c>
      <c r="W385" t="s">
        <v>36</v>
      </c>
      <c r="X385" t="s">
        <v>36</v>
      </c>
      <c r="AE385" s="4">
        <f t="shared" si="24"/>
        <v>5145.9299999999994</v>
      </c>
      <c r="AF385">
        <f t="shared" si="21"/>
        <v>0</v>
      </c>
      <c r="AG385" s="4">
        <f t="shared" si="22"/>
        <v>5145.9299999999994</v>
      </c>
      <c r="AI385" t="s">
        <v>47</v>
      </c>
    </row>
    <row r="386" spans="1:35" x14ac:dyDescent="0.3">
      <c r="A386" t="s">
        <v>43</v>
      </c>
      <c r="B386" t="s">
        <v>43</v>
      </c>
      <c r="C386" t="s">
        <v>44</v>
      </c>
      <c r="E386">
        <v>399</v>
      </c>
      <c r="F386" s="6" t="s">
        <v>693</v>
      </c>
      <c r="G386" s="6" t="s">
        <v>60</v>
      </c>
      <c r="H386" s="9">
        <v>46163</v>
      </c>
      <c r="J386" s="6" t="s">
        <v>52</v>
      </c>
      <c r="K386" s="6" t="s">
        <v>34</v>
      </c>
      <c r="L386" s="6" t="s">
        <v>35</v>
      </c>
      <c r="M386" s="4">
        <f t="shared" si="23"/>
        <v>3714.11</v>
      </c>
      <c r="N386" s="4">
        <v>2302.75</v>
      </c>
      <c r="O386" s="4">
        <v>0</v>
      </c>
      <c r="P386" s="4">
        <v>1328.76</v>
      </c>
      <c r="Q386" s="4">
        <v>82.6</v>
      </c>
      <c r="R386" s="4">
        <v>68.072273999999993</v>
      </c>
      <c r="S386" s="4">
        <v>68.072273999999993</v>
      </c>
      <c r="T386">
        <v>1102</v>
      </c>
      <c r="U386">
        <v>0</v>
      </c>
      <c r="W386" t="s">
        <v>36</v>
      </c>
      <c r="X386" t="s">
        <v>36</v>
      </c>
      <c r="AE386" s="4">
        <f t="shared" si="24"/>
        <v>4816.1100000000006</v>
      </c>
      <c r="AF386">
        <f t="shared" si="21"/>
        <v>0</v>
      </c>
      <c r="AG386" s="4">
        <f t="shared" si="22"/>
        <v>4816.1100000000006</v>
      </c>
      <c r="AI386" t="s">
        <v>47</v>
      </c>
    </row>
    <row r="387" spans="1:35" x14ac:dyDescent="0.3">
      <c r="A387" t="s">
        <v>43</v>
      </c>
      <c r="B387" t="s">
        <v>43</v>
      </c>
      <c r="C387" t="s">
        <v>44</v>
      </c>
      <c r="E387">
        <v>401</v>
      </c>
      <c r="F387" s="6" t="s">
        <v>676</v>
      </c>
      <c r="G387" s="6" t="s">
        <v>111</v>
      </c>
      <c r="H387" s="9">
        <v>46163</v>
      </c>
      <c r="J387" s="6" t="s">
        <v>52</v>
      </c>
      <c r="K387" s="6" t="s">
        <v>34</v>
      </c>
      <c r="L387" s="6" t="s">
        <v>35</v>
      </c>
      <c r="M387" s="4">
        <f t="shared" si="23"/>
        <v>4116.88</v>
      </c>
      <c r="N387" s="4">
        <v>3356.8</v>
      </c>
      <c r="O387" s="4">
        <v>0</v>
      </c>
      <c r="P387" s="4">
        <v>675.12</v>
      </c>
      <c r="Q387" s="4">
        <v>84.96</v>
      </c>
      <c r="R387" s="4">
        <v>0</v>
      </c>
      <c r="S387" s="4">
        <v>0</v>
      </c>
      <c r="T387">
        <v>1102</v>
      </c>
      <c r="U387">
        <v>0</v>
      </c>
      <c r="W387" t="s">
        <v>36</v>
      </c>
      <c r="X387" t="s">
        <v>36</v>
      </c>
      <c r="Y387" s="6">
        <v>9000</v>
      </c>
      <c r="AE387" s="4">
        <f t="shared" si="24"/>
        <v>5218.88</v>
      </c>
      <c r="AF387">
        <f t="shared" ref="AF387:AF450" si="25">U387+Y387</f>
        <v>9000</v>
      </c>
      <c r="AG387" s="4">
        <f t="shared" ref="AG387:AG450" si="26">AF387+AE387</f>
        <v>14218.880000000001</v>
      </c>
      <c r="AI387" t="s">
        <v>47</v>
      </c>
    </row>
    <row r="388" spans="1:35" x14ac:dyDescent="0.3">
      <c r="A388" t="s">
        <v>43</v>
      </c>
      <c r="B388" t="s">
        <v>43</v>
      </c>
      <c r="C388" t="s">
        <v>44</v>
      </c>
      <c r="E388">
        <v>402</v>
      </c>
      <c r="F388" s="6" t="s">
        <v>657</v>
      </c>
      <c r="G388" s="6" t="s">
        <v>60</v>
      </c>
      <c r="H388" s="9">
        <v>46163</v>
      </c>
      <c r="J388" s="6" t="s">
        <v>52</v>
      </c>
      <c r="K388" s="6" t="s">
        <v>34</v>
      </c>
      <c r="L388" s="6" t="s">
        <v>35</v>
      </c>
      <c r="M388" s="4">
        <f t="shared" ref="M388:M405" si="27">N388+O388+P388+Q388-S388+R388</f>
        <v>2709.5499999999997</v>
      </c>
      <c r="N388" s="4">
        <v>2302.75</v>
      </c>
      <c r="O388" s="4">
        <v>0</v>
      </c>
      <c r="P388" s="4">
        <v>324.2</v>
      </c>
      <c r="Q388" s="4">
        <v>82.6</v>
      </c>
      <c r="R388" s="4">
        <v>68.072273999999993</v>
      </c>
      <c r="S388" s="4">
        <v>68.072273999999993</v>
      </c>
      <c r="T388">
        <v>1102</v>
      </c>
      <c r="U388">
        <v>0</v>
      </c>
      <c r="W388" t="s">
        <v>36</v>
      </c>
      <c r="X388" t="s">
        <v>36</v>
      </c>
      <c r="AE388" s="4">
        <f t="shared" ref="AE388:AE451" si="28">M388+T388+V388</f>
        <v>3811.5499999999997</v>
      </c>
      <c r="AF388">
        <f t="shared" si="25"/>
        <v>0</v>
      </c>
      <c r="AG388" s="4">
        <f t="shared" si="26"/>
        <v>3811.5499999999997</v>
      </c>
      <c r="AI388" t="s">
        <v>47</v>
      </c>
    </row>
    <row r="389" spans="1:35" x14ac:dyDescent="0.3">
      <c r="A389" t="s">
        <v>43</v>
      </c>
      <c r="B389" t="s">
        <v>43</v>
      </c>
      <c r="C389" t="s">
        <v>44</v>
      </c>
      <c r="E389">
        <v>403</v>
      </c>
      <c r="F389" s="6" t="s">
        <v>690</v>
      </c>
      <c r="G389" s="6" t="s">
        <v>111</v>
      </c>
      <c r="H389" s="9">
        <v>46163</v>
      </c>
      <c r="J389" s="6" t="s">
        <v>52</v>
      </c>
      <c r="K389" s="6" t="s">
        <v>34</v>
      </c>
      <c r="L389" s="6" t="s">
        <v>35</v>
      </c>
      <c r="M389" s="4">
        <f t="shared" si="27"/>
        <v>3441.76</v>
      </c>
      <c r="N389" s="4">
        <v>3356.8</v>
      </c>
      <c r="O389" s="4">
        <v>0</v>
      </c>
      <c r="P389" s="4">
        <v>0</v>
      </c>
      <c r="Q389" s="4">
        <v>84.96</v>
      </c>
      <c r="R389" s="4">
        <v>0</v>
      </c>
      <c r="S389" s="4">
        <v>0</v>
      </c>
      <c r="T389">
        <v>1102</v>
      </c>
      <c r="U389">
        <v>0</v>
      </c>
      <c r="W389" t="s">
        <v>36</v>
      </c>
      <c r="X389" t="s">
        <v>36</v>
      </c>
      <c r="Y389" s="6">
        <v>14000</v>
      </c>
      <c r="AE389" s="4">
        <f t="shared" si="28"/>
        <v>4543.76</v>
      </c>
      <c r="AF389">
        <f t="shared" si="25"/>
        <v>14000</v>
      </c>
      <c r="AG389" s="4">
        <f t="shared" si="26"/>
        <v>18543.760000000002</v>
      </c>
      <c r="AI389" t="s">
        <v>47</v>
      </c>
    </row>
    <row r="390" spans="1:35" x14ac:dyDescent="0.3">
      <c r="A390" t="s">
        <v>72</v>
      </c>
      <c r="B390" t="s">
        <v>43</v>
      </c>
      <c r="C390" t="s">
        <v>44</v>
      </c>
      <c r="E390">
        <v>404</v>
      </c>
      <c r="F390" s="6" t="s">
        <v>681</v>
      </c>
      <c r="G390" s="6" t="s">
        <v>249</v>
      </c>
      <c r="H390" s="9">
        <v>46163</v>
      </c>
      <c r="J390" s="6" t="s">
        <v>52</v>
      </c>
      <c r="K390" s="6" t="s">
        <v>34</v>
      </c>
      <c r="L390" s="6" t="s">
        <v>35</v>
      </c>
      <c r="M390" s="4">
        <f t="shared" si="27"/>
        <v>5219.43</v>
      </c>
      <c r="N390" s="4">
        <v>4416.3</v>
      </c>
      <c r="O390" s="4">
        <v>0</v>
      </c>
      <c r="P390" s="4">
        <v>691.36</v>
      </c>
      <c r="Q390" s="4">
        <v>111.77</v>
      </c>
      <c r="R390" s="4">
        <v>0</v>
      </c>
      <c r="S390" s="4">
        <v>0</v>
      </c>
      <c r="T390">
        <v>1102</v>
      </c>
      <c r="U390">
        <v>0</v>
      </c>
      <c r="W390" t="s">
        <v>36</v>
      </c>
      <c r="X390" t="s">
        <v>36</v>
      </c>
      <c r="Y390" s="6">
        <v>38000</v>
      </c>
      <c r="AE390" s="4">
        <f t="shared" si="28"/>
        <v>6321.43</v>
      </c>
      <c r="AF390">
        <f t="shared" si="25"/>
        <v>38000</v>
      </c>
      <c r="AG390" s="4">
        <f t="shared" si="26"/>
        <v>44321.43</v>
      </c>
      <c r="AI390" t="s">
        <v>47</v>
      </c>
    </row>
    <row r="391" spans="1:35" x14ac:dyDescent="0.3">
      <c r="A391" t="s">
        <v>43</v>
      </c>
      <c r="B391" t="s">
        <v>43</v>
      </c>
      <c r="C391" t="s">
        <v>44</v>
      </c>
      <c r="E391">
        <v>405</v>
      </c>
      <c r="F391" s="6" t="s">
        <v>673</v>
      </c>
      <c r="G391" s="6" t="s">
        <v>60</v>
      </c>
      <c r="H391" s="9">
        <v>46163</v>
      </c>
      <c r="J391" s="6" t="s">
        <v>52</v>
      </c>
      <c r="K391" s="6" t="s">
        <v>34</v>
      </c>
      <c r="L391" s="6" t="s">
        <v>35</v>
      </c>
      <c r="M391" s="4">
        <f t="shared" si="27"/>
        <v>2709.5499999999997</v>
      </c>
      <c r="N391" s="4">
        <v>2302.75</v>
      </c>
      <c r="O391" s="4">
        <v>0</v>
      </c>
      <c r="P391" s="4">
        <v>324.2</v>
      </c>
      <c r="Q391" s="4">
        <v>82.6</v>
      </c>
      <c r="R391" s="4">
        <v>68.072273999999993</v>
      </c>
      <c r="S391" s="4">
        <v>68.072273999999993</v>
      </c>
      <c r="T391">
        <v>1102</v>
      </c>
      <c r="U391">
        <v>0</v>
      </c>
      <c r="W391" t="s">
        <v>36</v>
      </c>
      <c r="X391" t="s">
        <v>36</v>
      </c>
      <c r="AE391" s="4">
        <f t="shared" si="28"/>
        <v>3811.5499999999997</v>
      </c>
      <c r="AF391">
        <f t="shared" si="25"/>
        <v>0</v>
      </c>
      <c r="AG391" s="4">
        <f t="shared" si="26"/>
        <v>3811.5499999999997</v>
      </c>
      <c r="AI391" t="s">
        <v>47</v>
      </c>
    </row>
    <row r="392" spans="1:35" x14ac:dyDescent="0.3">
      <c r="A392" t="s">
        <v>43</v>
      </c>
      <c r="B392" t="s">
        <v>43</v>
      </c>
      <c r="C392" t="s">
        <v>44</v>
      </c>
      <c r="E392">
        <v>406</v>
      </c>
      <c r="F392" s="6" t="s">
        <v>689</v>
      </c>
      <c r="G392" s="6" t="s">
        <v>251</v>
      </c>
      <c r="H392" s="9">
        <v>46163</v>
      </c>
      <c r="J392" s="6" t="s">
        <v>52</v>
      </c>
      <c r="K392" s="6" t="s">
        <v>34</v>
      </c>
      <c r="L392" s="6" t="s">
        <v>35</v>
      </c>
      <c r="M392" s="4">
        <f t="shared" si="27"/>
        <v>3464.0899999999997</v>
      </c>
      <c r="N392" s="4">
        <v>3049.35</v>
      </c>
      <c r="O392" s="4">
        <v>0</v>
      </c>
      <c r="P392" s="4">
        <v>337.56</v>
      </c>
      <c r="Q392" s="4">
        <v>77.180000000000007</v>
      </c>
      <c r="R392" s="4">
        <v>0</v>
      </c>
      <c r="S392" s="4">
        <v>0</v>
      </c>
      <c r="T392">
        <v>1102</v>
      </c>
      <c r="U392">
        <v>0</v>
      </c>
      <c r="W392" t="s">
        <v>36</v>
      </c>
      <c r="X392" t="s">
        <v>36</v>
      </c>
      <c r="AE392" s="4">
        <f t="shared" si="28"/>
        <v>4566.09</v>
      </c>
      <c r="AF392">
        <f t="shared" si="25"/>
        <v>0</v>
      </c>
      <c r="AG392" s="4">
        <f t="shared" si="26"/>
        <v>4566.09</v>
      </c>
      <c r="AI392" t="s">
        <v>39</v>
      </c>
    </row>
    <row r="393" spans="1:35" x14ac:dyDescent="0.3">
      <c r="A393" t="s">
        <v>43</v>
      </c>
      <c r="B393" t="s">
        <v>43</v>
      </c>
      <c r="C393" t="s">
        <v>44</v>
      </c>
      <c r="E393">
        <v>408</v>
      </c>
      <c r="F393" s="6" t="s">
        <v>675</v>
      </c>
      <c r="G393" s="6" t="s">
        <v>60</v>
      </c>
      <c r="H393" s="9">
        <v>46163</v>
      </c>
      <c r="J393" s="6" t="s">
        <v>52</v>
      </c>
      <c r="K393" s="6" t="s">
        <v>34</v>
      </c>
      <c r="L393" s="6" t="s">
        <v>35</v>
      </c>
      <c r="M393" s="4">
        <f t="shared" si="27"/>
        <v>3714.11</v>
      </c>
      <c r="N393" s="4">
        <v>2302.75</v>
      </c>
      <c r="O393" s="4">
        <v>0</v>
      </c>
      <c r="P393" s="4">
        <v>1328.76</v>
      </c>
      <c r="Q393" s="4">
        <v>82.6</v>
      </c>
      <c r="R393" s="4">
        <v>68.072273999999993</v>
      </c>
      <c r="S393" s="4">
        <v>68.072273999999993</v>
      </c>
      <c r="T393">
        <v>1102</v>
      </c>
      <c r="U393">
        <v>0</v>
      </c>
      <c r="W393" t="s">
        <v>36</v>
      </c>
      <c r="X393" t="s">
        <v>36</v>
      </c>
      <c r="AE393" s="4">
        <f t="shared" si="28"/>
        <v>4816.1100000000006</v>
      </c>
      <c r="AF393">
        <f t="shared" si="25"/>
        <v>0</v>
      </c>
      <c r="AG393" s="4">
        <f t="shared" si="26"/>
        <v>4816.1100000000006</v>
      </c>
      <c r="AI393" t="s">
        <v>47</v>
      </c>
    </row>
    <row r="394" spans="1:35" x14ac:dyDescent="0.3">
      <c r="A394" t="s">
        <v>43</v>
      </c>
      <c r="B394" t="s">
        <v>43</v>
      </c>
      <c r="C394" t="s">
        <v>44</v>
      </c>
      <c r="E394">
        <v>409</v>
      </c>
      <c r="F394" s="6" t="s">
        <v>669</v>
      </c>
      <c r="G394" s="6" t="s">
        <v>60</v>
      </c>
      <c r="H394" s="9">
        <v>46163</v>
      </c>
      <c r="J394" s="6" t="s">
        <v>52</v>
      </c>
      <c r="K394" s="6" t="s">
        <v>34</v>
      </c>
      <c r="L394" s="6" t="s">
        <v>35</v>
      </c>
      <c r="M394" s="4">
        <f t="shared" si="27"/>
        <v>3384.6699999999996</v>
      </c>
      <c r="N394" s="4">
        <v>2302.75</v>
      </c>
      <c r="O394" s="4">
        <v>0</v>
      </c>
      <c r="P394" s="4">
        <v>999.31999999999994</v>
      </c>
      <c r="Q394" s="4">
        <v>82.6</v>
      </c>
      <c r="R394" s="4">
        <v>68.072273999999993</v>
      </c>
      <c r="S394" s="4">
        <v>68.072273999999993</v>
      </c>
      <c r="T394">
        <v>1102</v>
      </c>
      <c r="U394">
        <v>0</v>
      </c>
      <c r="W394" t="s">
        <v>36</v>
      </c>
      <c r="X394" t="s">
        <v>36</v>
      </c>
      <c r="AE394" s="4">
        <f t="shared" si="28"/>
        <v>4486.67</v>
      </c>
      <c r="AF394">
        <f t="shared" si="25"/>
        <v>0</v>
      </c>
      <c r="AG394" s="4">
        <f t="shared" si="26"/>
        <v>4486.67</v>
      </c>
      <c r="AI394" t="s">
        <v>47</v>
      </c>
    </row>
    <row r="395" spans="1:35" x14ac:dyDescent="0.3">
      <c r="A395" t="s">
        <v>77</v>
      </c>
      <c r="B395" t="s">
        <v>78</v>
      </c>
      <c r="C395" t="s">
        <v>30</v>
      </c>
      <c r="E395">
        <v>410</v>
      </c>
      <c r="F395" s="6" t="s">
        <v>664</v>
      </c>
      <c r="G395" s="6" t="s">
        <v>80</v>
      </c>
      <c r="H395" s="9">
        <v>46163</v>
      </c>
      <c r="J395" s="6" t="s">
        <v>52</v>
      </c>
      <c r="K395" s="6" t="s">
        <v>34</v>
      </c>
      <c r="L395" s="6" t="s">
        <v>35</v>
      </c>
      <c r="M395" s="4">
        <f t="shared" si="27"/>
        <v>5717.9</v>
      </c>
      <c r="N395" s="4">
        <v>5572.95</v>
      </c>
      <c r="O395" s="4">
        <v>0</v>
      </c>
      <c r="P395" s="4">
        <v>0</v>
      </c>
      <c r="Q395" s="4">
        <v>144.94999999999999</v>
      </c>
      <c r="R395" s="4">
        <v>0</v>
      </c>
      <c r="S395" s="4">
        <v>0</v>
      </c>
      <c r="T395">
        <v>1102</v>
      </c>
      <c r="U395">
        <v>2000</v>
      </c>
      <c r="V395">
        <v>1000</v>
      </c>
      <c r="W395" t="s">
        <v>711</v>
      </c>
      <c r="X395" t="s">
        <v>710</v>
      </c>
      <c r="AE395" s="4">
        <f t="shared" si="28"/>
        <v>7819.9</v>
      </c>
      <c r="AF395">
        <f t="shared" si="25"/>
        <v>2000</v>
      </c>
      <c r="AG395" s="4">
        <f t="shared" si="26"/>
        <v>9819.9</v>
      </c>
      <c r="AI395" t="s">
        <v>47</v>
      </c>
    </row>
    <row r="396" spans="1:35" x14ac:dyDescent="0.3">
      <c r="A396" t="s">
        <v>72</v>
      </c>
      <c r="B396" t="s">
        <v>43</v>
      </c>
      <c r="C396" t="s">
        <v>44</v>
      </c>
      <c r="E396">
        <v>411</v>
      </c>
      <c r="F396" s="6" t="s">
        <v>685</v>
      </c>
      <c r="G396" s="6" t="s">
        <v>56</v>
      </c>
      <c r="H396" s="9">
        <v>46174</v>
      </c>
      <c r="J396" s="6" t="s">
        <v>52</v>
      </c>
      <c r="K396" s="6" t="s">
        <v>34</v>
      </c>
      <c r="L396" s="6" t="s">
        <v>35</v>
      </c>
      <c r="M396" s="4">
        <f t="shared" si="27"/>
        <v>5377.9</v>
      </c>
      <c r="N396" s="4">
        <v>5377.9</v>
      </c>
      <c r="O396" s="4">
        <v>0</v>
      </c>
      <c r="P396" s="4">
        <v>0</v>
      </c>
      <c r="Q396" s="4">
        <v>0</v>
      </c>
      <c r="R396" s="4">
        <v>0</v>
      </c>
      <c r="S396" s="4">
        <v>0</v>
      </c>
      <c r="T396">
        <v>836</v>
      </c>
      <c r="U396">
        <v>0</v>
      </c>
      <c r="W396" t="s">
        <v>36</v>
      </c>
      <c r="X396" t="s">
        <v>36</v>
      </c>
      <c r="AE396" s="4">
        <f t="shared" si="28"/>
        <v>6213.9</v>
      </c>
      <c r="AF396">
        <f t="shared" si="25"/>
        <v>0</v>
      </c>
      <c r="AG396" s="4">
        <f t="shared" si="26"/>
        <v>6213.9</v>
      </c>
      <c r="AI396" t="s">
        <v>47</v>
      </c>
    </row>
    <row r="397" spans="1:35" x14ac:dyDescent="0.3">
      <c r="A397" t="s">
        <v>43</v>
      </c>
      <c r="B397" t="s">
        <v>43</v>
      </c>
      <c r="C397" t="s">
        <v>44</v>
      </c>
      <c r="E397">
        <v>412</v>
      </c>
      <c r="F397" s="6" t="s">
        <v>668</v>
      </c>
      <c r="G397" s="6" t="s">
        <v>71</v>
      </c>
      <c r="H397" s="9">
        <v>46174</v>
      </c>
      <c r="J397" s="6" t="s">
        <v>52</v>
      </c>
      <c r="K397" s="6" t="s">
        <v>34</v>
      </c>
      <c r="L397" s="6" t="s">
        <v>35</v>
      </c>
      <c r="M397" s="4">
        <f t="shared" si="27"/>
        <v>2801.97</v>
      </c>
      <c r="N397" s="4">
        <v>2801.97</v>
      </c>
      <c r="O397" s="4">
        <v>0</v>
      </c>
      <c r="P397" s="4">
        <v>0</v>
      </c>
      <c r="Q397" s="4">
        <v>0</v>
      </c>
      <c r="R397" s="4">
        <v>0</v>
      </c>
      <c r="S397" s="4">
        <v>0</v>
      </c>
      <c r="T397">
        <v>836</v>
      </c>
      <c r="U397">
        <v>0</v>
      </c>
      <c r="W397" t="s">
        <v>36</v>
      </c>
      <c r="X397" t="s">
        <v>36</v>
      </c>
      <c r="AE397" s="4">
        <f t="shared" si="28"/>
        <v>3637.97</v>
      </c>
      <c r="AF397">
        <f t="shared" si="25"/>
        <v>0</v>
      </c>
      <c r="AG397" s="4">
        <f t="shared" si="26"/>
        <v>3637.97</v>
      </c>
      <c r="AI397" t="s">
        <v>47</v>
      </c>
    </row>
    <row r="398" spans="1:35" x14ac:dyDescent="0.3">
      <c r="A398" t="s">
        <v>72</v>
      </c>
      <c r="B398" t="s">
        <v>43</v>
      </c>
      <c r="C398" t="s">
        <v>44</v>
      </c>
      <c r="E398">
        <v>413</v>
      </c>
      <c r="F398" s="6" t="s">
        <v>660</v>
      </c>
      <c r="G398" s="6" t="s">
        <v>60</v>
      </c>
      <c r="H398" s="9">
        <v>46174</v>
      </c>
      <c r="J398" s="6" t="s">
        <v>52</v>
      </c>
      <c r="K398" s="6" t="s">
        <v>34</v>
      </c>
      <c r="L398" s="6" t="s">
        <v>35</v>
      </c>
      <c r="M398" s="4">
        <f t="shared" si="27"/>
        <v>2302.75</v>
      </c>
      <c r="N398" s="4">
        <v>2302.75</v>
      </c>
      <c r="O398" s="4">
        <v>0</v>
      </c>
      <c r="P398" s="4">
        <v>0</v>
      </c>
      <c r="Q398" s="4">
        <v>0</v>
      </c>
      <c r="R398" s="4">
        <v>0</v>
      </c>
      <c r="S398" s="4">
        <v>0</v>
      </c>
      <c r="T398">
        <v>836</v>
      </c>
      <c r="U398">
        <v>0</v>
      </c>
      <c r="W398" t="s">
        <v>36</v>
      </c>
      <c r="X398" t="s">
        <v>36</v>
      </c>
      <c r="AE398" s="4">
        <f t="shared" si="28"/>
        <v>3138.75</v>
      </c>
      <c r="AF398">
        <f t="shared" si="25"/>
        <v>0</v>
      </c>
      <c r="AG398" s="4">
        <f t="shared" si="26"/>
        <v>3138.75</v>
      </c>
      <c r="AI398" t="s">
        <v>47</v>
      </c>
    </row>
    <row r="399" spans="1:35" x14ac:dyDescent="0.3">
      <c r="A399" t="s">
        <v>43</v>
      </c>
      <c r="B399" t="s">
        <v>43</v>
      </c>
      <c r="C399" t="s">
        <v>44</v>
      </c>
      <c r="E399">
        <v>414</v>
      </c>
      <c r="F399" s="6" t="s">
        <v>700</v>
      </c>
      <c r="G399" s="6" t="s">
        <v>106</v>
      </c>
      <c r="H399" s="9">
        <v>46181</v>
      </c>
      <c r="J399" s="6" t="s">
        <v>52</v>
      </c>
      <c r="K399" s="6" t="s">
        <v>34</v>
      </c>
      <c r="L399" s="6" t="s">
        <v>35</v>
      </c>
      <c r="M399" s="4">
        <f t="shared" si="27"/>
        <v>4681.28</v>
      </c>
      <c r="N399" s="4">
        <v>4681.28</v>
      </c>
      <c r="O399" s="4">
        <v>0</v>
      </c>
      <c r="P399" s="4">
        <v>0</v>
      </c>
      <c r="Q399" s="4">
        <v>0</v>
      </c>
      <c r="R399" s="4">
        <v>0</v>
      </c>
      <c r="S399" s="4">
        <v>0</v>
      </c>
      <c r="T399">
        <v>456</v>
      </c>
      <c r="U399">
        <v>0</v>
      </c>
      <c r="W399" t="s">
        <v>36</v>
      </c>
      <c r="X399" t="s">
        <v>36</v>
      </c>
      <c r="Y399" s="6">
        <v>15000</v>
      </c>
      <c r="AE399" s="4">
        <f t="shared" si="28"/>
        <v>5137.28</v>
      </c>
      <c r="AF399">
        <f t="shared" si="25"/>
        <v>15000</v>
      </c>
      <c r="AG399" s="4">
        <f t="shared" si="26"/>
        <v>20137.28</v>
      </c>
      <c r="AI399" t="s">
        <v>47</v>
      </c>
    </row>
    <row r="400" spans="1:35" x14ac:dyDescent="0.3">
      <c r="A400" t="s">
        <v>72</v>
      </c>
      <c r="B400" t="s">
        <v>43</v>
      </c>
      <c r="C400" t="s">
        <v>44</v>
      </c>
      <c r="E400">
        <v>415</v>
      </c>
      <c r="F400" s="6" t="s">
        <v>667</v>
      </c>
      <c r="G400" s="6" t="s">
        <v>60</v>
      </c>
      <c r="H400" s="9">
        <v>46174</v>
      </c>
      <c r="J400" s="6" t="s">
        <v>52</v>
      </c>
      <c r="K400" s="6" t="s">
        <v>34</v>
      </c>
      <c r="L400" s="6" t="s">
        <v>35</v>
      </c>
      <c r="M400" s="4">
        <f t="shared" si="27"/>
        <v>2302.75</v>
      </c>
      <c r="N400" s="4">
        <v>2302.75</v>
      </c>
      <c r="O400" s="4">
        <v>0</v>
      </c>
      <c r="P400" s="4">
        <v>0</v>
      </c>
      <c r="Q400" s="4">
        <v>0</v>
      </c>
      <c r="R400" s="4">
        <v>0</v>
      </c>
      <c r="S400" s="4">
        <v>0</v>
      </c>
      <c r="T400">
        <v>836</v>
      </c>
      <c r="U400">
        <v>0</v>
      </c>
      <c r="W400" t="s">
        <v>36</v>
      </c>
      <c r="X400" t="s">
        <v>36</v>
      </c>
      <c r="AE400" s="4">
        <f t="shared" si="28"/>
        <v>3138.75</v>
      </c>
      <c r="AF400">
        <f t="shared" si="25"/>
        <v>0</v>
      </c>
      <c r="AG400" s="4">
        <f t="shared" si="26"/>
        <v>3138.75</v>
      </c>
      <c r="AI400" t="s">
        <v>47</v>
      </c>
    </row>
    <row r="401" spans="1:35" x14ac:dyDescent="0.3">
      <c r="A401" t="s">
        <v>72</v>
      </c>
      <c r="B401" t="s">
        <v>43</v>
      </c>
      <c r="C401" t="s">
        <v>44</v>
      </c>
      <c r="E401">
        <v>416</v>
      </c>
      <c r="F401" s="6" t="s">
        <v>694</v>
      </c>
      <c r="G401" s="6" t="s">
        <v>60</v>
      </c>
      <c r="H401" s="9">
        <v>46174</v>
      </c>
      <c r="J401" s="6" t="s">
        <v>52</v>
      </c>
      <c r="K401" s="6" t="s">
        <v>34</v>
      </c>
      <c r="L401" s="6" t="s">
        <v>35</v>
      </c>
      <c r="M401" s="4">
        <f t="shared" si="27"/>
        <v>2302.75</v>
      </c>
      <c r="N401" s="4">
        <v>2302.75</v>
      </c>
      <c r="O401" s="4">
        <v>0</v>
      </c>
      <c r="P401" s="4">
        <v>0</v>
      </c>
      <c r="Q401" s="4">
        <v>0</v>
      </c>
      <c r="R401" s="4">
        <v>0</v>
      </c>
      <c r="S401" s="4">
        <v>0</v>
      </c>
      <c r="T401">
        <v>836</v>
      </c>
      <c r="U401">
        <v>0</v>
      </c>
      <c r="W401" t="s">
        <v>36</v>
      </c>
      <c r="X401" t="s">
        <v>36</v>
      </c>
      <c r="AE401" s="4">
        <f t="shared" si="28"/>
        <v>3138.75</v>
      </c>
      <c r="AF401">
        <f t="shared" si="25"/>
        <v>0</v>
      </c>
      <c r="AG401" s="4">
        <f t="shared" si="26"/>
        <v>3138.75</v>
      </c>
      <c r="AI401" t="s">
        <v>47</v>
      </c>
    </row>
    <row r="402" spans="1:35" x14ac:dyDescent="0.3">
      <c r="A402" t="s">
        <v>43</v>
      </c>
      <c r="B402" t="s">
        <v>43</v>
      </c>
      <c r="C402" t="s">
        <v>44</v>
      </c>
      <c r="E402">
        <v>417</v>
      </c>
      <c r="F402" s="6" t="s">
        <v>656</v>
      </c>
      <c r="G402" s="6" t="s">
        <v>322</v>
      </c>
      <c r="H402" s="9">
        <v>46174</v>
      </c>
      <c r="J402" s="6" t="s">
        <v>52</v>
      </c>
      <c r="K402" s="6" t="s">
        <v>34</v>
      </c>
      <c r="L402" s="6" t="s">
        <v>35</v>
      </c>
      <c r="M402" s="4">
        <f t="shared" si="27"/>
        <v>2801.97</v>
      </c>
      <c r="N402" s="4">
        <v>2801.97</v>
      </c>
      <c r="O402" s="4">
        <v>0</v>
      </c>
      <c r="P402" s="4">
        <v>0</v>
      </c>
      <c r="Q402" s="4">
        <v>0</v>
      </c>
      <c r="R402" s="4">
        <v>0</v>
      </c>
      <c r="S402" s="4">
        <v>0</v>
      </c>
      <c r="T402">
        <v>836</v>
      </c>
      <c r="U402">
        <v>0</v>
      </c>
      <c r="W402" t="s">
        <v>36</v>
      </c>
      <c r="X402" t="s">
        <v>36</v>
      </c>
      <c r="AE402" s="4">
        <f t="shared" si="28"/>
        <v>3637.97</v>
      </c>
      <c r="AF402">
        <f t="shared" si="25"/>
        <v>0</v>
      </c>
      <c r="AG402" s="4">
        <f t="shared" si="26"/>
        <v>3637.97</v>
      </c>
      <c r="AI402" t="s">
        <v>39</v>
      </c>
    </row>
    <row r="403" spans="1:35" x14ac:dyDescent="0.3">
      <c r="A403" t="s">
        <v>43</v>
      </c>
      <c r="B403" t="s">
        <v>43</v>
      </c>
      <c r="C403" t="s">
        <v>44</v>
      </c>
      <c r="E403">
        <v>418</v>
      </c>
      <c r="F403" s="6" t="s">
        <v>679</v>
      </c>
      <c r="G403" s="6" t="s">
        <v>60</v>
      </c>
      <c r="H403" s="9">
        <v>46174</v>
      </c>
      <c r="J403" s="6" t="s">
        <v>52</v>
      </c>
      <c r="K403" s="6" t="s">
        <v>34</v>
      </c>
      <c r="L403" s="6" t="s">
        <v>35</v>
      </c>
      <c r="M403" s="4">
        <f t="shared" si="27"/>
        <v>2302.75</v>
      </c>
      <c r="N403" s="4">
        <v>2302.75</v>
      </c>
      <c r="O403" s="4">
        <v>0</v>
      </c>
      <c r="P403" s="4">
        <v>0</v>
      </c>
      <c r="Q403" s="4">
        <v>0</v>
      </c>
      <c r="R403" s="4">
        <v>0</v>
      </c>
      <c r="S403" s="4">
        <v>0</v>
      </c>
      <c r="T403">
        <v>836</v>
      </c>
      <c r="U403">
        <v>0</v>
      </c>
      <c r="W403" t="s">
        <v>36</v>
      </c>
      <c r="X403" t="s">
        <v>36</v>
      </c>
      <c r="AE403" s="4">
        <f t="shared" si="28"/>
        <v>3138.75</v>
      </c>
      <c r="AF403">
        <f t="shared" si="25"/>
        <v>0</v>
      </c>
      <c r="AG403" s="4">
        <f t="shared" si="26"/>
        <v>3138.75</v>
      </c>
      <c r="AI403" t="s">
        <v>47</v>
      </c>
    </row>
    <row r="404" spans="1:35" x14ac:dyDescent="0.3">
      <c r="A404" t="s">
        <v>43</v>
      </c>
      <c r="B404" t="s">
        <v>43</v>
      </c>
      <c r="C404" t="s">
        <v>44</v>
      </c>
      <c r="E404">
        <v>419</v>
      </c>
      <c r="F404" s="6" t="s">
        <v>696</v>
      </c>
      <c r="G404" s="6" t="s">
        <v>111</v>
      </c>
      <c r="H404" s="9">
        <v>46181</v>
      </c>
      <c r="J404" s="6" t="s">
        <v>52</v>
      </c>
      <c r="K404" s="6" t="s">
        <v>34</v>
      </c>
      <c r="L404" s="6" t="s">
        <v>35</v>
      </c>
      <c r="M404" s="4">
        <f t="shared" si="27"/>
        <v>3356.8</v>
      </c>
      <c r="N404" s="4">
        <v>3356.8</v>
      </c>
      <c r="O404" s="4">
        <v>0</v>
      </c>
      <c r="P404" s="4">
        <v>0</v>
      </c>
      <c r="Q404" s="4">
        <v>0</v>
      </c>
      <c r="R404" s="4">
        <v>0</v>
      </c>
      <c r="S404" s="4">
        <v>0</v>
      </c>
      <c r="T404">
        <v>456</v>
      </c>
      <c r="U404">
        <v>0</v>
      </c>
      <c r="W404" t="s">
        <v>36</v>
      </c>
      <c r="X404" t="s">
        <v>36</v>
      </c>
      <c r="Y404" s="6">
        <v>38000</v>
      </c>
      <c r="AE404" s="4">
        <f t="shared" si="28"/>
        <v>3812.8</v>
      </c>
      <c r="AF404">
        <f t="shared" si="25"/>
        <v>38000</v>
      </c>
      <c r="AG404" s="4">
        <f t="shared" si="26"/>
        <v>41812.800000000003</v>
      </c>
      <c r="AI404" t="s">
        <v>47</v>
      </c>
    </row>
    <row r="405" spans="1:35" x14ac:dyDescent="0.3">
      <c r="A405" t="s">
        <v>43</v>
      </c>
      <c r="B405" t="s">
        <v>43</v>
      </c>
      <c r="C405" t="s">
        <v>44</v>
      </c>
      <c r="E405">
        <v>420</v>
      </c>
      <c r="F405" s="6" t="s">
        <v>697</v>
      </c>
      <c r="G405" s="6" t="s">
        <v>111</v>
      </c>
      <c r="H405" s="9">
        <v>46181</v>
      </c>
      <c r="J405" s="6" t="s">
        <v>52</v>
      </c>
      <c r="K405" s="6" t="s">
        <v>34</v>
      </c>
      <c r="L405" s="6" t="s">
        <v>35</v>
      </c>
      <c r="M405" s="4">
        <f t="shared" si="27"/>
        <v>3356.8</v>
      </c>
      <c r="N405" s="4">
        <v>3356.8</v>
      </c>
      <c r="O405" s="4">
        <v>0</v>
      </c>
      <c r="P405" s="4">
        <v>0</v>
      </c>
      <c r="Q405" s="4">
        <v>0</v>
      </c>
      <c r="R405" s="4">
        <v>0</v>
      </c>
      <c r="S405" s="4">
        <v>0</v>
      </c>
      <c r="T405">
        <v>456</v>
      </c>
      <c r="U405">
        <v>0</v>
      </c>
      <c r="W405" t="s">
        <v>36</v>
      </c>
      <c r="X405" t="s">
        <v>36</v>
      </c>
      <c r="Y405" s="6">
        <v>15000</v>
      </c>
      <c r="AE405" s="4">
        <f t="shared" si="28"/>
        <v>3812.8</v>
      </c>
      <c r="AF405">
        <f t="shared" si="25"/>
        <v>15000</v>
      </c>
      <c r="AG405" s="4">
        <f t="shared" si="26"/>
        <v>18812.8</v>
      </c>
      <c r="AI405" t="s">
        <v>47</v>
      </c>
    </row>
    <row r="406" spans="1:35" x14ac:dyDescent="0.3">
      <c r="A406" t="s">
        <v>207</v>
      </c>
      <c r="B406" t="s">
        <v>208</v>
      </c>
      <c r="C406" t="s">
        <v>30</v>
      </c>
      <c r="D406" t="s">
        <v>73</v>
      </c>
      <c r="E406">
        <v>5000</v>
      </c>
      <c r="F406" s="6" t="s">
        <v>209</v>
      </c>
      <c r="G406" s="6" t="s">
        <v>210</v>
      </c>
      <c r="H406" s="9">
        <v>45797</v>
      </c>
      <c r="I406" t="s">
        <v>36</v>
      </c>
      <c r="J406" s="6" t="s">
        <v>52</v>
      </c>
      <c r="K406" s="6" t="s">
        <v>34</v>
      </c>
      <c r="L406" s="6" t="s">
        <v>76</v>
      </c>
      <c r="M406" s="4">
        <f t="shared" ref="M406:M451" si="29">N406+O406+P406+Q406-S406</f>
        <v>39300</v>
      </c>
      <c r="N406" s="4">
        <v>25000</v>
      </c>
      <c r="O406" s="4">
        <v>0</v>
      </c>
      <c r="P406" s="4">
        <v>14300</v>
      </c>
      <c r="Q406" s="4">
        <v>0</v>
      </c>
      <c r="R406" s="4"/>
      <c r="S406" s="4">
        <v>0</v>
      </c>
      <c r="T406">
        <v>0</v>
      </c>
      <c r="U406">
        <v>2000</v>
      </c>
      <c r="V406">
        <v>2000</v>
      </c>
      <c r="W406" t="s">
        <v>705</v>
      </c>
      <c r="X406" t="s">
        <v>704</v>
      </c>
      <c r="Z406" t="s">
        <v>202</v>
      </c>
      <c r="AA406" t="s">
        <v>202</v>
      </c>
      <c r="AC406" t="s">
        <v>37</v>
      </c>
      <c r="AD406" t="s">
        <v>38</v>
      </c>
      <c r="AE406" s="4">
        <f t="shared" si="28"/>
        <v>41300</v>
      </c>
      <c r="AF406">
        <f t="shared" si="25"/>
        <v>2000</v>
      </c>
      <c r="AG406" s="4">
        <f t="shared" si="26"/>
        <v>43300</v>
      </c>
      <c r="AI406" t="s">
        <v>47</v>
      </c>
    </row>
    <row r="407" spans="1:35" x14ac:dyDescent="0.3">
      <c r="A407" t="s">
        <v>231</v>
      </c>
      <c r="B407" t="s">
        <v>465</v>
      </c>
      <c r="C407" t="s">
        <v>30</v>
      </c>
      <c r="D407" t="s">
        <v>73</v>
      </c>
      <c r="E407">
        <v>5001</v>
      </c>
      <c r="F407" s="6" t="s">
        <v>466</v>
      </c>
      <c r="G407" s="6" t="s">
        <v>325</v>
      </c>
      <c r="H407" s="9">
        <v>45705</v>
      </c>
      <c r="I407" t="s">
        <v>36</v>
      </c>
      <c r="J407" s="6" t="s">
        <v>33</v>
      </c>
      <c r="K407" s="6" t="s">
        <v>34</v>
      </c>
      <c r="L407" s="6" t="s">
        <v>76</v>
      </c>
      <c r="M407" s="4">
        <f t="shared" si="29"/>
        <v>12650</v>
      </c>
      <c r="N407" s="4">
        <v>12650</v>
      </c>
      <c r="O407" s="4">
        <v>0</v>
      </c>
      <c r="P407" s="4">
        <v>0</v>
      </c>
      <c r="Q407" s="4">
        <v>0</v>
      </c>
      <c r="R407" s="4"/>
      <c r="S407" s="4">
        <v>0</v>
      </c>
      <c r="T407">
        <v>0</v>
      </c>
      <c r="U407">
        <v>0</v>
      </c>
      <c r="W407">
        <v>0</v>
      </c>
      <c r="X407" t="s">
        <v>36</v>
      </c>
      <c r="AC407" t="s">
        <v>37</v>
      </c>
      <c r="AD407" t="s">
        <v>38</v>
      </c>
      <c r="AE407" s="4">
        <f t="shared" si="28"/>
        <v>12650</v>
      </c>
      <c r="AF407">
        <f t="shared" si="25"/>
        <v>0</v>
      </c>
      <c r="AG407" s="4">
        <f t="shared" si="26"/>
        <v>12650</v>
      </c>
      <c r="AI407" t="s">
        <v>47</v>
      </c>
    </row>
    <row r="408" spans="1:35" x14ac:dyDescent="0.3">
      <c r="A408" t="s">
        <v>231</v>
      </c>
      <c r="B408" t="s">
        <v>43</v>
      </c>
      <c r="C408" t="s">
        <v>30</v>
      </c>
      <c r="D408" t="s">
        <v>73</v>
      </c>
      <c r="E408">
        <v>5002</v>
      </c>
      <c r="F408" s="6" t="s">
        <v>280</v>
      </c>
      <c r="G408" s="6" t="s">
        <v>281</v>
      </c>
      <c r="H408" s="9">
        <v>45817</v>
      </c>
      <c r="I408" t="s">
        <v>36</v>
      </c>
      <c r="J408" s="6" t="s">
        <v>33</v>
      </c>
      <c r="K408" s="6" t="s">
        <v>34</v>
      </c>
      <c r="L408" s="6" t="s">
        <v>76</v>
      </c>
      <c r="M408" s="4">
        <f t="shared" si="29"/>
        <v>7000</v>
      </c>
      <c r="N408" s="4">
        <v>7000</v>
      </c>
      <c r="O408" s="4">
        <v>0</v>
      </c>
      <c r="P408" s="4">
        <v>0</v>
      </c>
      <c r="Q408" s="4">
        <v>0</v>
      </c>
      <c r="R408" s="4"/>
      <c r="S408" s="4">
        <v>0</v>
      </c>
      <c r="T408">
        <v>0</v>
      </c>
      <c r="U408">
        <v>0</v>
      </c>
      <c r="W408">
        <v>0</v>
      </c>
      <c r="X408" t="s">
        <v>36</v>
      </c>
      <c r="Z408" t="s">
        <v>282</v>
      </c>
      <c r="AC408" t="s">
        <v>37</v>
      </c>
      <c r="AD408" t="s">
        <v>38</v>
      </c>
      <c r="AE408" s="4">
        <f t="shared" si="28"/>
        <v>7000</v>
      </c>
      <c r="AF408">
        <f t="shared" si="25"/>
        <v>0</v>
      </c>
      <c r="AG408" s="4">
        <f t="shared" si="26"/>
        <v>7000</v>
      </c>
      <c r="AI408" t="s">
        <v>47</v>
      </c>
    </row>
    <row r="409" spans="1:35" x14ac:dyDescent="0.3">
      <c r="A409" t="s">
        <v>43</v>
      </c>
      <c r="B409" t="s">
        <v>43</v>
      </c>
      <c r="C409" t="s">
        <v>30</v>
      </c>
      <c r="D409" t="s">
        <v>73</v>
      </c>
      <c r="E409">
        <v>5003</v>
      </c>
      <c r="F409" s="6" t="s">
        <v>187</v>
      </c>
      <c r="G409" s="6" t="s">
        <v>188</v>
      </c>
      <c r="H409" s="9">
        <v>45691</v>
      </c>
      <c r="I409" s="2">
        <v>46097</v>
      </c>
      <c r="J409" s="6" t="s">
        <v>33</v>
      </c>
      <c r="K409" s="6" t="s">
        <v>34</v>
      </c>
      <c r="L409" s="6" t="s">
        <v>76</v>
      </c>
      <c r="M409" s="4">
        <f t="shared" si="29"/>
        <v>20000</v>
      </c>
      <c r="N409" s="4">
        <v>20000</v>
      </c>
      <c r="O409" s="4">
        <v>0</v>
      </c>
      <c r="P409" s="4">
        <v>0</v>
      </c>
      <c r="Q409" s="4">
        <v>0</v>
      </c>
      <c r="R409" s="4"/>
      <c r="S409" s="4">
        <v>0</v>
      </c>
      <c r="T409">
        <v>0</v>
      </c>
      <c r="U409">
        <v>0</v>
      </c>
      <c r="W409" t="s">
        <v>36</v>
      </c>
      <c r="X409" t="s">
        <v>36</v>
      </c>
      <c r="Z409" t="s">
        <v>189</v>
      </c>
      <c r="AB409" t="s">
        <v>190</v>
      </c>
      <c r="AC409" t="s">
        <v>37</v>
      </c>
      <c r="AD409" t="s">
        <v>38</v>
      </c>
      <c r="AE409" s="4">
        <f t="shared" si="28"/>
        <v>20000</v>
      </c>
      <c r="AF409">
        <f t="shared" si="25"/>
        <v>0</v>
      </c>
      <c r="AG409" s="4">
        <f t="shared" si="26"/>
        <v>20000</v>
      </c>
      <c r="AI409" t="s">
        <v>47</v>
      </c>
    </row>
    <row r="410" spans="1:35" x14ac:dyDescent="0.3">
      <c r="A410" t="s">
        <v>231</v>
      </c>
      <c r="B410" t="s">
        <v>252</v>
      </c>
      <c r="C410" t="s">
        <v>30</v>
      </c>
      <c r="D410" t="s">
        <v>73</v>
      </c>
      <c r="E410">
        <v>5004</v>
      </c>
      <c r="F410" s="6" t="s">
        <v>490</v>
      </c>
      <c r="G410" s="6" t="s">
        <v>233</v>
      </c>
      <c r="H410" s="6" t="s">
        <v>36</v>
      </c>
      <c r="I410" t="s">
        <v>36</v>
      </c>
      <c r="J410" s="6" t="s">
        <v>33</v>
      </c>
      <c r="K410" s="6" t="s">
        <v>34</v>
      </c>
      <c r="L410" s="6" t="s">
        <v>76</v>
      </c>
      <c r="M410" s="4">
        <f t="shared" si="29"/>
        <v>24130</v>
      </c>
      <c r="N410" s="4">
        <v>20000</v>
      </c>
      <c r="O410" s="4">
        <v>0</v>
      </c>
      <c r="P410" s="4">
        <v>4130</v>
      </c>
      <c r="Q410" s="4">
        <v>0</v>
      </c>
      <c r="R410" s="4"/>
      <c r="S410" s="4">
        <v>0</v>
      </c>
      <c r="T410">
        <v>0</v>
      </c>
      <c r="U410">
        <v>0</v>
      </c>
      <c r="V410">
        <v>0</v>
      </c>
      <c r="W410">
        <v>0</v>
      </c>
      <c r="X410">
        <v>0</v>
      </c>
      <c r="Z410" t="s">
        <v>202</v>
      </c>
      <c r="AA410" t="s">
        <v>202</v>
      </c>
      <c r="AC410" t="s">
        <v>37</v>
      </c>
      <c r="AD410" t="s">
        <v>38</v>
      </c>
      <c r="AE410" s="4">
        <f t="shared" si="28"/>
        <v>24130</v>
      </c>
      <c r="AF410">
        <f t="shared" si="25"/>
        <v>0</v>
      </c>
      <c r="AG410" s="4">
        <f t="shared" si="26"/>
        <v>24130</v>
      </c>
      <c r="AI410" t="s">
        <v>39</v>
      </c>
    </row>
    <row r="411" spans="1:35" x14ac:dyDescent="0.3">
      <c r="A411" t="s">
        <v>231</v>
      </c>
      <c r="B411" t="s">
        <v>252</v>
      </c>
      <c r="C411" t="s">
        <v>30</v>
      </c>
      <c r="D411" t="s">
        <v>73</v>
      </c>
      <c r="E411">
        <v>5005</v>
      </c>
      <c r="F411" s="6" t="s">
        <v>695</v>
      </c>
      <c r="G411" s="6" t="s">
        <v>253</v>
      </c>
      <c r="H411" s="9">
        <v>45722</v>
      </c>
      <c r="I411" t="s">
        <v>36</v>
      </c>
      <c r="J411" s="6" t="s">
        <v>52</v>
      </c>
      <c r="K411" s="6" t="s">
        <v>34</v>
      </c>
      <c r="L411" s="6" t="s">
        <v>76</v>
      </c>
      <c r="M411" s="4">
        <f t="shared" si="29"/>
        <v>18000</v>
      </c>
      <c r="N411" s="4">
        <v>15000</v>
      </c>
      <c r="O411" s="4">
        <v>0</v>
      </c>
      <c r="P411" s="4">
        <v>3000</v>
      </c>
      <c r="Q411" s="4">
        <v>0</v>
      </c>
      <c r="R411" s="4"/>
      <c r="S411" s="4">
        <v>0</v>
      </c>
      <c r="T411">
        <v>0</v>
      </c>
      <c r="U411">
        <v>0</v>
      </c>
      <c r="V411">
        <v>300</v>
      </c>
      <c r="W411" t="s">
        <v>36</v>
      </c>
      <c r="X411" t="s">
        <v>36</v>
      </c>
      <c r="Z411" t="s">
        <v>254</v>
      </c>
      <c r="AA411" t="s">
        <v>202</v>
      </c>
      <c r="AC411" t="s">
        <v>37</v>
      </c>
      <c r="AD411" t="s">
        <v>38</v>
      </c>
      <c r="AE411" s="4">
        <f t="shared" si="28"/>
        <v>18300</v>
      </c>
      <c r="AF411">
        <f t="shared" si="25"/>
        <v>0</v>
      </c>
      <c r="AG411" s="4">
        <f t="shared" si="26"/>
        <v>18300</v>
      </c>
      <c r="AI411" t="s">
        <v>47</v>
      </c>
    </row>
    <row r="412" spans="1:35" x14ac:dyDescent="0.3">
      <c r="E412">
        <v>5006</v>
      </c>
      <c r="F412" s="6" t="s">
        <v>469</v>
      </c>
      <c r="G412" s="6" t="s">
        <v>470</v>
      </c>
      <c r="H412" s="9">
        <v>45762</v>
      </c>
      <c r="I412" t="s">
        <v>36</v>
      </c>
      <c r="J412" s="6" t="s">
        <v>33</v>
      </c>
      <c r="K412" s="6" t="s">
        <v>34</v>
      </c>
      <c r="L412" s="6" t="s">
        <v>76</v>
      </c>
      <c r="M412" s="4">
        <f t="shared" si="29"/>
        <v>12000</v>
      </c>
      <c r="N412" s="4">
        <v>12000</v>
      </c>
      <c r="O412" s="4">
        <v>0</v>
      </c>
      <c r="P412" s="4">
        <v>0</v>
      </c>
      <c r="Q412" s="4">
        <v>0</v>
      </c>
      <c r="R412" s="4"/>
      <c r="S412" s="4">
        <v>0</v>
      </c>
      <c r="T412">
        <v>0</v>
      </c>
      <c r="U412">
        <v>0</v>
      </c>
      <c r="W412">
        <v>0</v>
      </c>
      <c r="X412" t="s">
        <v>36</v>
      </c>
      <c r="AC412" t="s">
        <v>37</v>
      </c>
      <c r="AD412" t="s">
        <v>38</v>
      </c>
      <c r="AE412" s="4">
        <f t="shared" si="28"/>
        <v>12000</v>
      </c>
      <c r="AF412">
        <f t="shared" si="25"/>
        <v>0</v>
      </c>
      <c r="AG412" s="4">
        <f t="shared" si="26"/>
        <v>12000</v>
      </c>
      <c r="AI412" t="s">
        <v>39</v>
      </c>
    </row>
    <row r="413" spans="1:35" x14ac:dyDescent="0.3">
      <c r="A413" t="s">
        <v>231</v>
      </c>
      <c r="B413" t="s">
        <v>43</v>
      </c>
      <c r="C413" t="s">
        <v>30</v>
      </c>
      <c r="D413" t="s">
        <v>73</v>
      </c>
      <c r="E413">
        <v>5007</v>
      </c>
      <c r="F413" s="6" t="s">
        <v>449</v>
      </c>
      <c r="G413" s="6" t="s">
        <v>188</v>
      </c>
      <c r="H413" s="9">
        <v>45733</v>
      </c>
      <c r="I413" t="s">
        <v>36</v>
      </c>
      <c r="J413" s="6" t="s">
        <v>52</v>
      </c>
      <c r="K413" s="6" t="s">
        <v>34</v>
      </c>
      <c r="L413" s="6" t="s">
        <v>76</v>
      </c>
      <c r="M413" s="4">
        <f t="shared" si="29"/>
        <v>24000</v>
      </c>
      <c r="N413" s="4">
        <v>19000</v>
      </c>
      <c r="O413" s="4">
        <v>0</v>
      </c>
      <c r="P413" s="4">
        <v>5000</v>
      </c>
      <c r="Q413" s="4">
        <v>0</v>
      </c>
      <c r="R413" s="4"/>
      <c r="S413" s="4">
        <v>0</v>
      </c>
      <c r="T413">
        <v>0</v>
      </c>
      <c r="U413">
        <v>2750</v>
      </c>
      <c r="V413">
        <v>1200</v>
      </c>
      <c r="W413" t="s">
        <v>713</v>
      </c>
      <c r="X413" t="s">
        <v>712</v>
      </c>
      <c r="Z413" t="s">
        <v>450</v>
      </c>
      <c r="AA413" t="s">
        <v>202</v>
      </c>
      <c r="AB413" t="s">
        <v>451</v>
      </c>
      <c r="AC413" t="s">
        <v>37</v>
      </c>
      <c r="AD413" t="s">
        <v>38</v>
      </c>
      <c r="AE413" s="4">
        <f t="shared" si="28"/>
        <v>25200</v>
      </c>
      <c r="AF413">
        <f t="shared" si="25"/>
        <v>2750</v>
      </c>
      <c r="AG413" s="4">
        <f t="shared" si="26"/>
        <v>27950</v>
      </c>
      <c r="AI413" t="s">
        <v>47</v>
      </c>
    </row>
    <row r="414" spans="1:35" x14ac:dyDescent="0.3">
      <c r="A414" t="s">
        <v>77</v>
      </c>
      <c r="B414" t="s">
        <v>78</v>
      </c>
      <c r="C414" t="s">
        <v>30</v>
      </c>
      <c r="D414" t="s">
        <v>73</v>
      </c>
      <c r="E414">
        <v>5008</v>
      </c>
      <c r="F414" s="6" t="s">
        <v>293</v>
      </c>
      <c r="G414" s="6" t="s">
        <v>294</v>
      </c>
      <c r="H414" s="9">
        <v>45783</v>
      </c>
      <c r="I414" s="2">
        <v>46093</v>
      </c>
      <c r="J414" s="6" t="s">
        <v>33</v>
      </c>
      <c r="K414" s="6" t="s">
        <v>34</v>
      </c>
      <c r="L414" s="6" t="s">
        <v>76</v>
      </c>
      <c r="M414" s="4">
        <f t="shared" si="29"/>
        <v>15000</v>
      </c>
      <c r="N414" s="4">
        <v>15000</v>
      </c>
      <c r="O414" s="4">
        <v>0</v>
      </c>
      <c r="P414" s="4">
        <v>0</v>
      </c>
      <c r="Q414" s="4">
        <v>0</v>
      </c>
      <c r="R414" s="4"/>
      <c r="S414" s="4">
        <v>0</v>
      </c>
      <c r="T414">
        <v>0</v>
      </c>
      <c r="U414">
        <v>0</v>
      </c>
      <c r="W414" t="s">
        <v>36</v>
      </c>
      <c r="X414" t="s">
        <v>36</v>
      </c>
      <c r="Z414" t="s">
        <v>202</v>
      </c>
      <c r="AC414" t="s">
        <v>37</v>
      </c>
      <c r="AD414" t="s">
        <v>38</v>
      </c>
      <c r="AE414" s="4">
        <f t="shared" si="28"/>
        <v>15000</v>
      </c>
      <c r="AF414">
        <f t="shared" si="25"/>
        <v>0</v>
      </c>
      <c r="AG414" s="4">
        <f t="shared" si="26"/>
        <v>15000</v>
      </c>
      <c r="AI414" t="s">
        <v>47</v>
      </c>
    </row>
    <row r="415" spans="1:35" x14ac:dyDescent="0.3">
      <c r="A415" t="s">
        <v>77</v>
      </c>
      <c r="B415" t="s">
        <v>195</v>
      </c>
      <c r="C415" t="s">
        <v>30</v>
      </c>
      <c r="D415" t="s">
        <v>73</v>
      </c>
      <c r="E415">
        <v>5010</v>
      </c>
      <c r="F415" s="6" t="s">
        <v>199</v>
      </c>
      <c r="G415" s="6" t="s">
        <v>200</v>
      </c>
      <c r="H415" s="9">
        <v>45855</v>
      </c>
      <c r="I415" t="s">
        <v>36</v>
      </c>
      <c r="J415" s="6" t="s">
        <v>52</v>
      </c>
      <c r="K415" s="6" t="s">
        <v>34</v>
      </c>
      <c r="L415" s="6" t="s">
        <v>76</v>
      </c>
      <c r="M415" s="4">
        <f t="shared" si="29"/>
        <v>21000</v>
      </c>
      <c r="N415" s="4">
        <v>15000</v>
      </c>
      <c r="O415" s="4">
        <v>0</v>
      </c>
      <c r="P415" s="4">
        <v>6000</v>
      </c>
      <c r="Q415" s="4">
        <v>0</v>
      </c>
      <c r="R415" s="4"/>
      <c r="S415" s="4">
        <v>0</v>
      </c>
      <c r="T415">
        <v>0</v>
      </c>
      <c r="U415">
        <v>2000</v>
      </c>
      <c r="V415">
        <v>900</v>
      </c>
      <c r="W415" t="s">
        <v>734</v>
      </c>
      <c r="X415" t="s">
        <v>735</v>
      </c>
      <c r="Z415" t="s">
        <v>201</v>
      </c>
      <c r="AA415" t="s">
        <v>202</v>
      </c>
      <c r="AB415" t="s">
        <v>203</v>
      </c>
      <c r="AC415" t="s">
        <v>37</v>
      </c>
      <c r="AD415" t="s">
        <v>38</v>
      </c>
      <c r="AE415" s="4">
        <f t="shared" si="28"/>
        <v>21900</v>
      </c>
      <c r="AF415">
        <f t="shared" si="25"/>
        <v>2000</v>
      </c>
      <c r="AG415" s="4">
        <f t="shared" si="26"/>
        <v>23900</v>
      </c>
      <c r="AI415" t="s">
        <v>39</v>
      </c>
    </row>
    <row r="416" spans="1:35" x14ac:dyDescent="0.3">
      <c r="A416" t="s">
        <v>231</v>
      </c>
      <c r="B416" t="s">
        <v>43</v>
      </c>
      <c r="C416" t="s">
        <v>30</v>
      </c>
      <c r="D416" t="s">
        <v>73</v>
      </c>
      <c r="E416">
        <v>5011</v>
      </c>
      <c r="F416" s="6" t="s">
        <v>597</v>
      </c>
      <c r="G416" s="6" t="s">
        <v>325</v>
      </c>
      <c r="H416" s="9">
        <v>45789</v>
      </c>
      <c r="I416" t="s">
        <v>36</v>
      </c>
      <c r="J416" s="6" t="s">
        <v>52</v>
      </c>
      <c r="K416" s="6" t="s">
        <v>34</v>
      </c>
      <c r="L416" s="6" t="s">
        <v>76</v>
      </c>
      <c r="M416" s="4">
        <f t="shared" si="29"/>
        <v>16500</v>
      </c>
      <c r="N416" s="4">
        <v>15000</v>
      </c>
      <c r="O416" s="4">
        <v>0</v>
      </c>
      <c r="P416" s="4">
        <v>1500</v>
      </c>
      <c r="Q416" s="4">
        <v>0</v>
      </c>
      <c r="R416" s="4"/>
      <c r="S416" s="4">
        <v>0</v>
      </c>
      <c r="T416">
        <v>0</v>
      </c>
      <c r="U416">
        <v>2414.61</v>
      </c>
      <c r="V416">
        <v>2000</v>
      </c>
      <c r="W416" t="s">
        <v>369</v>
      </c>
      <c r="X416" t="s">
        <v>598</v>
      </c>
      <c r="Z416" t="s">
        <v>599</v>
      </c>
      <c r="AC416" t="s">
        <v>37</v>
      </c>
      <c r="AD416" t="s">
        <v>38</v>
      </c>
      <c r="AE416" s="4">
        <f t="shared" si="28"/>
        <v>18500</v>
      </c>
      <c r="AF416">
        <f t="shared" si="25"/>
        <v>2414.61</v>
      </c>
      <c r="AG416" s="4">
        <f t="shared" si="26"/>
        <v>20914.61</v>
      </c>
      <c r="AI416" t="s">
        <v>47</v>
      </c>
    </row>
    <row r="417" spans="1:35" x14ac:dyDescent="0.3">
      <c r="E417">
        <v>5012</v>
      </c>
      <c r="F417" s="6" t="s">
        <v>301</v>
      </c>
      <c r="G417" s="6" t="s">
        <v>302</v>
      </c>
      <c r="H417" s="9">
        <v>45691</v>
      </c>
      <c r="I417" t="s">
        <v>36</v>
      </c>
      <c r="J417" s="6" t="s">
        <v>33</v>
      </c>
      <c r="K417" s="6" t="s">
        <v>34</v>
      </c>
      <c r="L417" s="6" t="s">
        <v>76</v>
      </c>
      <c r="M417" s="4">
        <f t="shared" si="29"/>
        <v>15800</v>
      </c>
      <c r="N417" s="4">
        <v>15800</v>
      </c>
      <c r="O417" s="4">
        <v>0</v>
      </c>
      <c r="P417" s="4">
        <v>0</v>
      </c>
      <c r="Q417" s="4">
        <v>0</v>
      </c>
      <c r="R417" s="4"/>
      <c r="S417" s="4">
        <v>0</v>
      </c>
      <c r="T417">
        <v>0</v>
      </c>
      <c r="U417">
        <v>0</v>
      </c>
      <c r="W417" t="s">
        <v>36</v>
      </c>
      <c r="X417" t="s">
        <v>36</v>
      </c>
      <c r="Z417" t="s">
        <v>303</v>
      </c>
      <c r="AA417" t="s">
        <v>202</v>
      </c>
      <c r="AB417" t="s">
        <v>304</v>
      </c>
      <c r="AC417" t="s">
        <v>37</v>
      </c>
      <c r="AD417" t="s">
        <v>38</v>
      </c>
      <c r="AE417" s="4">
        <f t="shared" si="28"/>
        <v>15800</v>
      </c>
      <c r="AF417">
        <f t="shared" si="25"/>
        <v>0</v>
      </c>
      <c r="AG417" s="4">
        <f t="shared" si="26"/>
        <v>15800</v>
      </c>
      <c r="AI417" t="s">
        <v>47</v>
      </c>
    </row>
    <row r="418" spans="1:35" x14ac:dyDescent="0.3">
      <c r="A418" t="s">
        <v>231</v>
      </c>
      <c r="B418" t="s">
        <v>252</v>
      </c>
      <c r="C418" t="s">
        <v>30</v>
      </c>
      <c r="D418" t="s">
        <v>73</v>
      </c>
      <c r="E418">
        <v>5013</v>
      </c>
      <c r="F418" s="6" t="s">
        <v>611</v>
      </c>
      <c r="G418" s="6" t="s">
        <v>749</v>
      </c>
      <c r="H418" s="9">
        <v>45763</v>
      </c>
      <c r="I418" t="s">
        <v>36</v>
      </c>
      <c r="J418" s="6" t="s">
        <v>52</v>
      </c>
      <c r="K418" s="6" t="s">
        <v>34</v>
      </c>
      <c r="L418" s="6" t="s">
        <v>76</v>
      </c>
      <c r="M418" s="4">
        <f t="shared" si="29"/>
        <v>8500</v>
      </c>
      <c r="N418" s="4">
        <v>7000</v>
      </c>
      <c r="O418" s="4">
        <v>0</v>
      </c>
      <c r="P418" s="4">
        <v>1500</v>
      </c>
      <c r="Q418" s="4">
        <v>0</v>
      </c>
      <c r="R418" s="4"/>
      <c r="S418" s="4">
        <v>0</v>
      </c>
      <c r="T418">
        <v>0</v>
      </c>
      <c r="U418">
        <v>2000</v>
      </c>
      <c r="V418">
        <v>900</v>
      </c>
      <c r="W418" t="s">
        <v>718</v>
      </c>
      <c r="X418" t="s">
        <v>719</v>
      </c>
      <c r="AC418" t="s">
        <v>37</v>
      </c>
      <c r="AD418" t="s">
        <v>38</v>
      </c>
      <c r="AE418" s="4">
        <f t="shared" si="28"/>
        <v>9400</v>
      </c>
      <c r="AF418">
        <f t="shared" si="25"/>
        <v>2000</v>
      </c>
      <c r="AG418" s="4">
        <f t="shared" si="26"/>
        <v>11400</v>
      </c>
      <c r="AI418" t="s">
        <v>47</v>
      </c>
    </row>
    <row r="419" spans="1:35" x14ac:dyDescent="0.3">
      <c r="E419">
        <v>5014</v>
      </c>
      <c r="F419" s="6" t="s">
        <v>479</v>
      </c>
      <c r="G419" s="6" t="s">
        <v>368</v>
      </c>
      <c r="H419" s="9">
        <v>45824</v>
      </c>
      <c r="I419" s="2">
        <v>46028</v>
      </c>
      <c r="J419" s="6" t="s">
        <v>33</v>
      </c>
      <c r="K419" s="6" t="s">
        <v>34</v>
      </c>
      <c r="L419" s="6" t="s">
        <v>76</v>
      </c>
      <c r="M419" s="4">
        <f t="shared" si="29"/>
        <v>7000</v>
      </c>
      <c r="N419" s="4">
        <v>7000</v>
      </c>
      <c r="O419" s="4">
        <v>0</v>
      </c>
      <c r="P419" s="4">
        <v>0</v>
      </c>
      <c r="Q419" s="4">
        <v>0</v>
      </c>
      <c r="R419" s="4"/>
      <c r="S419" s="4">
        <v>0</v>
      </c>
      <c r="T419">
        <v>0</v>
      </c>
      <c r="U419">
        <v>0</v>
      </c>
      <c r="W419">
        <v>0</v>
      </c>
      <c r="X419">
        <v>0</v>
      </c>
      <c r="AC419" t="s">
        <v>37</v>
      </c>
      <c r="AD419" t="s">
        <v>38</v>
      </c>
      <c r="AE419" s="4">
        <f t="shared" si="28"/>
        <v>7000</v>
      </c>
      <c r="AF419">
        <f t="shared" si="25"/>
        <v>0</v>
      </c>
      <c r="AG419" s="4">
        <f t="shared" si="26"/>
        <v>7000</v>
      </c>
      <c r="AI419" t="s">
        <v>47</v>
      </c>
    </row>
    <row r="420" spans="1:35" x14ac:dyDescent="0.3">
      <c r="A420" t="s">
        <v>231</v>
      </c>
      <c r="B420" t="s">
        <v>43</v>
      </c>
      <c r="C420" t="s">
        <v>30</v>
      </c>
      <c r="D420" t="s">
        <v>73</v>
      </c>
      <c r="E420">
        <v>5015</v>
      </c>
      <c r="F420" s="6" t="s">
        <v>367</v>
      </c>
      <c r="G420" s="6" t="s">
        <v>747</v>
      </c>
      <c r="H420" s="9">
        <v>45824</v>
      </c>
      <c r="I420" t="s">
        <v>36</v>
      </c>
      <c r="J420" s="6" t="s">
        <v>52</v>
      </c>
      <c r="K420" s="6" t="s">
        <v>34</v>
      </c>
      <c r="L420" s="6" t="s">
        <v>76</v>
      </c>
      <c r="M420" s="4">
        <f t="shared" si="29"/>
        <v>7800</v>
      </c>
      <c r="N420" s="4">
        <v>7000</v>
      </c>
      <c r="O420" s="4">
        <v>0</v>
      </c>
      <c r="P420" s="4">
        <v>800</v>
      </c>
      <c r="Q420" s="4">
        <v>0</v>
      </c>
      <c r="R420" s="4"/>
      <c r="S420" s="4">
        <v>0</v>
      </c>
      <c r="T420">
        <v>0</v>
      </c>
      <c r="U420">
        <v>0</v>
      </c>
      <c r="V420">
        <v>1000</v>
      </c>
      <c r="W420">
        <v>0</v>
      </c>
      <c r="X420">
        <v>0</v>
      </c>
      <c r="Z420" t="s">
        <v>371</v>
      </c>
      <c r="AC420" t="s">
        <v>37</v>
      </c>
      <c r="AD420" t="s">
        <v>38</v>
      </c>
      <c r="AE420" s="4">
        <f t="shared" si="28"/>
        <v>8800</v>
      </c>
      <c r="AF420">
        <f t="shared" si="25"/>
        <v>0</v>
      </c>
      <c r="AG420" s="4">
        <f t="shared" si="26"/>
        <v>8800</v>
      </c>
      <c r="AI420" t="s">
        <v>47</v>
      </c>
    </row>
    <row r="421" spans="1:35" x14ac:dyDescent="0.3">
      <c r="A421" t="s">
        <v>553</v>
      </c>
      <c r="B421" t="s">
        <v>553</v>
      </c>
      <c r="C421" t="s">
        <v>30</v>
      </c>
      <c r="D421" t="s">
        <v>73</v>
      </c>
      <c r="E421">
        <v>5016</v>
      </c>
      <c r="F421" s="6" t="s">
        <v>554</v>
      </c>
      <c r="G421" s="6" t="s">
        <v>368</v>
      </c>
      <c r="H421" s="9">
        <v>45824</v>
      </c>
      <c r="I421" t="s">
        <v>36</v>
      </c>
      <c r="J421" s="6" t="s">
        <v>52</v>
      </c>
      <c r="K421" s="6" t="s">
        <v>34</v>
      </c>
      <c r="L421" s="6" t="s">
        <v>76</v>
      </c>
      <c r="M421" s="4">
        <v>12650</v>
      </c>
      <c r="N421" s="4">
        <v>9000</v>
      </c>
      <c r="O421" s="4">
        <v>0</v>
      </c>
      <c r="P421" s="4">
        <v>1500</v>
      </c>
      <c r="Q421" s="4">
        <v>0</v>
      </c>
      <c r="R421" s="4"/>
      <c r="S421" s="4">
        <v>0</v>
      </c>
      <c r="T421">
        <v>0</v>
      </c>
      <c r="U421">
        <v>2400</v>
      </c>
      <c r="V421">
        <v>1000</v>
      </c>
      <c r="W421" t="s">
        <v>701</v>
      </c>
      <c r="X421" t="s">
        <v>370</v>
      </c>
      <c r="Z421" t="s">
        <v>202</v>
      </c>
      <c r="AC421" t="s">
        <v>37</v>
      </c>
      <c r="AD421" t="s">
        <v>38</v>
      </c>
      <c r="AE421" s="4">
        <f t="shared" si="28"/>
        <v>13650</v>
      </c>
      <c r="AF421">
        <f t="shared" si="25"/>
        <v>2400</v>
      </c>
      <c r="AG421" s="4">
        <f t="shared" si="26"/>
        <v>16050</v>
      </c>
      <c r="AI421" t="s">
        <v>47</v>
      </c>
    </row>
    <row r="422" spans="1:35" x14ac:dyDescent="0.3">
      <c r="A422" t="s">
        <v>231</v>
      </c>
      <c r="B422" t="s">
        <v>406</v>
      </c>
      <c r="C422" t="s">
        <v>30</v>
      </c>
      <c r="D422" t="s">
        <v>73</v>
      </c>
      <c r="E422">
        <v>5017</v>
      </c>
      <c r="F422" s="6" t="s">
        <v>407</v>
      </c>
      <c r="G422" s="6" t="s">
        <v>739</v>
      </c>
      <c r="H422" s="9">
        <v>45824</v>
      </c>
      <c r="I422" t="s">
        <v>36</v>
      </c>
      <c r="J422" s="6" t="s">
        <v>52</v>
      </c>
      <c r="K422" s="6" t="s">
        <v>34</v>
      </c>
      <c r="L422" s="6" t="s">
        <v>76</v>
      </c>
      <c r="M422" s="4">
        <f t="shared" si="29"/>
        <v>9800</v>
      </c>
      <c r="N422" s="4">
        <v>9000</v>
      </c>
      <c r="O422" s="4">
        <v>0</v>
      </c>
      <c r="P422" s="4">
        <v>800</v>
      </c>
      <c r="Q422" s="4">
        <v>0</v>
      </c>
      <c r="R422" s="4"/>
      <c r="S422" s="4">
        <v>0</v>
      </c>
      <c r="T422">
        <v>0</v>
      </c>
      <c r="U422">
        <v>2400</v>
      </c>
      <c r="V422" s="4">
        <v>2000</v>
      </c>
      <c r="W422" t="s">
        <v>369</v>
      </c>
      <c r="X422" t="s">
        <v>725</v>
      </c>
      <c r="Z422" t="s">
        <v>409</v>
      </c>
      <c r="AC422" t="s">
        <v>37</v>
      </c>
      <c r="AD422" t="s">
        <v>38</v>
      </c>
      <c r="AE422" s="4">
        <f t="shared" si="28"/>
        <v>11800</v>
      </c>
      <c r="AF422">
        <f t="shared" si="25"/>
        <v>2400</v>
      </c>
      <c r="AG422" s="4">
        <f t="shared" si="26"/>
        <v>14200</v>
      </c>
      <c r="AI422" t="s">
        <v>47</v>
      </c>
    </row>
    <row r="423" spans="1:35" x14ac:dyDescent="0.3">
      <c r="E423">
        <v>5018</v>
      </c>
      <c r="F423" s="6" t="s">
        <v>488</v>
      </c>
      <c r="G423" s="6" t="s">
        <v>368</v>
      </c>
      <c r="H423" s="9">
        <v>45839</v>
      </c>
      <c r="I423" s="2">
        <v>46028</v>
      </c>
      <c r="J423" s="6" t="s">
        <v>33</v>
      </c>
      <c r="K423" s="6" t="s">
        <v>34</v>
      </c>
      <c r="L423" s="6" t="s">
        <v>76</v>
      </c>
      <c r="M423" s="4">
        <f t="shared" si="29"/>
        <v>7000</v>
      </c>
      <c r="N423" s="4">
        <v>7000</v>
      </c>
      <c r="O423" s="4">
        <v>0</v>
      </c>
      <c r="P423" s="4">
        <v>0</v>
      </c>
      <c r="Q423" s="4">
        <v>0</v>
      </c>
      <c r="R423" s="4"/>
      <c r="S423" s="4">
        <v>0</v>
      </c>
      <c r="T423">
        <v>0</v>
      </c>
      <c r="U423">
        <v>0</v>
      </c>
      <c r="W423">
        <v>0</v>
      </c>
      <c r="X423" t="s">
        <v>36</v>
      </c>
      <c r="Z423" t="s">
        <v>202</v>
      </c>
      <c r="AA423" t="s">
        <v>202</v>
      </c>
      <c r="AC423" t="s">
        <v>37</v>
      </c>
      <c r="AD423" t="s">
        <v>38</v>
      </c>
      <c r="AE423" s="4">
        <f t="shared" si="28"/>
        <v>7000</v>
      </c>
      <c r="AF423">
        <f t="shared" si="25"/>
        <v>0</v>
      </c>
      <c r="AG423" s="4">
        <f t="shared" si="26"/>
        <v>7000</v>
      </c>
      <c r="AI423" t="s">
        <v>39</v>
      </c>
    </row>
    <row r="424" spans="1:35" x14ac:dyDescent="0.3">
      <c r="A424" t="s">
        <v>231</v>
      </c>
      <c r="B424" t="s">
        <v>43</v>
      </c>
      <c r="C424" t="s">
        <v>30</v>
      </c>
      <c r="D424" t="s">
        <v>73</v>
      </c>
      <c r="E424">
        <v>5019</v>
      </c>
      <c r="F424" s="6" t="s">
        <v>232</v>
      </c>
      <c r="G424" s="6" t="s">
        <v>325</v>
      </c>
      <c r="H424" s="6" t="s">
        <v>36</v>
      </c>
      <c r="I424" t="s">
        <v>36</v>
      </c>
      <c r="J424" s="6" t="s">
        <v>52</v>
      </c>
      <c r="K424" s="6" t="s">
        <v>34</v>
      </c>
      <c r="L424" s="6" t="s">
        <v>76</v>
      </c>
      <c r="M424" s="4">
        <f t="shared" si="29"/>
        <v>15500</v>
      </c>
      <c r="N424" s="4">
        <v>14000</v>
      </c>
      <c r="O424" s="4">
        <v>0</v>
      </c>
      <c r="P424" s="4">
        <v>1500</v>
      </c>
      <c r="Q424" s="4">
        <v>0</v>
      </c>
      <c r="R424" s="4"/>
      <c r="S424" s="4">
        <v>0</v>
      </c>
      <c r="T424">
        <v>0</v>
      </c>
      <c r="U424">
        <v>2650</v>
      </c>
      <c r="V424">
        <v>2000</v>
      </c>
      <c r="W424" t="s">
        <v>701</v>
      </c>
      <c r="X424" t="s">
        <v>706</v>
      </c>
      <c r="AC424" t="s">
        <v>37</v>
      </c>
      <c r="AD424" t="s">
        <v>38</v>
      </c>
      <c r="AE424" s="4">
        <f t="shared" si="28"/>
        <v>17500</v>
      </c>
      <c r="AF424">
        <f t="shared" si="25"/>
        <v>2650</v>
      </c>
      <c r="AG424" s="4">
        <f t="shared" si="26"/>
        <v>20150</v>
      </c>
      <c r="AI424" t="s">
        <v>39</v>
      </c>
    </row>
    <row r="425" spans="1:35" x14ac:dyDescent="0.3">
      <c r="A425" t="s">
        <v>72</v>
      </c>
      <c r="B425" t="s">
        <v>72</v>
      </c>
      <c r="C425" t="s">
        <v>30</v>
      </c>
      <c r="D425" t="s">
        <v>73</v>
      </c>
      <c r="E425">
        <v>5020</v>
      </c>
      <c r="F425" s="6" t="s">
        <v>74</v>
      </c>
      <c r="G425" s="6" t="s">
        <v>75</v>
      </c>
      <c r="H425" s="9">
        <v>45866</v>
      </c>
      <c r="I425" s="2">
        <v>46097</v>
      </c>
      <c r="J425" s="6" t="s">
        <v>33</v>
      </c>
      <c r="K425" s="6" t="s">
        <v>34</v>
      </c>
      <c r="L425" s="6" t="s">
        <v>76</v>
      </c>
      <c r="M425" s="4">
        <f t="shared" si="29"/>
        <v>14000</v>
      </c>
      <c r="N425" s="4">
        <v>14000</v>
      </c>
      <c r="O425" s="4">
        <v>0</v>
      </c>
      <c r="P425" s="4">
        <v>0</v>
      </c>
      <c r="Q425" s="4">
        <v>0</v>
      </c>
      <c r="R425" s="4"/>
      <c r="S425" s="4">
        <v>0</v>
      </c>
      <c r="T425">
        <v>0</v>
      </c>
      <c r="U425">
        <v>0</v>
      </c>
      <c r="W425" t="s">
        <v>36</v>
      </c>
      <c r="X425" t="s">
        <v>36</v>
      </c>
      <c r="AC425" t="s">
        <v>37</v>
      </c>
      <c r="AD425" t="s">
        <v>38</v>
      </c>
      <c r="AE425" s="4">
        <f t="shared" si="28"/>
        <v>14000</v>
      </c>
      <c r="AF425">
        <f t="shared" si="25"/>
        <v>0</v>
      </c>
      <c r="AG425" s="4">
        <f t="shared" si="26"/>
        <v>14000</v>
      </c>
      <c r="AI425" t="s">
        <v>47</v>
      </c>
    </row>
    <row r="426" spans="1:35" x14ac:dyDescent="0.3">
      <c r="A426" t="s">
        <v>231</v>
      </c>
      <c r="B426" t="s">
        <v>356</v>
      </c>
      <c r="C426" t="s">
        <v>30</v>
      </c>
      <c r="D426" t="s">
        <v>73</v>
      </c>
      <c r="E426">
        <v>5021</v>
      </c>
      <c r="F426" s="6" t="s">
        <v>357</v>
      </c>
      <c r="G426" s="6" t="s">
        <v>358</v>
      </c>
      <c r="H426" s="9">
        <v>45882</v>
      </c>
      <c r="I426" t="s">
        <v>36</v>
      </c>
      <c r="J426" s="6" t="s">
        <v>52</v>
      </c>
      <c r="K426" s="6" t="s">
        <v>34</v>
      </c>
      <c r="L426" s="6" t="s">
        <v>76</v>
      </c>
      <c r="M426" s="4">
        <f t="shared" si="29"/>
        <v>18000</v>
      </c>
      <c r="N426" s="4">
        <v>15000</v>
      </c>
      <c r="O426" s="4">
        <v>0</v>
      </c>
      <c r="P426" s="4">
        <v>3000</v>
      </c>
      <c r="Q426" s="4">
        <v>0</v>
      </c>
      <c r="R426" s="4"/>
      <c r="S426" s="4">
        <v>0</v>
      </c>
      <c r="T426">
        <v>0</v>
      </c>
      <c r="U426">
        <v>0</v>
      </c>
      <c r="V426" s="4">
        <v>0</v>
      </c>
      <c r="W426" t="s">
        <v>701</v>
      </c>
      <c r="X426" t="s">
        <v>724</v>
      </c>
      <c r="Z426" t="s">
        <v>359</v>
      </c>
      <c r="AA426" t="s">
        <v>202</v>
      </c>
      <c r="AC426" t="s">
        <v>37</v>
      </c>
      <c r="AD426" t="s">
        <v>38</v>
      </c>
      <c r="AE426" s="4">
        <f t="shared" si="28"/>
        <v>18000</v>
      </c>
      <c r="AF426">
        <f t="shared" si="25"/>
        <v>0</v>
      </c>
      <c r="AG426" s="4">
        <f t="shared" si="26"/>
        <v>18000</v>
      </c>
      <c r="AI426" t="s">
        <v>47</v>
      </c>
    </row>
    <row r="427" spans="1:35" x14ac:dyDescent="0.3">
      <c r="A427" t="s">
        <v>480</v>
      </c>
      <c r="B427" t="s">
        <v>480</v>
      </c>
      <c r="C427" t="s">
        <v>30</v>
      </c>
      <c r="D427" t="s">
        <v>73</v>
      </c>
      <c r="E427">
        <v>5022</v>
      </c>
      <c r="F427" s="6" t="s">
        <v>481</v>
      </c>
      <c r="G427" s="6" t="s">
        <v>482</v>
      </c>
      <c r="H427" s="9">
        <v>45985</v>
      </c>
      <c r="I427" t="s">
        <v>36</v>
      </c>
      <c r="J427" s="6" t="s">
        <v>52</v>
      </c>
      <c r="K427" s="6" t="s">
        <v>34</v>
      </c>
      <c r="L427" s="6" t="s">
        <v>76</v>
      </c>
      <c r="M427" s="4">
        <f t="shared" si="29"/>
        <v>9300</v>
      </c>
      <c r="N427" s="4">
        <v>7000</v>
      </c>
      <c r="O427" s="4">
        <v>0</v>
      </c>
      <c r="P427" s="4">
        <v>2300</v>
      </c>
      <c r="Q427" s="4">
        <v>0</v>
      </c>
      <c r="R427" s="4"/>
      <c r="S427" s="4">
        <v>0</v>
      </c>
      <c r="T427">
        <v>0</v>
      </c>
      <c r="U427">
        <v>2000</v>
      </c>
      <c r="V427">
        <v>1000</v>
      </c>
      <c r="W427" t="s">
        <v>483</v>
      </c>
      <c r="X427" t="s">
        <v>484</v>
      </c>
      <c r="AC427" t="s">
        <v>37</v>
      </c>
      <c r="AD427" t="s">
        <v>38</v>
      </c>
      <c r="AE427" s="4">
        <f t="shared" si="28"/>
        <v>10300</v>
      </c>
      <c r="AF427">
        <f t="shared" si="25"/>
        <v>2000</v>
      </c>
      <c r="AG427" s="4">
        <f t="shared" si="26"/>
        <v>12300</v>
      </c>
      <c r="AI427" t="s">
        <v>47</v>
      </c>
    </row>
    <row r="428" spans="1:35" x14ac:dyDescent="0.3">
      <c r="A428" t="s">
        <v>231</v>
      </c>
      <c r="B428" t="s">
        <v>43</v>
      </c>
      <c r="C428" t="s">
        <v>30</v>
      </c>
      <c r="D428" t="s">
        <v>73</v>
      </c>
      <c r="E428">
        <v>5023</v>
      </c>
      <c r="F428" s="6" t="s">
        <v>324</v>
      </c>
      <c r="G428" s="6" t="s">
        <v>325</v>
      </c>
      <c r="H428" s="9">
        <v>46001</v>
      </c>
      <c r="I428" t="s">
        <v>36</v>
      </c>
      <c r="J428" s="6" t="s">
        <v>52</v>
      </c>
      <c r="K428" s="6" t="s">
        <v>34</v>
      </c>
      <c r="L428" s="6" t="s">
        <v>76</v>
      </c>
      <c r="M428" s="4">
        <f t="shared" si="29"/>
        <v>17000</v>
      </c>
      <c r="N428" s="4">
        <v>15000</v>
      </c>
      <c r="O428" s="4">
        <v>0</v>
      </c>
      <c r="P428" s="4">
        <v>2000</v>
      </c>
      <c r="Q428" s="4">
        <v>0</v>
      </c>
      <c r="R428" s="4"/>
      <c r="S428" s="4">
        <v>0</v>
      </c>
      <c r="T428">
        <v>0</v>
      </c>
      <c r="U428">
        <v>2650</v>
      </c>
      <c r="V428">
        <v>1200</v>
      </c>
      <c r="W428" t="s">
        <v>701</v>
      </c>
      <c r="X428" t="s">
        <v>709</v>
      </c>
      <c r="AC428" t="s">
        <v>37</v>
      </c>
      <c r="AD428" t="s">
        <v>38</v>
      </c>
      <c r="AE428" s="4">
        <f t="shared" si="28"/>
        <v>18200</v>
      </c>
      <c r="AF428">
        <f t="shared" si="25"/>
        <v>2650</v>
      </c>
      <c r="AG428" s="4">
        <f t="shared" si="26"/>
        <v>20850</v>
      </c>
      <c r="AI428" t="s">
        <v>47</v>
      </c>
    </row>
    <row r="429" spans="1:35" x14ac:dyDescent="0.3">
      <c r="A429" t="s">
        <v>77</v>
      </c>
      <c r="B429" t="s">
        <v>195</v>
      </c>
      <c r="C429" t="s">
        <v>30</v>
      </c>
      <c r="D429" t="s">
        <v>73</v>
      </c>
      <c r="E429">
        <v>5024</v>
      </c>
      <c r="F429" s="6" t="s">
        <v>196</v>
      </c>
      <c r="G429" s="6" t="s">
        <v>197</v>
      </c>
      <c r="H429" s="9">
        <v>46055</v>
      </c>
      <c r="I429" t="s">
        <v>36</v>
      </c>
      <c r="J429" s="6" t="s">
        <v>52</v>
      </c>
      <c r="K429" s="6" t="s">
        <v>34</v>
      </c>
      <c r="L429" s="6" t="s">
        <v>76</v>
      </c>
      <c r="M429" s="4">
        <f t="shared" si="29"/>
        <v>9300</v>
      </c>
      <c r="N429" s="4">
        <v>7000</v>
      </c>
      <c r="O429" s="4">
        <v>0</v>
      </c>
      <c r="P429" s="4">
        <v>2300</v>
      </c>
      <c r="Q429" s="4">
        <v>0</v>
      </c>
      <c r="R429" s="4"/>
      <c r="S429" s="4">
        <v>0</v>
      </c>
      <c r="T429">
        <v>0</v>
      </c>
      <c r="U429">
        <v>2650</v>
      </c>
      <c r="V429">
        <v>1200</v>
      </c>
      <c r="W429" t="s">
        <v>703</v>
      </c>
      <c r="X429" t="s">
        <v>702</v>
      </c>
      <c r="AC429" t="s">
        <v>37</v>
      </c>
      <c r="AD429" t="s">
        <v>38</v>
      </c>
      <c r="AE429" s="4">
        <f t="shared" si="28"/>
        <v>10500</v>
      </c>
      <c r="AF429">
        <f t="shared" si="25"/>
        <v>2650</v>
      </c>
      <c r="AG429" s="4">
        <f t="shared" si="26"/>
        <v>13150</v>
      </c>
      <c r="AI429" t="s">
        <v>39</v>
      </c>
    </row>
    <row r="430" spans="1:35" x14ac:dyDescent="0.3">
      <c r="A430" t="s">
        <v>231</v>
      </c>
      <c r="B430" t="s">
        <v>231</v>
      </c>
      <c r="C430" t="s">
        <v>30</v>
      </c>
      <c r="D430" t="s">
        <v>73</v>
      </c>
      <c r="E430">
        <v>5025</v>
      </c>
      <c r="F430" s="6" t="s">
        <v>493</v>
      </c>
      <c r="G430" s="6" t="s">
        <v>325</v>
      </c>
      <c r="H430" s="9">
        <v>46071</v>
      </c>
      <c r="I430" s="2">
        <v>46150</v>
      </c>
      <c r="J430" s="6" t="s">
        <v>33</v>
      </c>
      <c r="K430" s="6" t="s">
        <v>34</v>
      </c>
      <c r="L430" s="6" t="s">
        <v>76</v>
      </c>
      <c r="M430" s="4">
        <f t="shared" si="29"/>
        <v>12650</v>
      </c>
      <c r="N430" s="4">
        <v>12650</v>
      </c>
      <c r="O430" s="4">
        <v>0</v>
      </c>
      <c r="P430" s="4">
        <v>0</v>
      </c>
      <c r="Q430" s="4">
        <v>0</v>
      </c>
      <c r="R430" s="4"/>
      <c r="S430" s="4">
        <v>0</v>
      </c>
      <c r="T430">
        <v>0</v>
      </c>
      <c r="U430">
        <v>0</v>
      </c>
      <c r="W430">
        <v>0</v>
      </c>
      <c r="X430">
        <v>0</v>
      </c>
      <c r="AE430" s="4">
        <f t="shared" si="28"/>
        <v>12650</v>
      </c>
      <c r="AF430">
        <f t="shared" si="25"/>
        <v>0</v>
      </c>
      <c r="AG430" s="4">
        <f t="shared" si="26"/>
        <v>12650</v>
      </c>
      <c r="AI430" t="s">
        <v>47</v>
      </c>
    </row>
    <row r="431" spans="1:35" x14ac:dyDescent="0.3">
      <c r="A431" t="s">
        <v>231</v>
      </c>
      <c r="B431" t="s">
        <v>43</v>
      </c>
      <c r="C431" t="s">
        <v>30</v>
      </c>
      <c r="D431" t="s">
        <v>73</v>
      </c>
      <c r="E431">
        <v>5026</v>
      </c>
      <c r="F431" s="6" t="s">
        <v>496</v>
      </c>
      <c r="G431" s="6" t="s">
        <v>325</v>
      </c>
      <c r="H431" s="9">
        <v>46106</v>
      </c>
      <c r="I431" t="s">
        <v>36</v>
      </c>
      <c r="J431" s="6" t="s">
        <v>52</v>
      </c>
      <c r="K431" s="6" t="s">
        <v>34</v>
      </c>
      <c r="L431" s="6" t="s">
        <v>76</v>
      </c>
      <c r="M431" s="4">
        <f t="shared" si="29"/>
        <v>15450</v>
      </c>
      <c r="N431" s="4">
        <v>12650</v>
      </c>
      <c r="O431" s="4">
        <v>0</v>
      </c>
      <c r="P431" s="4">
        <v>2800</v>
      </c>
      <c r="Q431" s="4">
        <v>0</v>
      </c>
      <c r="R431" s="4"/>
      <c r="S431" s="4">
        <v>0</v>
      </c>
      <c r="T431">
        <v>0</v>
      </c>
      <c r="U431">
        <v>2650</v>
      </c>
      <c r="V431">
        <v>1200</v>
      </c>
      <c r="W431" t="s">
        <v>701</v>
      </c>
      <c r="X431" t="s">
        <v>716</v>
      </c>
      <c r="AE431" s="4">
        <f t="shared" si="28"/>
        <v>16650</v>
      </c>
      <c r="AF431">
        <f t="shared" si="25"/>
        <v>2650</v>
      </c>
      <c r="AG431" s="4">
        <f t="shared" si="26"/>
        <v>19300</v>
      </c>
      <c r="AI431" t="s">
        <v>47</v>
      </c>
    </row>
    <row r="432" spans="1:35" x14ac:dyDescent="0.3">
      <c r="A432" t="s">
        <v>77</v>
      </c>
      <c r="B432" t="s">
        <v>78</v>
      </c>
      <c r="C432" t="s">
        <v>30</v>
      </c>
      <c r="D432" t="s">
        <v>73</v>
      </c>
      <c r="E432">
        <v>5027</v>
      </c>
      <c r="F432" s="6" t="s">
        <v>546</v>
      </c>
      <c r="G432" s="6" t="s">
        <v>547</v>
      </c>
      <c r="H432" s="9">
        <v>46118</v>
      </c>
      <c r="I432" t="s">
        <v>36</v>
      </c>
      <c r="J432" s="6" t="s">
        <v>52</v>
      </c>
      <c r="K432" s="6" t="s">
        <v>34</v>
      </c>
      <c r="L432" s="6" t="s">
        <v>76</v>
      </c>
      <c r="M432" s="4">
        <f t="shared" si="29"/>
        <v>18500</v>
      </c>
      <c r="N432" s="4">
        <v>15000</v>
      </c>
      <c r="O432" s="4">
        <v>0</v>
      </c>
      <c r="P432" s="4">
        <v>3500</v>
      </c>
      <c r="Q432" s="4">
        <v>0</v>
      </c>
      <c r="R432" s="4"/>
      <c r="S432" s="4">
        <v>0</v>
      </c>
      <c r="T432">
        <v>0</v>
      </c>
      <c r="U432">
        <v>2000</v>
      </c>
      <c r="V432">
        <v>2000</v>
      </c>
      <c r="W432" t="s">
        <v>548</v>
      </c>
      <c r="X432" t="s">
        <v>549</v>
      </c>
      <c r="AE432" s="4">
        <f t="shared" si="28"/>
        <v>20500</v>
      </c>
      <c r="AF432">
        <f t="shared" si="25"/>
        <v>2000</v>
      </c>
      <c r="AG432" s="4">
        <f t="shared" si="26"/>
        <v>22500</v>
      </c>
      <c r="AI432" t="s">
        <v>39</v>
      </c>
    </row>
    <row r="433" spans="1:35" x14ac:dyDescent="0.3">
      <c r="A433" t="s">
        <v>77</v>
      </c>
      <c r="B433" t="s">
        <v>148</v>
      </c>
      <c r="C433" t="s">
        <v>30</v>
      </c>
      <c r="D433" t="s">
        <v>73</v>
      </c>
      <c r="E433">
        <v>5028</v>
      </c>
      <c r="F433" s="6" t="s">
        <v>150</v>
      </c>
      <c r="G433" s="6" t="s">
        <v>525</v>
      </c>
      <c r="H433" s="9">
        <v>46121</v>
      </c>
      <c r="I433" t="s">
        <v>36</v>
      </c>
      <c r="J433" s="6" t="s">
        <v>52</v>
      </c>
      <c r="K433" s="6" t="s">
        <v>34</v>
      </c>
      <c r="L433" s="6" t="s">
        <v>76</v>
      </c>
      <c r="M433" s="4">
        <f t="shared" si="29"/>
        <v>18000</v>
      </c>
      <c r="N433" s="4">
        <v>15000</v>
      </c>
      <c r="O433" s="4">
        <v>0</v>
      </c>
      <c r="P433" s="4">
        <v>3000</v>
      </c>
      <c r="Q433" s="4">
        <v>0</v>
      </c>
      <c r="R433" s="4"/>
      <c r="S433" s="4">
        <v>0</v>
      </c>
      <c r="T433">
        <v>2000</v>
      </c>
      <c r="U433">
        <v>0</v>
      </c>
      <c r="W433" t="s">
        <v>36</v>
      </c>
      <c r="X433" t="s">
        <v>36</v>
      </c>
      <c r="AE433" s="4">
        <f t="shared" si="28"/>
        <v>20000</v>
      </c>
      <c r="AF433">
        <f t="shared" si="25"/>
        <v>0</v>
      </c>
      <c r="AG433" s="4">
        <f t="shared" si="26"/>
        <v>20000</v>
      </c>
      <c r="AI433" t="s">
        <v>39</v>
      </c>
    </row>
    <row r="434" spans="1:35" x14ac:dyDescent="0.3">
      <c r="E434">
        <v>5029</v>
      </c>
      <c r="F434" s="6" t="s">
        <v>513</v>
      </c>
      <c r="G434" s="6" t="s">
        <v>233</v>
      </c>
      <c r="H434" s="6" t="s">
        <v>36</v>
      </c>
      <c r="I434" t="s">
        <v>36</v>
      </c>
      <c r="J434" s="6" t="s">
        <v>33</v>
      </c>
      <c r="K434" s="6" t="s">
        <v>34</v>
      </c>
      <c r="L434" s="6" t="s">
        <v>76</v>
      </c>
      <c r="M434" s="4">
        <f t="shared" si="29"/>
        <v>18000</v>
      </c>
      <c r="N434" s="4">
        <v>18000</v>
      </c>
      <c r="O434" s="4">
        <v>0</v>
      </c>
      <c r="P434" s="4">
        <v>0</v>
      </c>
      <c r="Q434" s="4">
        <v>0</v>
      </c>
      <c r="R434" s="4"/>
      <c r="S434" s="4">
        <v>0</v>
      </c>
      <c r="T434">
        <v>0</v>
      </c>
      <c r="U434">
        <v>0</v>
      </c>
      <c r="W434">
        <v>0</v>
      </c>
      <c r="X434" t="s">
        <v>36</v>
      </c>
      <c r="AE434" s="4">
        <f t="shared" si="28"/>
        <v>18000</v>
      </c>
      <c r="AF434">
        <f t="shared" si="25"/>
        <v>0</v>
      </c>
      <c r="AG434" s="4">
        <f t="shared" si="26"/>
        <v>18000</v>
      </c>
      <c r="AI434" t="s">
        <v>39</v>
      </c>
    </row>
    <row r="435" spans="1:35" x14ac:dyDescent="0.3">
      <c r="A435" t="s">
        <v>231</v>
      </c>
      <c r="B435" t="s">
        <v>738</v>
      </c>
      <c r="C435" t="s">
        <v>30</v>
      </c>
      <c r="D435" t="s">
        <v>73</v>
      </c>
      <c r="E435">
        <v>5030</v>
      </c>
      <c r="F435" s="6" t="s">
        <v>698</v>
      </c>
      <c r="G435" s="6" t="s">
        <v>699</v>
      </c>
      <c r="H435" s="9">
        <v>46188</v>
      </c>
      <c r="J435" s="6" t="s">
        <v>52</v>
      </c>
      <c r="K435" s="6" t="s">
        <v>34</v>
      </c>
      <c r="L435" s="6" t="s">
        <v>76</v>
      </c>
      <c r="M435" s="4">
        <f t="shared" si="29"/>
        <v>17000</v>
      </c>
      <c r="N435" s="4">
        <v>17000</v>
      </c>
      <c r="O435" s="4">
        <v>0</v>
      </c>
      <c r="P435" s="4">
        <v>0</v>
      </c>
      <c r="Q435" s="4">
        <v>0</v>
      </c>
      <c r="R435" s="4"/>
      <c r="S435" s="4">
        <v>0</v>
      </c>
      <c r="T435">
        <v>0</v>
      </c>
      <c r="U435">
        <v>0</v>
      </c>
      <c r="V435">
        <v>800</v>
      </c>
      <c r="W435" t="s">
        <v>36</v>
      </c>
      <c r="X435" t="s">
        <v>36</v>
      </c>
      <c r="Z435" t="s">
        <v>202</v>
      </c>
      <c r="AA435" t="s">
        <v>202</v>
      </c>
      <c r="AC435">
        <v>0</v>
      </c>
      <c r="AD435">
        <v>0</v>
      </c>
      <c r="AE435" s="4">
        <f t="shared" si="28"/>
        <v>17800</v>
      </c>
      <c r="AF435">
        <f t="shared" si="25"/>
        <v>0</v>
      </c>
      <c r="AG435" s="4">
        <f t="shared" si="26"/>
        <v>17800</v>
      </c>
      <c r="AI435" t="s">
        <v>39</v>
      </c>
    </row>
    <row r="436" spans="1:35" x14ac:dyDescent="0.3">
      <c r="E436" t="s">
        <v>36</v>
      </c>
      <c r="F436" s="6" t="s">
        <v>494</v>
      </c>
      <c r="G436" s="6" t="s">
        <v>495</v>
      </c>
      <c r="H436" s="9">
        <v>45714</v>
      </c>
      <c r="I436" s="2">
        <v>45758</v>
      </c>
      <c r="J436" s="6" t="s">
        <v>33</v>
      </c>
      <c r="K436" s="6" t="s">
        <v>34</v>
      </c>
      <c r="L436" s="6" t="s">
        <v>76</v>
      </c>
      <c r="M436" s="4">
        <f t="shared" si="29"/>
        <v>15800</v>
      </c>
      <c r="N436" s="4">
        <v>15800</v>
      </c>
      <c r="O436" s="4">
        <v>0</v>
      </c>
      <c r="P436" s="4">
        <v>0</v>
      </c>
      <c r="Q436" s="4">
        <v>0</v>
      </c>
      <c r="R436" s="4"/>
      <c r="S436" s="4">
        <v>0</v>
      </c>
      <c r="T436">
        <v>0</v>
      </c>
      <c r="U436">
        <v>0</v>
      </c>
      <c r="W436">
        <v>0</v>
      </c>
      <c r="X436" t="s">
        <v>36</v>
      </c>
      <c r="AE436" s="4">
        <f t="shared" si="28"/>
        <v>15800</v>
      </c>
      <c r="AF436">
        <f t="shared" si="25"/>
        <v>0</v>
      </c>
      <c r="AG436" s="4">
        <f t="shared" si="26"/>
        <v>15800</v>
      </c>
      <c r="AI436" t="s">
        <v>47</v>
      </c>
    </row>
    <row r="437" spans="1:35" x14ac:dyDescent="0.3">
      <c r="E437" t="s">
        <v>36</v>
      </c>
      <c r="F437" s="6" t="s">
        <v>497</v>
      </c>
      <c r="G437" s="6" t="s">
        <v>498</v>
      </c>
      <c r="H437" s="9">
        <v>45691</v>
      </c>
      <c r="I437" s="2">
        <v>45793</v>
      </c>
      <c r="J437" s="6" t="s">
        <v>33</v>
      </c>
      <c r="K437" s="6" t="s">
        <v>34</v>
      </c>
      <c r="L437" s="6" t="s">
        <v>76</v>
      </c>
      <c r="M437" s="4">
        <f t="shared" si="29"/>
        <v>7000</v>
      </c>
      <c r="N437" s="4">
        <v>7000</v>
      </c>
      <c r="O437" s="4">
        <v>0</v>
      </c>
      <c r="P437" s="4">
        <v>0</v>
      </c>
      <c r="Q437" s="4">
        <v>0</v>
      </c>
      <c r="R437" s="4"/>
      <c r="S437" s="4">
        <v>0</v>
      </c>
      <c r="T437">
        <v>0</v>
      </c>
      <c r="U437">
        <v>0</v>
      </c>
      <c r="W437">
        <v>0</v>
      </c>
      <c r="X437" t="s">
        <v>36</v>
      </c>
      <c r="AE437" s="4">
        <f t="shared" si="28"/>
        <v>7000</v>
      </c>
      <c r="AF437">
        <f t="shared" si="25"/>
        <v>0</v>
      </c>
      <c r="AG437" s="4">
        <f t="shared" si="26"/>
        <v>7000</v>
      </c>
      <c r="AI437" t="s">
        <v>47</v>
      </c>
    </row>
    <row r="438" spans="1:35" x14ac:dyDescent="0.3">
      <c r="E438" t="s">
        <v>36</v>
      </c>
      <c r="F438" s="6" t="s">
        <v>502</v>
      </c>
      <c r="G438" s="6" t="s">
        <v>503</v>
      </c>
      <c r="H438" s="9">
        <v>45708</v>
      </c>
      <c r="I438" s="2">
        <v>45758</v>
      </c>
      <c r="J438" s="6" t="s">
        <v>33</v>
      </c>
      <c r="K438" s="6" t="s">
        <v>34</v>
      </c>
      <c r="L438" s="6" t="s">
        <v>76</v>
      </c>
      <c r="M438" s="4">
        <f t="shared" si="29"/>
        <v>11000</v>
      </c>
      <c r="N438" s="4">
        <v>11000</v>
      </c>
      <c r="O438" s="4">
        <v>0</v>
      </c>
      <c r="P438" s="4">
        <v>0</v>
      </c>
      <c r="Q438" s="4">
        <v>0</v>
      </c>
      <c r="R438" s="4"/>
      <c r="S438" s="4">
        <v>0</v>
      </c>
      <c r="T438">
        <v>0</v>
      </c>
      <c r="U438">
        <v>0</v>
      </c>
      <c r="W438">
        <v>0</v>
      </c>
      <c r="X438" t="s">
        <v>36</v>
      </c>
      <c r="AE438" s="4">
        <f t="shared" si="28"/>
        <v>11000</v>
      </c>
      <c r="AF438">
        <f t="shared" si="25"/>
        <v>0</v>
      </c>
      <c r="AG438" s="4">
        <f t="shared" si="26"/>
        <v>11000</v>
      </c>
      <c r="AI438" t="s">
        <v>47</v>
      </c>
    </row>
    <row r="439" spans="1:35" x14ac:dyDescent="0.3">
      <c r="E439" t="s">
        <v>36</v>
      </c>
      <c r="F439" s="6" t="s">
        <v>506</v>
      </c>
      <c r="G439" s="6" t="s">
        <v>507</v>
      </c>
      <c r="H439" s="9">
        <v>45713</v>
      </c>
      <c r="I439" s="2">
        <v>45798</v>
      </c>
      <c r="J439" s="6" t="s">
        <v>33</v>
      </c>
      <c r="K439" s="6" t="s">
        <v>34</v>
      </c>
      <c r="L439" s="6" t="s">
        <v>76</v>
      </c>
      <c r="M439" s="4">
        <f t="shared" si="29"/>
        <v>7300</v>
      </c>
      <c r="N439" s="4">
        <v>7300</v>
      </c>
      <c r="O439" s="4">
        <v>0</v>
      </c>
      <c r="P439" s="4">
        <v>0</v>
      </c>
      <c r="Q439" s="4">
        <v>0</v>
      </c>
      <c r="R439" s="4"/>
      <c r="S439" s="4">
        <v>0</v>
      </c>
      <c r="T439">
        <v>0</v>
      </c>
      <c r="U439">
        <v>0</v>
      </c>
      <c r="W439">
        <v>0</v>
      </c>
      <c r="X439" t="s">
        <v>36</v>
      </c>
      <c r="AE439" s="4">
        <f t="shared" si="28"/>
        <v>7300</v>
      </c>
      <c r="AF439">
        <f t="shared" si="25"/>
        <v>0</v>
      </c>
      <c r="AG439" s="4">
        <f t="shared" si="26"/>
        <v>7300</v>
      </c>
      <c r="AI439" t="s">
        <v>47</v>
      </c>
    </row>
    <row r="440" spans="1:35" x14ac:dyDescent="0.3">
      <c r="E440" t="s">
        <v>36</v>
      </c>
      <c r="F440" s="6" t="s">
        <v>512</v>
      </c>
      <c r="G440" s="6" t="s">
        <v>503</v>
      </c>
      <c r="H440" s="9">
        <v>45659</v>
      </c>
      <c r="I440" s="2">
        <v>45849</v>
      </c>
      <c r="J440" s="6" t="s">
        <v>33</v>
      </c>
      <c r="K440" s="6" t="s">
        <v>34</v>
      </c>
      <c r="L440" s="6" t="s">
        <v>76</v>
      </c>
      <c r="M440" s="4">
        <f t="shared" si="29"/>
        <v>15000</v>
      </c>
      <c r="N440" s="4">
        <v>15000</v>
      </c>
      <c r="O440" s="4">
        <v>0</v>
      </c>
      <c r="P440" s="4">
        <v>0</v>
      </c>
      <c r="Q440" s="4">
        <v>0</v>
      </c>
      <c r="R440" s="4"/>
      <c r="S440" s="4">
        <v>0</v>
      </c>
      <c r="T440">
        <v>0</v>
      </c>
      <c r="U440">
        <v>0</v>
      </c>
      <c r="W440">
        <v>0</v>
      </c>
      <c r="X440" t="s">
        <v>36</v>
      </c>
      <c r="AE440" s="4">
        <f t="shared" si="28"/>
        <v>15000</v>
      </c>
      <c r="AF440">
        <f t="shared" si="25"/>
        <v>0</v>
      </c>
      <c r="AG440" s="4">
        <f t="shared" si="26"/>
        <v>15000</v>
      </c>
      <c r="AI440" t="s">
        <v>39</v>
      </c>
    </row>
    <row r="441" spans="1:35" x14ac:dyDescent="0.3">
      <c r="E441" t="s">
        <v>36</v>
      </c>
      <c r="F441" s="6" t="s">
        <v>513</v>
      </c>
      <c r="G441" s="6" t="s">
        <v>503</v>
      </c>
      <c r="H441" s="9">
        <v>45756</v>
      </c>
      <c r="I441" s="2">
        <v>45852</v>
      </c>
      <c r="J441" s="6" t="s">
        <v>33</v>
      </c>
      <c r="K441" s="6" t="s">
        <v>34</v>
      </c>
      <c r="L441" s="6" t="s">
        <v>76</v>
      </c>
      <c r="M441" s="4">
        <f t="shared" si="29"/>
        <v>15000</v>
      </c>
      <c r="N441" s="4">
        <v>15000</v>
      </c>
      <c r="O441" s="4">
        <v>0</v>
      </c>
      <c r="P441" s="4">
        <v>0</v>
      </c>
      <c r="Q441" s="4">
        <v>0</v>
      </c>
      <c r="R441" s="4"/>
      <c r="S441" s="4">
        <v>0</v>
      </c>
      <c r="T441">
        <v>0</v>
      </c>
      <c r="U441">
        <v>0</v>
      </c>
      <c r="W441">
        <v>0</v>
      </c>
      <c r="X441" t="s">
        <v>36</v>
      </c>
      <c r="AE441" s="4">
        <f t="shared" si="28"/>
        <v>15000</v>
      </c>
      <c r="AF441">
        <f t="shared" si="25"/>
        <v>0</v>
      </c>
      <c r="AG441" s="4">
        <f t="shared" si="26"/>
        <v>15000</v>
      </c>
      <c r="AI441" t="s">
        <v>39</v>
      </c>
    </row>
    <row r="442" spans="1:35" x14ac:dyDescent="0.3">
      <c r="E442" t="s">
        <v>36</v>
      </c>
      <c r="F442" s="6" t="s">
        <v>515</v>
      </c>
      <c r="G442" s="6" t="s">
        <v>682</v>
      </c>
      <c r="H442" s="9">
        <v>45665</v>
      </c>
      <c r="I442" s="2">
        <v>45762</v>
      </c>
      <c r="J442" s="6" t="s">
        <v>33</v>
      </c>
      <c r="K442" s="6" t="s">
        <v>34</v>
      </c>
      <c r="L442" s="6" t="s">
        <v>76</v>
      </c>
      <c r="M442" s="4">
        <f t="shared" si="29"/>
        <v>25000</v>
      </c>
      <c r="N442" s="4">
        <v>25000</v>
      </c>
      <c r="O442" s="4">
        <v>0</v>
      </c>
      <c r="P442" s="4">
        <v>0</v>
      </c>
      <c r="Q442" s="4">
        <v>0</v>
      </c>
      <c r="R442" s="4"/>
      <c r="S442" s="4">
        <v>0</v>
      </c>
      <c r="T442">
        <v>0</v>
      </c>
      <c r="U442">
        <v>0</v>
      </c>
      <c r="W442">
        <v>0</v>
      </c>
      <c r="X442" t="s">
        <v>36</v>
      </c>
      <c r="AE442" s="4">
        <f t="shared" si="28"/>
        <v>25000</v>
      </c>
      <c r="AF442">
        <f t="shared" si="25"/>
        <v>0</v>
      </c>
      <c r="AG442" s="4">
        <f t="shared" si="26"/>
        <v>25000</v>
      </c>
      <c r="AI442" t="s">
        <v>47</v>
      </c>
    </row>
    <row r="443" spans="1:35" x14ac:dyDescent="0.3">
      <c r="E443" t="s">
        <v>36</v>
      </c>
      <c r="F443" s="6" t="s">
        <v>686</v>
      </c>
      <c r="G443" s="6" t="s">
        <v>687</v>
      </c>
      <c r="H443" s="9">
        <v>45665</v>
      </c>
      <c r="I443" s="2">
        <v>45716</v>
      </c>
      <c r="J443" s="6" t="s">
        <v>33</v>
      </c>
      <c r="K443" s="6" t="s">
        <v>34</v>
      </c>
      <c r="L443" s="6" t="s">
        <v>76</v>
      </c>
      <c r="M443" s="4">
        <f t="shared" si="29"/>
        <v>0</v>
      </c>
      <c r="O443" s="4">
        <v>0</v>
      </c>
      <c r="P443" s="4">
        <v>0</v>
      </c>
      <c r="Q443" s="4">
        <v>0</v>
      </c>
      <c r="R443" s="4"/>
      <c r="S443" s="4">
        <v>0</v>
      </c>
      <c r="T443">
        <v>0</v>
      </c>
      <c r="U443">
        <v>0</v>
      </c>
      <c r="W443">
        <v>0</v>
      </c>
      <c r="X443" t="s">
        <v>36</v>
      </c>
      <c r="AE443" s="4">
        <f t="shared" si="28"/>
        <v>0</v>
      </c>
      <c r="AF443">
        <f t="shared" si="25"/>
        <v>0</v>
      </c>
      <c r="AG443" s="4">
        <f t="shared" si="26"/>
        <v>0</v>
      </c>
      <c r="AI443" t="s">
        <v>39</v>
      </c>
    </row>
    <row r="444" spans="1:35" x14ac:dyDescent="0.3">
      <c r="E444" t="s">
        <v>36</v>
      </c>
      <c r="F444" s="6" t="s">
        <v>524</v>
      </c>
      <c r="G444" s="6" t="s">
        <v>691</v>
      </c>
      <c r="H444" s="9">
        <v>45691</v>
      </c>
      <c r="I444" s="2">
        <v>45868</v>
      </c>
      <c r="J444" s="6" t="s">
        <v>33</v>
      </c>
      <c r="K444" s="6" t="s">
        <v>34</v>
      </c>
      <c r="L444" s="6" t="s">
        <v>76</v>
      </c>
      <c r="M444" s="4">
        <f t="shared" si="29"/>
        <v>12000</v>
      </c>
      <c r="N444" s="4">
        <v>12000</v>
      </c>
      <c r="O444" s="4">
        <v>0</v>
      </c>
      <c r="P444" s="4">
        <v>0</v>
      </c>
      <c r="Q444" s="4">
        <v>0</v>
      </c>
      <c r="R444" s="4"/>
      <c r="S444" s="4">
        <v>0</v>
      </c>
      <c r="T444">
        <v>0</v>
      </c>
      <c r="U444">
        <v>0</v>
      </c>
      <c r="W444">
        <v>0</v>
      </c>
      <c r="X444" t="s">
        <v>36</v>
      </c>
      <c r="AE444" s="4">
        <f t="shared" si="28"/>
        <v>12000</v>
      </c>
      <c r="AF444">
        <f t="shared" si="25"/>
        <v>0</v>
      </c>
      <c r="AG444" s="4">
        <f t="shared" si="26"/>
        <v>12000</v>
      </c>
      <c r="AI444" t="s">
        <v>39</v>
      </c>
    </row>
    <row r="445" spans="1:35" x14ac:dyDescent="0.3">
      <c r="A445" t="s">
        <v>162</v>
      </c>
      <c r="B445" t="s">
        <v>162</v>
      </c>
      <c r="C445" t="s">
        <v>30</v>
      </c>
      <c r="D445" t="s">
        <v>162</v>
      </c>
      <c r="F445" s="6" t="s">
        <v>163</v>
      </c>
      <c r="J445" s="6" t="s">
        <v>52</v>
      </c>
      <c r="K445" s="6" t="s">
        <v>34</v>
      </c>
      <c r="M445" s="4">
        <f t="shared" si="29"/>
        <v>0</v>
      </c>
      <c r="N445">
        <v>0</v>
      </c>
      <c r="O445" s="4">
        <v>0</v>
      </c>
      <c r="P445" s="4">
        <v>0</v>
      </c>
      <c r="Q445" s="4">
        <v>0</v>
      </c>
      <c r="R445" s="4"/>
      <c r="S445" s="4">
        <v>0</v>
      </c>
      <c r="T445">
        <v>0</v>
      </c>
      <c r="U445">
        <v>2300</v>
      </c>
      <c r="V445">
        <v>1200</v>
      </c>
      <c r="W445" t="s">
        <v>701</v>
      </c>
      <c r="X445" t="s">
        <v>164</v>
      </c>
      <c r="AC445" t="s">
        <v>37</v>
      </c>
      <c r="AD445" t="s">
        <v>38</v>
      </c>
      <c r="AE445" s="4">
        <f t="shared" si="28"/>
        <v>1200</v>
      </c>
      <c r="AF445">
        <f t="shared" si="25"/>
        <v>2300</v>
      </c>
      <c r="AG445" s="4">
        <f t="shared" si="26"/>
        <v>3500</v>
      </c>
      <c r="AI445" t="s">
        <v>47</v>
      </c>
    </row>
    <row r="446" spans="1:35" x14ac:dyDescent="0.3">
      <c r="A446" t="s">
        <v>162</v>
      </c>
      <c r="B446" t="s">
        <v>162</v>
      </c>
      <c r="C446" t="s">
        <v>30</v>
      </c>
      <c r="D446" t="s">
        <v>162</v>
      </c>
      <c r="F446" s="6" t="s">
        <v>311</v>
      </c>
      <c r="J446" s="6" t="s">
        <v>52</v>
      </c>
      <c r="K446" s="6" t="s">
        <v>34</v>
      </c>
      <c r="M446" s="4">
        <f t="shared" si="29"/>
        <v>0</v>
      </c>
      <c r="N446">
        <v>0</v>
      </c>
      <c r="O446" s="4">
        <v>0</v>
      </c>
      <c r="P446" s="4">
        <v>0</v>
      </c>
      <c r="Q446" s="4">
        <v>0</v>
      </c>
      <c r="R446" s="4"/>
      <c r="S446" s="4">
        <v>0</v>
      </c>
      <c r="T446">
        <v>0</v>
      </c>
      <c r="U446">
        <v>3588.79</v>
      </c>
      <c r="V446">
        <v>1200</v>
      </c>
      <c r="W446" t="s">
        <v>726</v>
      </c>
      <c r="X446" t="s">
        <v>312</v>
      </c>
      <c r="AC446" t="s">
        <v>37</v>
      </c>
      <c r="AD446" t="s">
        <v>38</v>
      </c>
      <c r="AE446" s="4">
        <f t="shared" si="28"/>
        <v>1200</v>
      </c>
      <c r="AF446">
        <f t="shared" si="25"/>
        <v>3588.79</v>
      </c>
      <c r="AG446" s="4">
        <f t="shared" si="26"/>
        <v>4788.79</v>
      </c>
      <c r="AI446" t="s">
        <v>47</v>
      </c>
    </row>
    <row r="447" spans="1:35" x14ac:dyDescent="0.3">
      <c r="A447" t="s">
        <v>162</v>
      </c>
      <c r="B447" t="s">
        <v>162</v>
      </c>
      <c r="C447" t="s">
        <v>30</v>
      </c>
      <c r="D447" t="s">
        <v>162</v>
      </c>
      <c r="F447" s="6" t="s">
        <v>727</v>
      </c>
      <c r="J447" s="6" t="s">
        <v>52</v>
      </c>
      <c r="K447" s="6" t="s">
        <v>34</v>
      </c>
      <c r="M447" s="4">
        <f t="shared" si="29"/>
        <v>0</v>
      </c>
      <c r="N447">
        <v>0</v>
      </c>
      <c r="O447" s="4">
        <v>0</v>
      </c>
      <c r="P447" s="4">
        <v>0</v>
      </c>
      <c r="Q447" s="4">
        <v>0</v>
      </c>
      <c r="R447" s="4"/>
      <c r="S447" s="4">
        <v>0</v>
      </c>
      <c r="T447">
        <v>0</v>
      </c>
      <c r="U447">
        <v>2300</v>
      </c>
      <c r="V447">
        <v>1200</v>
      </c>
      <c r="W447" t="s">
        <v>731</v>
      </c>
      <c r="X447" t="s">
        <v>732</v>
      </c>
      <c r="AE447" s="4">
        <f t="shared" si="28"/>
        <v>1200</v>
      </c>
      <c r="AF447">
        <f t="shared" si="25"/>
        <v>2300</v>
      </c>
      <c r="AG447" s="4">
        <f t="shared" si="26"/>
        <v>3500</v>
      </c>
      <c r="AI447" t="s">
        <v>47</v>
      </c>
    </row>
    <row r="448" spans="1:35" x14ac:dyDescent="0.3">
      <c r="A448" t="s">
        <v>162</v>
      </c>
      <c r="B448" t="s">
        <v>162</v>
      </c>
      <c r="C448" t="s">
        <v>30</v>
      </c>
      <c r="D448" t="s">
        <v>162</v>
      </c>
      <c r="F448" s="6" t="s">
        <v>433</v>
      </c>
      <c r="J448" s="6" t="s">
        <v>52</v>
      </c>
      <c r="K448" s="6" t="s">
        <v>34</v>
      </c>
      <c r="M448" s="4">
        <f t="shared" si="29"/>
        <v>0</v>
      </c>
      <c r="N448">
        <v>0</v>
      </c>
      <c r="O448" s="4">
        <v>0</v>
      </c>
      <c r="P448" s="4">
        <v>0</v>
      </c>
      <c r="Q448" s="4">
        <v>0</v>
      </c>
      <c r="R448" s="4"/>
      <c r="S448" s="4">
        <v>0</v>
      </c>
      <c r="T448">
        <v>0</v>
      </c>
      <c r="U448">
        <v>2414.61</v>
      </c>
      <c r="V448">
        <v>900</v>
      </c>
      <c r="W448" t="s">
        <v>701</v>
      </c>
      <c r="X448" t="s">
        <v>408</v>
      </c>
      <c r="AC448" t="s">
        <v>37</v>
      </c>
      <c r="AD448" t="s">
        <v>38</v>
      </c>
      <c r="AE448" s="4">
        <f t="shared" si="28"/>
        <v>900</v>
      </c>
      <c r="AF448">
        <f t="shared" si="25"/>
        <v>2414.61</v>
      </c>
      <c r="AG448" s="4">
        <f t="shared" si="26"/>
        <v>3314.61</v>
      </c>
      <c r="AI448" t="s">
        <v>47</v>
      </c>
    </row>
    <row r="449" spans="1:35" x14ac:dyDescent="0.3">
      <c r="A449" t="s">
        <v>162</v>
      </c>
      <c r="B449" t="s">
        <v>162</v>
      </c>
      <c r="C449" t="s">
        <v>30</v>
      </c>
      <c r="D449" t="s">
        <v>162</v>
      </c>
      <c r="F449" s="6" t="s">
        <v>728</v>
      </c>
      <c r="J449" s="6" t="s">
        <v>52</v>
      </c>
      <c r="K449" s="6" t="s">
        <v>34</v>
      </c>
      <c r="M449" s="4">
        <f t="shared" si="29"/>
        <v>0</v>
      </c>
      <c r="N449">
        <v>0</v>
      </c>
      <c r="O449" s="4">
        <v>0</v>
      </c>
      <c r="P449" s="4">
        <v>0</v>
      </c>
      <c r="Q449" s="4">
        <v>0</v>
      </c>
      <c r="R449" s="4"/>
      <c r="S449" s="4">
        <v>0</v>
      </c>
      <c r="T449">
        <v>0</v>
      </c>
      <c r="U449">
        <v>3386</v>
      </c>
      <c r="V449">
        <v>1200</v>
      </c>
      <c r="W449" t="s">
        <v>726</v>
      </c>
      <c r="X449" t="s">
        <v>733</v>
      </c>
      <c r="AE449" s="4">
        <f t="shared" si="28"/>
        <v>1200</v>
      </c>
      <c r="AF449">
        <f t="shared" si="25"/>
        <v>3386</v>
      </c>
      <c r="AG449" s="4">
        <f t="shared" si="26"/>
        <v>4586</v>
      </c>
      <c r="AI449" t="s">
        <v>47</v>
      </c>
    </row>
    <row r="450" spans="1:35" x14ac:dyDescent="0.3">
      <c r="A450" t="s">
        <v>162</v>
      </c>
      <c r="B450" t="s">
        <v>162</v>
      </c>
      <c r="C450" t="s">
        <v>30</v>
      </c>
      <c r="D450" t="s">
        <v>162</v>
      </c>
      <c r="F450" s="6" t="s">
        <v>504</v>
      </c>
      <c r="J450" s="6" t="s">
        <v>52</v>
      </c>
      <c r="K450" s="6" t="s">
        <v>34</v>
      </c>
      <c r="M450" s="4">
        <f t="shared" si="29"/>
        <v>0</v>
      </c>
      <c r="N450">
        <v>0</v>
      </c>
      <c r="O450" s="4">
        <v>0</v>
      </c>
      <c r="P450" s="4">
        <v>0</v>
      </c>
      <c r="Q450" s="4">
        <v>0</v>
      </c>
      <c r="R450" s="4"/>
      <c r="S450" s="4">
        <v>0</v>
      </c>
      <c r="T450">
        <v>0</v>
      </c>
      <c r="U450">
        <v>2400</v>
      </c>
      <c r="V450">
        <v>1500</v>
      </c>
      <c r="W450" t="s">
        <v>701</v>
      </c>
      <c r="X450" t="s">
        <v>505</v>
      </c>
      <c r="AC450" t="s">
        <v>37</v>
      </c>
      <c r="AD450" t="s">
        <v>38</v>
      </c>
      <c r="AE450" s="4">
        <f t="shared" si="28"/>
        <v>1500</v>
      </c>
      <c r="AF450">
        <f t="shared" si="25"/>
        <v>2400</v>
      </c>
      <c r="AG450" s="4">
        <f t="shared" si="26"/>
        <v>3900</v>
      </c>
      <c r="AI450" t="s">
        <v>47</v>
      </c>
    </row>
    <row r="451" spans="1:35" x14ac:dyDescent="0.3">
      <c r="A451" t="s">
        <v>162</v>
      </c>
      <c r="B451" t="s">
        <v>162</v>
      </c>
      <c r="C451" t="s">
        <v>30</v>
      </c>
      <c r="D451" t="s">
        <v>162</v>
      </c>
      <c r="F451" s="6" t="s">
        <v>540</v>
      </c>
      <c r="J451" s="6" t="s">
        <v>52</v>
      </c>
      <c r="K451" s="6" t="s">
        <v>34</v>
      </c>
      <c r="M451" s="4">
        <f t="shared" si="29"/>
        <v>0</v>
      </c>
      <c r="N451">
        <v>0</v>
      </c>
      <c r="O451" s="4">
        <v>0</v>
      </c>
      <c r="P451" s="4">
        <v>0</v>
      </c>
      <c r="Q451" s="4">
        <v>0</v>
      </c>
      <c r="R451" s="4"/>
      <c r="S451" s="4">
        <v>0</v>
      </c>
      <c r="T451">
        <v>0</v>
      </c>
      <c r="U451">
        <v>3233</v>
      </c>
      <c r="V451">
        <v>1200</v>
      </c>
      <c r="W451" t="s">
        <v>729</v>
      </c>
      <c r="X451" t="s">
        <v>541</v>
      </c>
      <c r="AC451" t="s">
        <v>37</v>
      </c>
      <c r="AD451" t="s">
        <v>38</v>
      </c>
      <c r="AE451" s="4">
        <f t="shared" si="28"/>
        <v>1200</v>
      </c>
      <c r="AF451">
        <f t="shared" ref="AF451:AF461" si="30">U451+Y451</f>
        <v>3233</v>
      </c>
      <c r="AG451" s="4">
        <f t="shared" ref="AG451:AG461" si="31">AF451+AE451</f>
        <v>4433</v>
      </c>
      <c r="AI451" t="s">
        <v>47</v>
      </c>
    </row>
    <row r="452" spans="1:35" x14ac:dyDescent="0.3">
      <c r="A452" t="s">
        <v>162</v>
      </c>
      <c r="B452" t="s">
        <v>162</v>
      </c>
      <c r="C452" t="s">
        <v>30</v>
      </c>
      <c r="D452" t="s">
        <v>162</v>
      </c>
      <c r="F452" s="6" t="s">
        <v>572</v>
      </c>
      <c r="J452" s="6" t="s">
        <v>52</v>
      </c>
      <c r="K452" s="6" t="s">
        <v>34</v>
      </c>
      <c r="M452" s="4">
        <f t="shared" ref="M452:M474" si="32">N452+O452+P452+Q452-S452</f>
        <v>0</v>
      </c>
      <c r="N452">
        <v>0</v>
      </c>
      <c r="O452" s="4">
        <v>0</v>
      </c>
      <c r="P452" s="4">
        <v>0</v>
      </c>
      <c r="Q452" s="4">
        <v>0</v>
      </c>
      <c r="R452" s="4"/>
      <c r="S452" s="4">
        <v>0</v>
      </c>
      <c r="T452">
        <v>0</v>
      </c>
      <c r="U452">
        <v>2300</v>
      </c>
      <c r="V452">
        <v>1000</v>
      </c>
      <c r="W452" t="s">
        <v>701</v>
      </c>
      <c r="X452" t="s">
        <v>730</v>
      </c>
      <c r="AC452" t="s">
        <v>37</v>
      </c>
      <c r="AD452" t="s">
        <v>38</v>
      </c>
      <c r="AE452" s="4">
        <f t="shared" ref="AE452:AE461" si="33">M452+T452+V452</f>
        <v>1000</v>
      </c>
      <c r="AF452">
        <f t="shared" si="30"/>
        <v>2300</v>
      </c>
      <c r="AG452" s="4">
        <f t="shared" si="31"/>
        <v>3300</v>
      </c>
      <c r="AI452" t="s">
        <v>47</v>
      </c>
    </row>
    <row r="453" spans="1:35" x14ac:dyDescent="0.3">
      <c r="A453" t="s">
        <v>255</v>
      </c>
      <c r="B453" t="s">
        <v>255</v>
      </c>
      <c r="C453" t="s">
        <v>30</v>
      </c>
      <c r="F453" s="6" t="s">
        <v>256</v>
      </c>
      <c r="G453" s="6" t="s">
        <v>255</v>
      </c>
      <c r="H453" s="6" t="s">
        <v>257</v>
      </c>
      <c r="J453" s="6" t="s">
        <v>52</v>
      </c>
      <c r="K453" s="6" t="s">
        <v>34</v>
      </c>
      <c r="L453" s="6" t="s">
        <v>35</v>
      </c>
      <c r="M453" s="4">
        <f t="shared" ref="M453:M455" si="34">N453+O453+P453+Q453-S453+R453</f>
        <v>0</v>
      </c>
      <c r="N453">
        <v>0</v>
      </c>
      <c r="O453" s="4">
        <v>0</v>
      </c>
      <c r="P453" s="4">
        <v>0</v>
      </c>
      <c r="Q453" s="4">
        <v>0</v>
      </c>
      <c r="R453" s="4">
        <v>0</v>
      </c>
      <c r="S453" s="4">
        <v>0</v>
      </c>
      <c r="T453">
        <v>0</v>
      </c>
      <c r="U453">
        <v>0</v>
      </c>
      <c r="W453">
        <v>0</v>
      </c>
      <c r="X453">
        <v>0</v>
      </c>
      <c r="AE453" s="4">
        <f t="shared" si="33"/>
        <v>0</v>
      </c>
      <c r="AF453">
        <f t="shared" si="30"/>
        <v>0</v>
      </c>
      <c r="AG453" s="4">
        <f t="shared" si="31"/>
        <v>0</v>
      </c>
      <c r="AI453" t="s">
        <v>39</v>
      </c>
    </row>
    <row r="454" spans="1:35" x14ac:dyDescent="0.3">
      <c r="A454" t="s">
        <v>255</v>
      </c>
      <c r="B454" t="s">
        <v>255</v>
      </c>
      <c r="C454" t="s">
        <v>30</v>
      </c>
      <c r="F454" s="6" t="s">
        <v>487</v>
      </c>
      <c r="G454" s="6" t="s">
        <v>255</v>
      </c>
      <c r="H454" s="6" t="s">
        <v>257</v>
      </c>
      <c r="J454" s="6" t="s">
        <v>52</v>
      </c>
      <c r="K454" s="6" t="s">
        <v>34</v>
      </c>
      <c r="L454" s="6" t="s">
        <v>35</v>
      </c>
      <c r="M454" s="4">
        <f t="shared" si="34"/>
        <v>0</v>
      </c>
      <c r="N454">
        <v>0</v>
      </c>
      <c r="O454" s="4">
        <v>0</v>
      </c>
      <c r="P454" s="4">
        <v>0</v>
      </c>
      <c r="Q454" s="4">
        <v>0</v>
      </c>
      <c r="R454" s="4">
        <v>0</v>
      </c>
      <c r="S454" s="4">
        <v>0</v>
      </c>
      <c r="T454">
        <v>0</v>
      </c>
      <c r="U454">
        <v>0</v>
      </c>
      <c r="W454">
        <v>0</v>
      </c>
      <c r="X454">
        <v>0</v>
      </c>
      <c r="AE454" s="4">
        <f t="shared" si="33"/>
        <v>0</v>
      </c>
      <c r="AF454">
        <f t="shared" si="30"/>
        <v>0</v>
      </c>
      <c r="AG454" s="4">
        <f t="shared" si="31"/>
        <v>0</v>
      </c>
      <c r="AI454" t="s">
        <v>39</v>
      </c>
    </row>
    <row r="455" spans="1:35" x14ac:dyDescent="0.3">
      <c r="A455" t="s">
        <v>255</v>
      </c>
      <c r="B455" t="s">
        <v>255</v>
      </c>
      <c r="C455" t="s">
        <v>30</v>
      </c>
      <c r="F455" s="6" t="s">
        <v>500</v>
      </c>
      <c r="G455" s="6" t="s">
        <v>255</v>
      </c>
      <c r="H455" s="6" t="s">
        <v>257</v>
      </c>
      <c r="J455" s="6" t="s">
        <v>52</v>
      </c>
      <c r="K455" s="6" t="s">
        <v>34</v>
      </c>
      <c r="L455" s="6" t="s">
        <v>35</v>
      </c>
      <c r="M455" s="4">
        <f t="shared" si="34"/>
        <v>0</v>
      </c>
      <c r="N455">
        <v>0</v>
      </c>
      <c r="O455" s="4">
        <v>0</v>
      </c>
      <c r="P455" s="4">
        <v>0</v>
      </c>
      <c r="Q455" s="4">
        <v>0</v>
      </c>
      <c r="R455" s="4">
        <v>0</v>
      </c>
      <c r="S455" s="4">
        <v>0</v>
      </c>
      <c r="T455">
        <v>0</v>
      </c>
      <c r="U455">
        <v>0</v>
      </c>
      <c r="W455">
        <v>0</v>
      </c>
      <c r="X455">
        <v>0</v>
      </c>
      <c r="AE455" s="4">
        <f t="shared" si="33"/>
        <v>0</v>
      </c>
      <c r="AF455">
        <f t="shared" si="30"/>
        <v>0</v>
      </c>
      <c r="AG455" s="4">
        <f t="shared" si="31"/>
        <v>0</v>
      </c>
      <c r="AI455" t="s">
        <v>39</v>
      </c>
    </row>
    <row r="456" spans="1:35" x14ac:dyDescent="0.3">
      <c r="F456" s="6" t="s">
        <v>517</v>
      </c>
      <c r="G456" s="6" t="s">
        <v>518</v>
      </c>
      <c r="H456" s="6" t="s">
        <v>516</v>
      </c>
      <c r="I456" t="s">
        <v>519</v>
      </c>
      <c r="J456" s="6" t="s">
        <v>33</v>
      </c>
      <c r="K456" s="6" t="s">
        <v>34</v>
      </c>
      <c r="L456" s="6" t="s">
        <v>76</v>
      </c>
      <c r="M456" s="4">
        <f t="shared" si="32"/>
        <v>0</v>
      </c>
      <c r="O456" s="4">
        <v>0</v>
      </c>
      <c r="P456" s="4">
        <v>0</v>
      </c>
      <c r="Q456" s="4">
        <v>0</v>
      </c>
      <c r="R456" s="4"/>
      <c r="S456" s="4">
        <v>0</v>
      </c>
      <c r="T456">
        <v>0</v>
      </c>
      <c r="U456">
        <v>0</v>
      </c>
      <c r="W456">
        <v>0</v>
      </c>
      <c r="X456">
        <v>0</v>
      </c>
      <c r="AC456" t="s">
        <v>37</v>
      </c>
      <c r="AD456" t="s">
        <v>38</v>
      </c>
      <c r="AE456" s="4">
        <f t="shared" si="33"/>
        <v>0</v>
      </c>
      <c r="AF456">
        <f t="shared" si="30"/>
        <v>0</v>
      </c>
      <c r="AG456" s="4">
        <f t="shared" si="31"/>
        <v>0</v>
      </c>
      <c r="AI456" t="s">
        <v>39</v>
      </c>
    </row>
    <row r="457" spans="1:35" x14ac:dyDescent="0.3">
      <c r="A457" t="s">
        <v>43</v>
      </c>
      <c r="B457" t="s">
        <v>741</v>
      </c>
      <c r="C457" t="s">
        <v>44</v>
      </c>
      <c r="F457" s="6" t="s">
        <v>524</v>
      </c>
      <c r="G457" s="6" t="s">
        <v>525</v>
      </c>
      <c r="H457" s="6" t="s">
        <v>499</v>
      </c>
      <c r="J457" s="6" t="s">
        <v>52</v>
      </c>
      <c r="K457" s="6" t="s">
        <v>34</v>
      </c>
      <c r="L457" s="6" t="s">
        <v>76</v>
      </c>
      <c r="M457" s="4">
        <f t="shared" si="32"/>
        <v>0</v>
      </c>
      <c r="N457">
        <v>0</v>
      </c>
      <c r="O457" s="4">
        <v>0</v>
      </c>
      <c r="P457" s="4">
        <v>0</v>
      </c>
      <c r="Q457" s="4">
        <v>0</v>
      </c>
      <c r="R457" s="4"/>
      <c r="S457" s="4">
        <v>0</v>
      </c>
      <c r="T457">
        <v>0</v>
      </c>
      <c r="U457">
        <v>0</v>
      </c>
      <c r="W457">
        <v>0</v>
      </c>
      <c r="X457">
        <v>0</v>
      </c>
      <c r="AE457" s="4">
        <f t="shared" si="33"/>
        <v>0</v>
      </c>
      <c r="AF457">
        <f t="shared" si="30"/>
        <v>0</v>
      </c>
      <c r="AG457" s="4">
        <f t="shared" si="31"/>
        <v>0</v>
      </c>
      <c r="AI457" t="s">
        <v>39</v>
      </c>
    </row>
    <row r="458" spans="1:35" x14ac:dyDescent="0.3">
      <c r="A458" t="s">
        <v>43</v>
      </c>
      <c r="B458" t="s">
        <v>740</v>
      </c>
      <c r="C458" t="s">
        <v>44</v>
      </c>
      <c r="G458" s="6" t="s">
        <v>104</v>
      </c>
      <c r="J458" s="6" t="s">
        <v>52</v>
      </c>
      <c r="K458" s="6" t="s">
        <v>34</v>
      </c>
      <c r="M458" s="4">
        <f t="shared" si="32"/>
        <v>0</v>
      </c>
      <c r="N458">
        <v>0</v>
      </c>
      <c r="O458" s="4">
        <v>0</v>
      </c>
      <c r="P458" s="4">
        <v>0</v>
      </c>
      <c r="Q458" s="4">
        <v>0</v>
      </c>
      <c r="R458" s="4"/>
      <c r="S458" s="4">
        <v>0</v>
      </c>
      <c r="T458">
        <v>0</v>
      </c>
      <c r="U458">
        <v>0</v>
      </c>
      <c r="W458">
        <v>0</v>
      </c>
      <c r="X458">
        <v>0</v>
      </c>
      <c r="Y458" s="6">
        <v>36000</v>
      </c>
      <c r="AE458" s="4">
        <f t="shared" si="33"/>
        <v>0</v>
      </c>
      <c r="AF458">
        <f t="shared" si="30"/>
        <v>36000</v>
      </c>
      <c r="AG458" s="4">
        <f t="shared" si="31"/>
        <v>36000</v>
      </c>
    </row>
    <row r="459" spans="1:35" x14ac:dyDescent="0.3">
      <c r="A459" t="s">
        <v>43</v>
      </c>
      <c r="B459" t="s">
        <v>740</v>
      </c>
      <c r="C459" t="s">
        <v>44</v>
      </c>
      <c r="G459" s="6" t="s">
        <v>737</v>
      </c>
      <c r="J459" s="6" t="s">
        <v>52</v>
      </c>
      <c r="K459" s="6" t="s">
        <v>34</v>
      </c>
      <c r="M459" s="4">
        <f t="shared" si="32"/>
        <v>0</v>
      </c>
      <c r="N459">
        <v>0</v>
      </c>
      <c r="O459" s="4">
        <v>0</v>
      </c>
      <c r="P459" s="4">
        <v>0</v>
      </c>
      <c r="Q459" s="4">
        <v>0</v>
      </c>
      <c r="R459" s="4"/>
      <c r="S459" s="4">
        <v>0</v>
      </c>
      <c r="T459">
        <v>0</v>
      </c>
      <c r="U459">
        <v>0</v>
      </c>
      <c r="W459">
        <v>0</v>
      </c>
      <c r="X459">
        <v>0</v>
      </c>
      <c r="Y459" s="6">
        <v>13000</v>
      </c>
      <c r="AE459" s="4">
        <f t="shared" si="33"/>
        <v>0</v>
      </c>
      <c r="AF459">
        <f t="shared" si="30"/>
        <v>13000</v>
      </c>
      <c r="AG459" s="4">
        <f t="shared" si="31"/>
        <v>13000</v>
      </c>
    </row>
    <row r="460" spans="1:35" x14ac:dyDescent="0.3">
      <c r="A460" t="s">
        <v>43</v>
      </c>
      <c r="B460" t="s">
        <v>740</v>
      </c>
      <c r="C460" t="s">
        <v>44</v>
      </c>
      <c r="G460" s="6" t="s">
        <v>737</v>
      </c>
      <c r="J460" s="6" t="s">
        <v>52</v>
      </c>
      <c r="K460" s="6" t="s">
        <v>34</v>
      </c>
      <c r="M460" s="4">
        <f t="shared" si="32"/>
        <v>0</v>
      </c>
      <c r="N460">
        <v>0</v>
      </c>
      <c r="O460" s="4">
        <v>0</v>
      </c>
      <c r="P460" s="4">
        <v>0</v>
      </c>
      <c r="Q460" s="4">
        <v>0</v>
      </c>
      <c r="R460" s="4"/>
      <c r="S460" s="4">
        <v>0</v>
      </c>
      <c r="T460">
        <v>0</v>
      </c>
      <c r="U460">
        <v>0</v>
      </c>
      <c r="W460">
        <v>0</v>
      </c>
      <c r="X460">
        <v>0</v>
      </c>
      <c r="Y460" s="6">
        <v>12000</v>
      </c>
      <c r="AE460" s="4">
        <f t="shared" si="33"/>
        <v>0</v>
      </c>
      <c r="AF460">
        <f t="shared" si="30"/>
        <v>12000</v>
      </c>
      <c r="AG460" s="4">
        <f t="shared" si="31"/>
        <v>12000</v>
      </c>
    </row>
    <row r="461" spans="1:35" x14ac:dyDescent="0.3">
      <c r="A461" t="s">
        <v>43</v>
      </c>
      <c r="B461" t="s">
        <v>740</v>
      </c>
      <c r="C461" t="s">
        <v>44</v>
      </c>
      <c r="G461" s="6" t="s">
        <v>737</v>
      </c>
      <c r="J461" s="6" t="s">
        <v>52</v>
      </c>
      <c r="K461" s="6" t="s">
        <v>34</v>
      </c>
      <c r="M461" s="4">
        <f t="shared" si="32"/>
        <v>0</v>
      </c>
      <c r="N461">
        <v>0</v>
      </c>
      <c r="O461" s="4">
        <v>0</v>
      </c>
      <c r="P461" s="4">
        <v>0</v>
      </c>
      <c r="Q461" s="4">
        <v>0</v>
      </c>
      <c r="R461" s="4"/>
      <c r="S461" s="4">
        <v>0</v>
      </c>
      <c r="T461">
        <v>0</v>
      </c>
      <c r="U461">
        <v>0</v>
      </c>
      <c r="W461">
        <v>0</v>
      </c>
      <c r="X461">
        <v>0</v>
      </c>
      <c r="Y461" s="6">
        <v>13000</v>
      </c>
      <c r="AE461" s="4">
        <f t="shared" si="33"/>
        <v>0</v>
      </c>
      <c r="AF461">
        <f t="shared" si="30"/>
        <v>13000</v>
      </c>
      <c r="AG461" s="4">
        <f t="shared" si="31"/>
        <v>13000</v>
      </c>
    </row>
    <row r="462" spans="1:35" x14ac:dyDescent="0.3">
      <c r="A462" t="s">
        <v>43</v>
      </c>
      <c r="B462" t="s">
        <v>740</v>
      </c>
      <c r="C462" t="s">
        <v>44</v>
      </c>
      <c r="G462" s="6" t="s">
        <v>737</v>
      </c>
      <c r="J462" s="6" t="s">
        <v>52</v>
      </c>
      <c r="K462" s="6" t="s">
        <v>34</v>
      </c>
      <c r="M462" s="4">
        <f t="shared" si="32"/>
        <v>0</v>
      </c>
      <c r="N462">
        <v>0</v>
      </c>
      <c r="O462" s="4">
        <v>0</v>
      </c>
      <c r="P462" s="4">
        <v>0</v>
      </c>
      <c r="Q462" s="4">
        <v>0</v>
      </c>
      <c r="R462" s="4"/>
      <c r="S462" s="4">
        <v>0</v>
      </c>
      <c r="T462">
        <v>0</v>
      </c>
      <c r="U462">
        <v>0</v>
      </c>
      <c r="W462">
        <v>0</v>
      </c>
      <c r="X462">
        <v>0</v>
      </c>
      <c r="Y462" s="6">
        <v>13000</v>
      </c>
      <c r="AE462" s="4">
        <f t="shared" ref="AE462:AE474" si="35">M462+T462+V462</f>
        <v>0</v>
      </c>
      <c r="AF462">
        <f t="shared" ref="AF462:AF474" si="36">U462+Y462</f>
        <v>13000</v>
      </c>
      <c r="AG462" s="4">
        <f t="shared" ref="AG462:AG474" si="37">AF462+AE462</f>
        <v>13000</v>
      </c>
    </row>
    <row r="463" spans="1:35" x14ac:dyDescent="0.3">
      <c r="A463" t="s">
        <v>43</v>
      </c>
      <c r="B463" t="s">
        <v>740</v>
      </c>
      <c r="C463" t="s">
        <v>44</v>
      </c>
      <c r="G463" s="6" t="s">
        <v>106</v>
      </c>
      <c r="J463" s="6" t="s">
        <v>52</v>
      </c>
      <c r="K463" s="6" t="s">
        <v>34</v>
      </c>
      <c r="M463" s="4">
        <f t="shared" si="32"/>
        <v>0</v>
      </c>
      <c r="N463">
        <v>0</v>
      </c>
      <c r="O463" s="4">
        <v>0</v>
      </c>
      <c r="P463" s="4">
        <v>0</v>
      </c>
      <c r="Q463" s="4">
        <v>0</v>
      </c>
      <c r="R463" s="4"/>
      <c r="S463" s="4">
        <v>0</v>
      </c>
      <c r="T463">
        <v>0</v>
      </c>
      <c r="U463">
        <v>0</v>
      </c>
      <c r="W463">
        <v>0</v>
      </c>
      <c r="X463">
        <v>0</v>
      </c>
      <c r="Y463" s="6">
        <v>15000</v>
      </c>
      <c r="AC463" t="s">
        <v>53</v>
      </c>
      <c r="AD463" t="s">
        <v>38</v>
      </c>
      <c r="AE463" s="4">
        <f t="shared" si="35"/>
        <v>0</v>
      </c>
      <c r="AF463">
        <f t="shared" si="36"/>
        <v>15000</v>
      </c>
      <c r="AG463" s="4">
        <f t="shared" si="37"/>
        <v>15000</v>
      </c>
    </row>
    <row r="464" spans="1:35" x14ac:dyDescent="0.3">
      <c r="A464" t="s">
        <v>43</v>
      </c>
      <c r="B464" t="s">
        <v>740</v>
      </c>
      <c r="C464" t="s">
        <v>44</v>
      </c>
      <c r="G464" s="6" t="s">
        <v>106</v>
      </c>
      <c r="J464" s="6" t="s">
        <v>52</v>
      </c>
      <c r="K464" s="6" t="s">
        <v>34</v>
      </c>
      <c r="M464" s="4">
        <f t="shared" si="32"/>
        <v>0</v>
      </c>
      <c r="N464">
        <v>0</v>
      </c>
      <c r="O464" s="4">
        <v>0</v>
      </c>
      <c r="P464" s="4">
        <v>0</v>
      </c>
      <c r="Q464" s="4">
        <v>0</v>
      </c>
      <c r="R464" s="4"/>
      <c r="S464" s="4">
        <v>0</v>
      </c>
      <c r="T464">
        <v>0</v>
      </c>
      <c r="U464">
        <v>0</v>
      </c>
      <c r="W464">
        <v>0</v>
      </c>
      <c r="X464">
        <v>0</v>
      </c>
      <c r="Y464" s="6">
        <v>15000</v>
      </c>
      <c r="AC464" t="s">
        <v>53</v>
      </c>
      <c r="AD464" t="s">
        <v>38</v>
      </c>
      <c r="AE464" s="4">
        <f t="shared" si="35"/>
        <v>0</v>
      </c>
      <c r="AF464">
        <f t="shared" si="36"/>
        <v>15000</v>
      </c>
      <c r="AG464" s="4">
        <f t="shared" si="37"/>
        <v>15000</v>
      </c>
    </row>
    <row r="465" spans="1:33" x14ac:dyDescent="0.3">
      <c r="A465" t="s">
        <v>43</v>
      </c>
      <c r="B465" t="s">
        <v>740</v>
      </c>
      <c r="C465" t="s">
        <v>44</v>
      </c>
      <c r="G465" s="6" t="s">
        <v>106</v>
      </c>
      <c r="J465" s="6" t="s">
        <v>52</v>
      </c>
      <c r="K465" s="6" t="s">
        <v>34</v>
      </c>
      <c r="M465" s="4">
        <f t="shared" si="32"/>
        <v>0</v>
      </c>
      <c r="N465">
        <v>0</v>
      </c>
      <c r="O465" s="4">
        <v>0</v>
      </c>
      <c r="P465" s="4">
        <v>0</v>
      </c>
      <c r="Q465" s="4">
        <v>0</v>
      </c>
      <c r="R465" s="4"/>
      <c r="S465" s="4">
        <v>0</v>
      </c>
      <c r="T465">
        <v>0</v>
      </c>
      <c r="U465">
        <v>0</v>
      </c>
      <c r="W465">
        <v>0</v>
      </c>
      <c r="X465">
        <v>0</v>
      </c>
      <c r="Y465" s="6">
        <v>15000</v>
      </c>
      <c r="AC465" t="s">
        <v>53</v>
      </c>
      <c r="AD465" t="s">
        <v>38</v>
      </c>
      <c r="AE465" s="4">
        <f t="shared" si="35"/>
        <v>0</v>
      </c>
      <c r="AF465">
        <f t="shared" si="36"/>
        <v>15000</v>
      </c>
      <c r="AG465" s="4">
        <f t="shared" si="37"/>
        <v>15000</v>
      </c>
    </row>
    <row r="466" spans="1:33" x14ac:dyDescent="0.3">
      <c r="A466" t="s">
        <v>43</v>
      </c>
      <c r="B466" t="s">
        <v>740</v>
      </c>
      <c r="C466" t="s">
        <v>44</v>
      </c>
      <c r="G466" s="6" t="s">
        <v>106</v>
      </c>
      <c r="J466" s="6" t="s">
        <v>52</v>
      </c>
      <c r="K466" s="6" t="s">
        <v>34</v>
      </c>
      <c r="M466" s="4">
        <f t="shared" si="32"/>
        <v>0</v>
      </c>
      <c r="N466">
        <v>0</v>
      </c>
      <c r="O466" s="4">
        <v>0</v>
      </c>
      <c r="P466" s="4">
        <v>0</v>
      </c>
      <c r="Q466" s="4">
        <v>0</v>
      </c>
      <c r="R466" s="4"/>
      <c r="S466" s="4">
        <v>0</v>
      </c>
      <c r="T466">
        <v>0</v>
      </c>
      <c r="U466">
        <v>0</v>
      </c>
      <c r="W466">
        <v>0</v>
      </c>
      <c r="X466">
        <v>0</v>
      </c>
      <c r="Y466" s="6">
        <v>14000</v>
      </c>
      <c r="AC466" t="s">
        <v>53</v>
      </c>
      <c r="AD466" t="s">
        <v>38</v>
      </c>
      <c r="AE466" s="4">
        <f t="shared" si="35"/>
        <v>0</v>
      </c>
      <c r="AF466">
        <f t="shared" si="36"/>
        <v>14000</v>
      </c>
      <c r="AG466" s="4">
        <f t="shared" si="37"/>
        <v>14000</v>
      </c>
    </row>
    <row r="467" spans="1:33" x14ac:dyDescent="0.3">
      <c r="A467" t="s">
        <v>43</v>
      </c>
      <c r="B467" t="s">
        <v>740</v>
      </c>
      <c r="C467" t="s">
        <v>44</v>
      </c>
      <c r="G467" s="6" t="s">
        <v>106</v>
      </c>
      <c r="J467" s="6" t="s">
        <v>52</v>
      </c>
      <c r="K467" s="6" t="s">
        <v>34</v>
      </c>
      <c r="M467">
        <v>0</v>
      </c>
      <c r="N467">
        <v>0</v>
      </c>
      <c r="O467" s="4">
        <v>0</v>
      </c>
      <c r="P467" s="4">
        <v>0</v>
      </c>
      <c r="Q467" s="4">
        <v>0</v>
      </c>
      <c r="R467" s="4"/>
      <c r="S467" s="4">
        <v>0</v>
      </c>
      <c r="T467">
        <v>0</v>
      </c>
      <c r="U467">
        <v>0</v>
      </c>
      <c r="W467">
        <v>0</v>
      </c>
      <c r="X467">
        <v>0</v>
      </c>
      <c r="Y467" s="6">
        <v>14000</v>
      </c>
      <c r="AC467" t="s">
        <v>53</v>
      </c>
      <c r="AD467" t="s">
        <v>38</v>
      </c>
      <c r="AE467" s="4">
        <f t="shared" si="35"/>
        <v>0</v>
      </c>
      <c r="AF467">
        <f t="shared" si="36"/>
        <v>14000</v>
      </c>
      <c r="AG467" s="4">
        <f t="shared" si="37"/>
        <v>14000</v>
      </c>
    </row>
    <row r="468" spans="1:33" x14ac:dyDescent="0.3">
      <c r="A468" t="s">
        <v>43</v>
      </c>
      <c r="B468" t="s">
        <v>740</v>
      </c>
      <c r="C468" t="s">
        <v>44</v>
      </c>
      <c r="G468" s="6" t="s">
        <v>106</v>
      </c>
      <c r="J468" s="6" t="s">
        <v>52</v>
      </c>
      <c r="K468" s="6" t="s">
        <v>34</v>
      </c>
      <c r="M468">
        <v>0</v>
      </c>
      <c r="N468">
        <v>0</v>
      </c>
      <c r="O468" s="4">
        <v>0</v>
      </c>
      <c r="P468" s="4">
        <v>0</v>
      </c>
      <c r="Q468" s="4">
        <v>0</v>
      </c>
      <c r="R468" s="4"/>
      <c r="S468" s="4">
        <v>0</v>
      </c>
      <c r="T468">
        <v>0</v>
      </c>
      <c r="U468">
        <v>0</v>
      </c>
      <c r="W468">
        <v>0</v>
      </c>
      <c r="X468">
        <v>0</v>
      </c>
      <c r="Y468" s="6">
        <v>14500</v>
      </c>
      <c r="AC468" t="s">
        <v>53</v>
      </c>
      <c r="AD468" t="s">
        <v>38</v>
      </c>
      <c r="AE468" s="4">
        <f t="shared" si="35"/>
        <v>0</v>
      </c>
      <c r="AF468">
        <f t="shared" si="36"/>
        <v>14500</v>
      </c>
      <c r="AG468" s="4">
        <f t="shared" si="37"/>
        <v>14500</v>
      </c>
    </row>
    <row r="469" spans="1:33" x14ac:dyDescent="0.3">
      <c r="A469" t="s">
        <v>43</v>
      </c>
      <c r="B469" t="s">
        <v>740</v>
      </c>
      <c r="C469" t="s">
        <v>44</v>
      </c>
      <c r="G469" s="6" t="s">
        <v>106</v>
      </c>
      <c r="J469" s="6" t="s">
        <v>52</v>
      </c>
      <c r="K469" s="6" t="s">
        <v>34</v>
      </c>
      <c r="M469">
        <v>0</v>
      </c>
      <c r="N469">
        <v>0</v>
      </c>
      <c r="O469" s="4">
        <v>0</v>
      </c>
      <c r="P469" s="4">
        <v>0</v>
      </c>
      <c r="Q469" s="4">
        <v>0</v>
      </c>
      <c r="R469" s="4"/>
      <c r="S469" s="4">
        <v>0</v>
      </c>
      <c r="T469">
        <v>0</v>
      </c>
      <c r="U469">
        <v>0</v>
      </c>
      <c r="W469">
        <v>0</v>
      </c>
      <c r="X469">
        <v>0</v>
      </c>
      <c r="Y469" s="6">
        <v>15000</v>
      </c>
      <c r="AC469" t="s">
        <v>53</v>
      </c>
      <c r="AD469" t="s">
        <v>38</v>
      </c>
      <c r="AE469" s="4">
        <f t="shared" si="35"/>
        <v>0</v>
      </c>
      <c r="AF469">
        <f t="shared" si="36"/>
        <v>15000</v>
      </c>
      <c r="AG469" s="4">
        <f t="shared" si="37"/>
        <v>15000</v>
      </c>
    </row>
    <row r="470" spans="1:33" x14ac:dyDescent="0.3">
      <c r="A470" t="s">
        <v>43</v>
      </c>
      <c r="B470" t="s">
        <v>740</v>
      </c>
      <c r="C470" t="s">
        <v>44</v>
      </c>
      <c r="G470" s="6" t="s">
        <v>106</v>
      </c>
      <c r="J470" s="6" t="s">
        <v>52</v>
      </c>
      <c r="K470" s="6" t="s">
        <v>34</v>
      </c>
      <c r="M470">
        <v>0</v>
      </c>
      <c r="N470">
        <v>0</v>
      </c>
      <c r="O470" s="4">
        <v>0</v>
      </c>
      <c r="P470" s="4">
        <v>0</v>
      </c>
      <c r="Q470" s="4">
        <v>0</v>
      </c>
      <c r="R470" s="4"/>
      <c r="S470" s="4">
        <v>0</v>
      </c>
      <c r="T470">
        <v>0</v>
      </c>
      <c r="U470">
        <v>0</v>
      </c>
      <c r="W470">
        <v>0</v>
      </c>
      <c r="X470">
        <v>0</v>
      </c>
      <c r="Y470" s="6">
        <v>15000</v>
      </c>
      <c r="AC470" t="s">
        <v>53</v>
      </c>
      <c r="AD470" t="s">
        <v>38</v>
      </c>
      <c r="AE470" s="4">
        <f t="shared" si="35"/>
        <v>0</v>
      </c>
      <c r="AF470">
        <f t="shared" si="36"/>
        <v>15000</v>
      </c>
      <c r="AG470" s="4">
        <f t="shared" si="37"/>
        <v>15000</v>
      </c>
    </row>
    <row r="471" spans="1:33" x14ac:dyDescent="0.3">
      <c r="A471" t="s">
        <v>43</v>
      </c>
      <c r="B471" t="s">
        <v>740</v>
      </c>
      <c r="C471" t="s">
        <v>44</v>
      </c>
      <c r="G471" s="6" t="s">
        <v>111</v>
      </c>
      <c r="J471" s="6" t="s">
        <v>52</v>
      </c>
      <c r="K471" s="6" t="s">
        <v>34</v>
      </c>
      <c r="M471" s="4">
        <f t="shared" si="32"/>
        <v>0</v>
      </c>
      <c r="N471">
        <v>0</v>
      </c>
      <c r="O471" s="4">
        <v>0</v>
      </c>
      <c r="P471" s="4">
        <v>0</v>
      </c>
      <c r="Q471" s="4">
        <v>0</v>
      </c>
      <c r="R471" s="4"/>
      <c r="S471" s="4">
        <v>0</v>
      </c>
      <c r="T471">
        <v>0</v>
      </c>
      <c r="U471">
        <v>0</v>
      </c>
      <c r="W471">
        <v>0</v>
      </c>
      <c r="X471">
        <v>0</v>
      </c>
      <c r="Y471" s="6">
        <v>13000</v>
      </c>
      <c r="AC471" t="s">
        <v>113</v>
      </c>
      <c r="AD471" t="s">
        <v>38</v>
      </c>
      <c r="AE471" s="4">
        <f t="shared" si="35"/>
        <v>0</v>
      </c>
      <c r="AF471">
        <f t="shared" si="36"/>
        <v>13000</v>
      </c>
      <c r="AG471" s="4">
        <f t="shared" si="37"/>
        <v>13000</v>
      </c>
    </row>
    <row r="472" spans="1:33" x14ac:dyDescent="0.3">
      <c r="A472" t="s">
        <v>43</v>
      </c>
      <c r="B472" t="s">
        <v>740</v>
      </c>
      <c r="C472" t="s">
        <v>44</v>
      </c>
      <c r="G472" s="6" t="s">
        <v>111</v>
      </c>
      <c r="J472" s="6" t="s">
        <v>52</v>
      </c>
      <c r="K472" s="6" t="s">
        <v>34</v>
      </c>
      <c r="M472" s="4">
        <f t="shared" si="32"/>
        <v>0</v>
      </c>
      <c r="N472">
        <v>0</v>
      </c>
      <c r="O472" s="4">
        <v>0</v>
      </c>
      <c r="P472" s="4">
        <v>0</v>
      </c>
      <c r="Q472" s="4">
        <v>0</v>
      </c>
      <c r="R472" s="4"/>
      <c r="S472" s="4">
        <v>0</v>
      </c>
      <c r="T472">
        <v>0</v>
      </c>
      <c r="U472">
        <v>0</v>
      </c>
      <c r="W472">
        <v>0</v>
      </c>
      <c r="X472">
        <v>0</v>
      </c>
      <c r="Y472" s="6">
        <v>36000</v>
      </c>
      <c r="AC472" t="s">
        <v>113</v>
      </c>
      <c r="AD472" t="s">
        <v>38</v>
      </c>
      <c r="AE472" s="4">
        <f t="shared" si="35"/>
        <v>0</v>
      </c>
      <c r="AF472">
        <f t="shared" si="36"/>
        <v>36000</v>
      </c>
      <c r="AG472" s="4">
        <f t="shared" si="37"/>
        <v>36000</v>
      </c>
    </row>
    <row r="473" spans="1:33" x14ac:dyDescent="0.3">
      <c r="A473" t="s">
        <v>43</v>
      </c>
      <c r="B473" t="s">
        <v>740</v>
      </c>
      <c r="C473" t="s">
        <v>44</v>
      </c>
      <c r="G473" s="6" t="s">
        <v>111</v>
      </c>
      <c r="J473" s="6" t="s">
        <v>52</v>
      </c>
      <c r="K473" s="6" t="s">
        <v>34</v>
      </c>
      <c r="M473" s="4">
        <f t="shared" si="32"/>
        <v>0</v>
      </c>
      <c r="N473">
        <v>0</v>
      </c>
      <c r="O473" s="4">
        <v>0</v>
      </c>
      <c r="P473" s="4">
        <v>0</v>
      </c>
      <c r="Q473" s="4">
        <v>0</v>
      </c>
      <c r="R473" s="4"/>
      <c r="S473" s="4">
        <v>0</v>
      </c>
      <c r="T473">
        <v>0</v>
      </c>
      <c r="U473">
        <v>0</v>
      </c>
      <c r="W473">
        <v>0</v>
      </c>
      <c r="X473">
        <v>0</v>
      </c>
      <c r="Y473" s="6">
        <v>13000</v>
      </c>
      <c r="AC473" t="s">
        <v>113</v>
      </c>
      <c r="AD473" t="s">
        <v>38</v>
      </c>
      <c r="AE473" s="4">
        <f t="shared" si="35"/>
        <v>0</v>
      </c>
      <c r="AF473">
        <f t="shared" si="36"/>
        <v>13000</v>
      </c>
      <c r="AG473" s="4">
        <f t="shared" si="37"/>
        <v>13000</v>
      </c>
    </row>
    <row r="474" spans="1:33" x14ac:dyDescent="0.3">
      <c r="A474" t="s">
        <v>43</v>
      </c>
      <c r="B474" t="s">
        <v>740</v>
      </c>
      <c r="C474" t="s">
        <v>44</v>
      </c>
      <c r="G474" s="6" t="s">
        <v>111</v>
      </c>
      <c r="J474" s="6" t="s">
        <v>52</v>
      </c>
      <c r="K474" s="6" t="s">
        <v>34</v>
      </c>
      <c r="M474" s="4">
        <f t="shared" si="32"/>
        <v>0</v>
      </c>
      <c r="N474">
        <v>0</v>
      </c>
      <c r="O474" s="4">
        <v>0</v>
      </c>
      <c r="P474" s="4">
        <v>0</v>
      </c>
      <c r="Q474" s="4">
        <v>0</v>
      </c>
      <c r="R474" s="4"/>
      <c r="S474" s="4">
        <v>0</v>
      </c>
      <c r="T474">
        <v>0</v>
      </c>
      <c r="U474">
        <v>0</v>
      </c>
      <c r="W474">
        <v>0</v>
      </c>
      <c r="X474">
        <v>0</v>
      </c>
      <c r="Y474" s="6">
        <v>10000</v>
      </c>
      <c r="AC474" t="s">
        <v>113</v>
      </c>
      <c r="AD474" t="s">
        <v>38</v>
      </c>
      <c r="AE474" s="4">
        <f t="shared" si="35"/>
        <v>0</v>
      </c>
      <c r="AF474">
        <f t="shared" si="36"/>
        <v>10000</v>
      </c>
      <c r="AG474" s="4">
        <f t="shared" si="37"/>
        <v>10000</v>
      </c>
    </row>
  </sheetData>
  <autoFilter ref="A2:AI474" xr:uid="{00000000-0001-0000-0000-000000000000}"/>
  <conditionalFormatting sqref="E3:E444">
    <cfRule type="duplicateValues" dxfId="0" priority="5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funcionarios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Cleulton Marcio Goncalves Freire</cp:lastModifiedBy>
  <dcterms:created xsi:type="dcterms:W3CDTF">2026-06-05T11:56:33Z</dcterms:created>
  <dcterms:modified xsi:type="dcterms:W3CDTF">2026-06-23T19:38:30Z</dcterms:modified>
</cp:coreProperties>
</file>