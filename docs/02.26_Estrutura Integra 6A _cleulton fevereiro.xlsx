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Integra 6\OneDrive - Enops Engenharia S.A\SABESP INTEGRA 6A - Documentos\09 GERENCIA\CONTROLE DE CUSTO\ESTRUTURA - DASHBOARD\"/>
    </mc:Choice>
  </mc:AlternateContent>
  <xr:revisionPtr revIDLastSave="0" documentId="8_{DDD49FD2-968D-4DE1-8F98-15ADEB2DA783}" xr6:coauthVersionLast="47" xr6:coauthVersionMax="47" xr10:uidLastSave="{00000000-0000-0000-0000-000000000000}"/>
  <bookViews>
    <workbookView xWindow="-28920" yWindow="960" windowWidth="29040" windowHeight="15720" xr2:uid="{39A5C21A-6C22-4A1D-A9DE-3437DD10D853}"/>
  </bookViews>
  <sheets>
    <sheet name="funcionarios" sheetId="1" r:id="rId1"/>
  </sheets>
  <definedNames>
    <definedName name="_xlnm._FilterDatabase" localSheetId="0" hidden="1">funcionarios!$A$2:$AJ$491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G491" i="1" l="1"/>
  <c r="N491" i="1"/>
  <c r="AF491" i="1" s="1"/>
  <c r="AG490" i="1"/>
  <c r="AH490" i="1" s="1"/>
  <c r="AF490" i="1"/>
  <c r="N490" i="1"/>
  <c r="AG489" i="1"/>
  <c r="AH489" i="1" s="1"/>
  <c r="N489" i="1"/>
  <c r="AF489" i="1" s="1"/>
  <c r="AG488" i="1"/>
  <c r="N488" i="1"/>
  <c r="AF488" i="1" s="1"/>
  <c r="AH488" i="1" s="1"/>
  <c r="AG487" i="1"/>
  <c r="AH487" i="1" s="1"/>
  <c r="N487" i="1"/>
  <c r="AF487" i="1" s="1"/>
  <c r="AH486" i="1"/>
  <c r="AG486" i="1"/>
  <c r="AF486" i="1"/>
  <c r="AG485" i="1"/>
  <c r="AH485" i="1" s="1"/>
  <c r="AF485" i="1"/>
  <c r="AG484" i="1"/>
  <c r="AF484" i="1"/>
  <c r="AH484" i="1" s="1"/>
  <c r="AG483" i="1"/>
  <c r="AH483" i="1" s="1"/>
  <c r="AF483" i="1"/>
  <c r="AG482" i="1"/>
  <c r="AH482" i="1" s="1"/>
  <c r="N482" i="1"/>
  <c r="AF482" i="1" s="1"/>
  <c r="AG481" i="1"/>
  <c r="N481" i="1"/>
  <c r="AF481" i="1" s="1"/>
  <c r="AH481" i="1" s="1"/>
  <c r="AH480" i="1"/>
  <c r="AG480" i="1"/>
  <c r="AF480" i="1"/>
  <c r="N480" i="1"/>
  <c r="AG479" i="1"/>
  <c r="N479" i="1"/>
  <c r="AF479" i="1" s="1"/>
  <c r="AH479" i="1" s="1"/>
  <c r="AG478" i="1"/>
  <c r="N478" i="1"/>
  <c r="AF478" i="1" s="1"/>
  <c r="AG477" i="1"/>
  <c r="N477" i="1"/>
  <c r="AF477" i="1" s="1"/>
  <c r="AH477" i="1" s="1"/>
  <c r="AH476" i="1"/>
  <c r="AG476" i="1"/>
  <c r="AF476" i="1"/>
  <c r="N476" i="1"/>
  <c r="AG475" i="1"/>
  <c r="N475" i="1"/>
  <c r="AF475" i="1" s="1"/>
  <c r="AH475" i="1" s="1"/>
  <c r="AG474" i="1"/>
  <c r="N474" i="1"/>
  <c r="AF474" i="1" s="1"/>
  <c r="AG473" i="1"/>
  <c r="N473" i="1"/>
  <c r="AF473" i="1" s="1"/>
  <c r="AH473" i="1" s="1"/>
  <c r="AH472" i="1"/>
  <c r="AG472" i="1"/>
  <c r="AF472" i="1"/>
  <c r="N472" i="1"/>
  <c r="AG471" i="1"/>
  <c r="N471" i="1"/>
  <c r="AF471" i="1" s="1"/>
  <c r="AH471" i="1" s="1"/>
  <c r="AG470" i="1"/>
  <c r="N470" i="1"/>
  <c r="AF470" i="1" s="1"/>
  <c r="AG469" i="1"/>
  <c r="N469" i="1"/>
  <c r="AF469" i="1" s="1"/>
  <c r="AH469" i="1" s="1"/>
  <c r="AH468" i="1"/>
  <c r="AG468" i="1"/>
  <c r="AF468" i="1"/>
  <c r="N468" i="1"/>
  <c r="AG467" i="1"/>
  <c r="N467" i="1"/>
  <c r="AF467" i="1" s="1"/>
  <c r="AH467" i="1" s="1"/>
  <c r="AG466" i="1"/>
  <c r="N466" i="1"/>
  <c r="AF466" i="1" s="1"/>
  <c r="AG465" i="1"/>
  <c r="N465" i="1"/>
  <c r="AF465" i="1" s="1"/>
  <c r="AH465" i="1" s="1"/>
  <c r="AH464" i="1"/>
  <c r="AG464" i="1"/>
  <c r="AF464" i="1"/>
  <c r="N464" i="1"/>
  <c r="AG463" i="1"/>
  <c r="N463" i="1"/>
  <c r="AF463" i="1" s="1"/>
  <c r="AH463" i="1" s="1"/>
  <c r="AG462" i="1"/>
  <c r="N462" i="1"/>
  <c r="AF462" i="1" s="1"/>
  <c r="AG461" i="1"/>
  <c r="N461" i="1"/>
  <c r="AF461" i="1" s="1"/>
  <c r="AH461" i="1" s="1"/>
  <c r="AH460" i="1"/>
  <c r="AG460" i="1"/>
  <c r="AF460" i="1"/>
  <c r="N460" i="1"/>
  <c r="AG459" i="1"/>
  <c r="N459" i="1"/>
  <c r="AF459" i="1" s="1"/>
  <c r="AH459" i="1" s="1"/>
  <c r="AG458" i="1"/>
  <c r="N458" i="1"/>
  <c r="AF458" i="1" s="1"/>
  <c r="AG457" i="1"/>
  <c r="N457" i="1"/>
  <c r="AF457" i="1" s="1"/>
  <c r="AH457" i="1" s="1"/>
  <c r="AH456" i="1"/>
  <c r="AG456" i="1"/>
  <c r="AF456" i="1"/>
  <c r="N456" i="1"/>
  <c r="AG455" i="1"/>
  <c r="N455" i="1"/>
  <c r="AF455" i="1" s="1"/>
  <c r="AH455" i="1" s="1"/>
  <c r="AG454" i="1"/>
  <c r="AH454" i="1" s="1"/>
  <c r="N454" i="1"/>
  <c r="AF454" i="1" s="1"/>
  <c r="AG453" i="1"/>
  <c r="N453" i="1"/>
  <c r="AF453" i="1" s="1"/>
  <c r="AH453" i="1" s="1"/>
  <c r="AH452" i="1"/>
  <c r="AG452" i="1"/>
  <c r="AF452" i="1"/>
  <c r="N452" i="1"/>
  <c r="AG451" i="1"/>
  <c r="N451" i="1"/>
  <c r="AF451" i="1" s="1"/>
  <c r="AH451" i="1" s="1"/>
  <c r="AG450" i="1"/>
  <c r="AH450" i="1" s="1"/>
  <c r="N450" i="1"/>
  <c r="AF450" i="1" s="1"/>
  <c r="AG449" i="1"/>
  <c r="N449" i="1"/>
  <c r="AF449" i="1" s="1"/>
  <c r="AH449" i="1" s="1"/>
  <c r="AH448" i="1"/>
  <c r="AG448" i="1"/>
  <c r="AF448" i="1"/>
  <c r="N448" i="1"/>
  <c r="AG447" i="1"/>
  <c r="N447" i="1"/>
  <c r="AF447" i="1" s="1"/>
  <c r="AH447" i="1" s="1"/>
  <c r="AG446" i="1"/>
  <c r="N446" i="1"/>
  <c r="AF446" i="1" s="1"/>
  <c r="AG445" i="1"/>
  <c r="N445" i="1"/>
  <c r="AF445" i="1" s="1"/>
  <c r="AH445" i="1" s="1"/>
  <c r="AH444" i="1"/>
  <c r="AG444" i="1"/>
  <c r="AF444" i="1"/>
  <c r="N444" i="1"/>
  <c r="AG443" i="1"/>
  <c r="N443" i="1"/>
  <c r="AF443" i="1" s="1"/>
  <c r="AH443" i="1" s="1"/>
  <c r="AG442" i="1"/>
  <c r="N442" i="1"/>
  <c r="AF442" i="1" s="1"/>
  <c r="AG441" i="1"/>
  <c r="N441" i="1"/>
  <c r="AF441" i="1" s="1"/>
  <c r="AH441" i="1" s="1"/>
  <c r="AH440" i="1"/>
  <c r="AG440" i="1"/>
  <c r="AF440" i="1"/>
  <c r="N440" i="1"/>
  <c r="AG439" i="1"/>
  <c r="N439" i="1"/>
  <c r="AF439" i="1" s="1"/>
  <c r="AH439" i="1" s="1"/>
  <c r="AG438" i="1"/>
  <c r="N438" i="1"/>
  <c r="AF438" i="1" s="1"/>
  <c r="AG437" i="1"/>
  <c r="AF437" i="1"/>
  <c r="AH437" i="1" s="1"/>
  <c r="AH436" i="1"/>
  <c r="AG436" i="1"/>
  <c r="AF436" i="1"/>
  <c r="N436" i="1"/>
  <c r="AG435" i="1"/>
  <c r="AH435" i="1" s="1"/>
  <c r="N435" i="1"/>
  <c r="AF435" i="1" s="1"/>
  <c r="AH434" i="1"/>
  <c r="AG434" i="1"/>
  <c r="AF434" i="1"/>
  <c r="N434" i="1"/>
  <c r="AG433" i="1"/>
  <c r="N433" i="1"/>
  <c r="AF433" i="1" s="1"/>
  <c r="AH432" i="1"/>
  <c r="AG432" i="1"/>
  <c r="AF432" i="1"/>
  <c r="N432" i="1"/>
  <c r="AG431" i="1"/>
  <c r="N431" i="1"/>
  <c r="AF431" i="1" s="1"/>
  <c r="AH430" i="1"/>
  <c r="AG430" i="1"/>
  <c r="AF430" i="1"/>
  <c r="N430" i="1"/>
  <c r="AG429" i="1"/>
  <c r="AF429" i="1"/>
  <c r="AH429" i="1" s="1"/>
  <c r="N429" i="1"/>
  <c r="AH428" i="1"/>
  <c r="AG428" i="1"/>
  <c r="AF428" i="1"/>
  <c r="N428" i="1"/>
  <c r="AG427" i="1"/>
  <c r="AH427" i="1" s="1"/>
  <c r="N427" i="1"/>
  <c r="AF427" i="1" s="1"/>
  <c r="AH426" i="1"/>
  <c r="AG426" i="1"/>
  <c r="AF426" i="1"/>
  <c r="N426" i="1"/>
  <c r="AG425" i="1"/>
  <c r="AF425" i="1"/>
  <c r="AH425" i="1" s="1"/>
  <c r="N425" i="1"/>
  <c r="AH424" i="1"/>
  <c r="AG424" i="1"/>
  <c r="AF424" i="1"/>
  <c r="N424" i="1"/>
  <c r="AG423" i="1"/>
  <c r="N423" i="1"/>
  <c r="AF423" i="1" s="1"/>
  <c r="AH422" i="1"/>
  <c r="AG422" i="1"/>
  <c r="AF422" i="1"/>
  <c r="N422" i="1"/>
  <c r="AG421" i="1"/>
  <c r="AF421" i="1"/>
  <c r="AH421" i="1" s="1"/>
  <c r="N421" i="1"/>
  <c r="AG420" i="1"/>
  <c r="N420" i="1"/>
  <c r="AF420" i="1" s="1"/>
  <c r="AH420" i="1" s="1"/>
  <c r="AG419" i="1"/>
  <c r="N419" i="1"/>
  <c r="AF419" i="1" s="1"/>
  <c r="AG418" i="1"/>
  <c r="N418" i="1"/>
  <c r="AF418" i="1" s="1"/>
  <c r="AG417" i="1"/>
  <c r="N417" i="1"/>
  <c r="AF417" i="1" s="1"/>
  <c r="AH417" i="1" s="1"/>
  <c r="AG416" i="1"/>
  <c r="N416" i="1"/>
  <c r="AF416" i="1" s="1"/>
  <c r="AH416" i="1" s="1"/>
  <c r="AG415" i="1"/>
  <c r="N415" i="1"/>
  <c r="AF415" i="1" s="1"/>
  <c r="AH415" i="1" s="1"/>
  <c r="AG414" i="1"/>
  <c r="N414" i="1"/>
  <c r="AF414" i="1" s="1"/>
  <c r="AH414" i="1" s="1"/>
  <c r="AG413" i="1"/>
  <c r="N413" i="1"/>
  <c r="AF413" i="1" s="1"/>
  <c r="AH413" i="1" s="1"/>
  <c r="AG412" i="1"/>
  <c r="N412" i="1"/>
  <c r="AF412" i="1" s="1"/>
  <c r="AH412" i="1" s="1"/>
  <c r="AH411" i="1"/>
  <c r="AG411" i="1"/>
  <c r="N411" i="1"/>
  <c r="AF411" i="1" s="1"/>
  <c r="AG410" i="1"/>
  <c r="N410" i="1"/>
  <c r="AF410" i="1" s="1"/>
  <c r="AG409" i="1"/>
  <c r="N409" i="1"/>
  <c r="AF409" i="1" s="1"/>
  <c r="AG408" i="1"/>
  <c r="AH408" i="1" s="1"/>
  <c r="N408" i="1"/>
  <c r="AF408" i="1" s="1"/>
  <c r="AG407" i="1"/>
  <c r="N407" i="1"/>
  <c r="AF407" i="1" s="1"/>
  <c r="AH407" i="1" s="1"/>
  <c r="AG406" i="1"/>
  <c r="N406" i="1"/>
  <c r="AF406" i="1" s="1"/>
  <c r="AH405" i="1"/>
  <c r="AG405" i="1"/>
  <c r="AF405" i="1"/>
  <c r="N405" i="1"/>
  <c r="AG404" i="1"/>
  <c r="N404" i="1"/>
  <c r="AF404" i="1" s="1"/>
  <c r="AH404" i="1" s="1"/>
  <c r="AG403" i="1"/>
  <c r="AH403" i="1" s="1"/>
  <c r="N403" i="1"/>
  <c r="AF403" i="1" s="1"/>
  <c r="AG402" i="1"/>
  <c r="N402" i="1"/>
  <c r="AF402" i="1" s="1"/>
  <c r="AG401" i="1"/>
  <c r="AH401" i="1" s="1"/>
  <c r="N401" i="1"/>
  <c r="AF401" i="1" s="1"/>
  <c r="AG400" i="1"/>
  <c r="N400" i="1"/>
  <c r="AF400" i="1" s="1"/>
  <c r="AH400" i="1" s="1"/>
  <c r="AG399" i="1"/>
  <c r="AF399" i="1"/>
  <c r="AH399" i="1" s="1"/>
  <c r="N399" i="1"/>
  <c r="AG398" i="1"/>
  <c r="N398" i="1"/>
  <c r="AF398" i="1" s="1"/>
  <c r="AH398" i="1" s="1"/>
  <c r="AG397" i="1"/>
  <c r="N397" i="1"/>
  <c r="AF397" i="1" s="1"/>
  <c r="AH397" i="1" s="1"/>
  <c r="AG396" i="1"/>
  <c r="N396" i="1"/>
  <c r="AF396" i="1" s="1"/>
  <c r="AH396" i="1" s="1"/>
  <c r="AH395" i="1"/>
  <c r="AG395" i="1"/>
  <c r="N395" i="1"/>
  <c r="AF395" i="1" s="1"/>
  <c r="AG394" i="1"/>
  <c r="N394" i="1"/>
  <c r="AF394" i="1" s="1"/>
  <c r="AH394" i="1" s="1"/>
  <c r="AG393" i="1"/>
  <c r="AH393" i="1" s="1"/>
  <c r="N393" i="1"/>
  <c r="AF393" i="1" s="1"/>
  <c r="AG392" i="1"/>
  <c r="AH392" i="1" s="1"/>
  <c r="N392" i="1"/>
  <c r="AF392" i="1" s="1"/>
  <c r="AG391" i="1"/>
  <c r="N391" i="1"/>
  <c r="AF391" i="1" s="1"/>
  <c r="AH391" i="1" s="1"/>
  <c r="AG390" i="1"/>
  <c r="N390" i="1"/>
  <c r="AF390" i="1" s="1"/>
  <c r="AH389" i="1"/>
  <c r="AG389" i="1"/>
  <c r="AF389" i="1"/>
  <c r="N389" i="1"/>
  <c r="AG388" i="1"/>
  <c r="N388" i="1"/>
  <c r="AF388" i="1" s="1"/>
  <c r="AH388" i="1" s="1"/>
  <c r="AG387" i="1"/>
  <c r="N387" i="1"/>
  <c r="AF387" i="1" s="1"/>
  <c r="AG386" i="1"/>
  <c r="N386" i="1"/>
  <c r="AF386" i="1" s="1"/>
  <c r="AG385" i="1"/>
  <c r="AH385" i="1" s="1"/>
  <c r="N385" i="1"/>
  <c r="AF385" i="1" s="1"/>
  <c r="AG384" i="1"/>
  <c r="N384" i="1"/>
  <c r="AF384" i="1" s="1"/>
  <c r="AH384" i="1" s="1"/>
  <c r="AG383" i="1"/>
  <c r="AF383" i="1"/>
  <c r="AH383" i="1" s="1"/>
  <c r="N383" i="1"/>
  <c r="AG382" i="1"/>
  <c r="N382" i="1"/>
  <c r="AF382" i="1" s="1"/>
  <c r="AH382" i="1" s="1"/>
  <c r="AG381" i="1"/>
  <c r="AH381" i="1" s="1"/>
  <c r="N381" i="1"/>
  <c r="AF381" i="1" s="1"/>
  <c r="AG380" i="1"/>
  <c r="N380" i="1"/>
  <c r="AF380" i="1" s="1"/>
  <c r="AH380" i="1" s="1"/>
  <c r="AH379" i="1"/>
  <c r="AG379" i="1"/>
  <c r="N379" i="1"/>
  <c r="AF379" i="1" s="1"/>
  <c r="AG378" i="1"/>
  <c r="N378" i="1"/>
  <c r="AF378" i="1" s="1"/>
  <c r="AH378" i="1" s="1"/>
  <c r="AG377" i="1"/>
  <c r="AH377" i="1" s="1"/>
  <c r="N377" i="1"/>
  <c r="AF377" i="1" s="1"/>
  <c r="AG376" i="1"/>
  <c r="N376" i="1"/>
  <c r="AF376" i="1" s="1"/>
  <c r="AG375" i="1"/>
  <c r="N375" i="1"/>
  <c r="AF375" i="1" s="1"/>
  <c r="AH375" i="1" s="1"/>
  <c r="AG374" i="1"/>
  <c r="N374" i="1"/>
  <c r="AF374" i="1" s="1"/>
  <c r="AG373" i="1"/>
  <c r="N373" i="1"/>
  <c r="AF373" i="1" s="1"/>
  <c r="AH373" i="1" s="1"/>
  <c r="AH372" i="1"/>
  <c r="AG372" i="1"/>
  <c r="N372" i="1"/>
  <c r="AF372" i="1" s="1"/>
  <c r="AG371" i="1"/>
  <c r="N371" i="1"/>
  <c r="AF371" i="1" s="1"/>
  <c r="AG370" i="1"/>
  <c r="N370" i="1"/>
  <c r="AF370" i="1" s="1"/>
  <c r="AG369" i="1"/>
  <c r="N369" i="1"/>
  <c r="AF369" i="1" s="1"/>
  <c r="AG368" i="1"/>
  <c r="N368" i="1"/>
  <c r="AF368" i="1" s="1"/>
  <c r="AH368" i="1" s="1"/>
  <c r="AG367" i="1"/>
  <c r="N367" i="1"/>
  <c r="AF367" i="1" s="1"/>
  <c r="AH367" i="1" s="1"/>
  <c r="AG366" i="1"/>
  <c r="N366" i="1"/>
  <c r="AF366" i="1" s="1"/>
  <c r="AH366" i="1" s="1"/>
  <c r="AG365" i="1"/>
  <c r="N365" i="1"/>
  <c r="AF365" i="1" s="1"/>
  <c r="AG364" i="1"/>
  <c r="N364" i="1"/>
  <c r="AF364" i="1" s="1"/>
  <c r="AH364" i="1" s="1"/>
  <c r="AG363" i="1"/>
  <c r="N363" i="1"/>
  <c r="AF363" i="1" s="1"/>
  <c r="AH363" i="1" s="1"/>
  <c r="AG362" i="1"/>
  <c r="N362" i="1"/>
  <c r="AF362" i="1" s="1"/>
  <c r="AH362" i="1" s="1"/>
  <c r="AG361" i="1"/>
  <c r="AH361" i="1" s="1"/>
  <c r="N361" i="1"/>
  <c r="AF361" i="1" s="1"/>
  <c r="AG360" i="1"/>
  <c r="AH360" i="1" s="1"/>
  <c r="N360" i="1"/>
  <c r="AF360" i="1" s="1"/>
  <c r="AG359" i="1"/>
  <c r="N359" i="1"/>
  <c r="AF359" i="1" s="1"/>
  <c r="AH359" i="1" s="1"/>
  <c r="AG358" i="1"/>
  <c r="AH358" i="1" s="1"/>
  <c r="N358" i="1"/>
  <c r="AF358" i="1" s="1"/>
  <c r="AG357" i="1"/>
  <c r="AF357" i="1"/>
  <c r="AH357" i="1" s="1"/>
  <c r="N357" i="1"/>
  <c r="AG356" i="1"/>
  <c r="N356" i="1"/>
  <c r="AF356" i="1" s="1"/>
  <c r="AH356" i="1" s="1"/>
  <c r="AG355" i="1"/>
  <c r="AH355" i="1" s="1"/>
  <c r="N355" i="1"/>
  <c r="AF355" i="1" s="1"/>
  <c r="AG354" i="1"/>
  <c r="N354" i="1"/>
  <c r="AF354" i="1" s="1"/>
  <c r="AG353" i="1"/>
  <c r="N353" i="1"/>
  <c r="AF353" i="1" s="1"/>
  <c r="Z352" i="1"/>
  <c r="AG352" i="1" s="1"/>
  <c r="AH352" i="1" s="1"/>
  <c r="N352" i="1"/>
  <c r="AF352" i="1" s="1"/>
  <c r="AG351" i="1"/>
  <c r="N351" i="1"/>
  <c r="AF351" i="1" s="1"/>
  <c r="AG350" i="1"/>
  <c r="AH350" i="1" s="1"/>
  <c r="N350" i="1"/>
  <c r="AF350" i="1" s="1"/>
  <c r="AG349" i="1"/>
  <c r="N349" i="1"/>
  <c r="AF349" i="1" s="1"/>
  <c r="AH349" i="1" s="1"/>
  <c r="AG348" i="1"/>
  <c r="AF348" i="1"/>
  <c r="AH348" i="1" s="1"/>
  <c r="N348" i="1"/>
  <c r="AG347" i="1"/>
  <c r="AF347" i="1"/>
  <c r="AH347" i="1" s="1"/>
  <c r="N347" i="1"/>
  <c r="AG346" i="1"/>
  <c r="AH346" i="1" s="1"/>
  <c r="N346" i="1"/>
  <c r="AF346" i="1" s="1"/>
  <c r="AG345" i="1"/>
  <c r="N345" i="1"/>
  <c r="AF345" i="1" s="1"/>
  <c r="AH345" i="1" s="1"/>
  <c r="AG344" i="1"/>
  <c r="N344" i="1"/>
  <c r="AF344" i="1" s="1"/>
  <c r="AH344" i="1" s="1"/>
  <c r="AG343" i="1"/>
  <c r="N343" i="1"/>
  <c r="AF343" i="1" s="1"/>
  <c r="AH343" i="1" s="1"/>
  <c r="AG342" i="1"/>
  <c r="N342" i="1"/>
  <c r="AF342" i="1" s="1"/>
  <c r="AG341" i="1"/>
  <c r="AH341" i="1" s="1"/>
  <c r="N341" i="1"/>
  <c r="AF341" i="1" s="1"/>
  <c r="AG340" i="1"/>
  <c r="N340" i="1"/>
  <c r="AF340" i="1" s="1"/>
  <c r="AG339" i="1"/>
  <c r="AH339" i="1" s="1"/>
  <c r="N339" i="1"/>
  <c r="AF339" i="1" s="1"/>
  <c r="AG338" i="1"/>
  <c r="N338" i="1"/>
  <c r="AF338" i="1" s="1"/>
  <c r="AH338" i="1" s="1"/>
  <c r="AG337" i="1"/>
  <c r="N337" i="1"/>
  <c r="AF337" i="1" s="1"/>
  <c r="AH337" i="1" s="1"/>
  <c r="AG336" i="1"/>
  <c r="N336" i="1"/>
  <c r="AF336" i="1" s="1"/>
  <c r="AG335" i="1"/>
  <c r="AH335" i="1" s="1"/>
  <c r="N335" i="1"/>
  <c r="AF335" i="1" s="1"/>
  <c r="AG334" i="1"/>
  <c r="N334" i="1"/>
  <c r="AF334" i="1" s="1"/>
  <c r="AG333" i="1"/>
  <c r="N333" i="1"/>
  <c r="AF333" i="1" s="1"/>
  <c r="AH333" i="1" s="1"/>
  <c r="AG332" i="1"/>
  <c r="AF332" i="1"/>
  <c r="AH332" i="1" s="1"/>
  <c r="N332" i="1"/>
  <c r="AG331" i="1"/>
  <c r="AF331" i="1"/>
  <c r="AH331" i="1" s="1"/>
  <c r="N331" i="1"/>
  <c r="AG330" i="1"/>
  <c r="N330" i="1"/>
  <c r="AF330" i="1" s="1"/>
  <c r="AG329" i="1"/>
  <c r="N329" i="1"/>
  <c r="AF329" i="1" s="1"/>
  <c r="AH329" i="1" s="1"/>
  <c r="AG328" i="1"/>
  <c r="N328" i="1"/>
  <c r="AF328" i="1" s="1"/>
  <c r="AH328" i="1" s="1"/>
  <c r="AG327" i="1"/>
  <c r="N327" i="1"/>
  <c r="AF327" i="1" s="1"/>
  <c r="AH327" i="1" s="1"/>
  <c r="AG326" i="1"/>
  <c r="AH326" i="1" s="1"/>
  <c r="N326" i="1"/>
  <c r="AF326" i="1" s="1"/>
  <c r="AG325" i="1"/>
  <c r="N325" i="1"/>
  <c r="AF325" i="1" s="1"/>
  <c r="AG324" i="1"/>
  <c r="N324" i="1"/>
  <c r="AF324" i="1" s="1"/>
  <c r="AH323" i="1"/>
  <c r="AG323" i="1"/>
  <c r="N323" i="1"/>
  <c r="AF323" i="1" s="1"/>
  <c r="AH322" i="1"/>
  <c r="AG322" i="1"/>
  <c r="AF322" i="1"/>
  <c r="N322" i="1"/>
  <c r="AH321" i="1"/>
  <c r="AG321" i="1"/>
  <c r="N321" i="1"/>
  <c r="AF321" i="1" s="1"/>
  <c r="AG320" i="1"/>
  <c r="X320" i="1"/>
  <c r="N320" i="1"/>
  <c r="AF320" i="1" s="1"/>
  <c r="AG319" i="1"/>
  <c r="AF319" i="1"/>
  <c r="AH319" i="1" s="1"/>
  <c r="N319" i="1"/>
  <c r="AH318" i="1"/>
  <c r="AG318" i="1"/>
  <c r="N318" i="1"/>
  <c r="AF318" i="1" s="1"/>
  <c r="AG317" i="1"/>
  <c r="N317" i="1"/>
  <c r="AF317" i="1" s="1"/>
  <c r="AG316" i="1"/>
  <c r="AH316" i="1" s="1"/>
  <c r="N316" i="1"/>
  <c r="AF316" i="1" s="1"/>
  <c r="AG315" i="1"/>
  <c r="AH315" i="1" s="1"/>
  <c r="N315" i="1"/>
  <c r="AF315" i="1" s="1"/>
  <c r="AG314" i="1"/>
  <c r="AF314" i="1"/>
  <c r="AH314" i="1" s="1"/>
  <c r="N314" i="1"/>
  <c r="AG313" i="1"/>
  <c r="N313" i="1"/>
  <c r="AF313" i="1" s="1"/>
  <c r="AH313" i="1" s="1"/>
  <c r="AG312" i="1"/>
  <c r="AF312" i="1"/>
  <c r="AH312" i="1" s="1"/>
  <c r="N312" i="1"/>
  <c r="AG311" i="1"/>
  <c r="AH311" i="1" s="1"/>
  <c r="N311" i="1"/>
  <c r="AF311" i="1" s="1"/>
  <c r="AG310" i="1"/>
  <c r="N310" i="1"/>
  <c r="AF310" i="1" s="1"/>
  <c r="AH310" i="1" s="1"/>
  <c r="AG309" i="1"/>
  <c r="N309" i="1"/>
  <c r="AF309" i="1" s="1"/>
  <c r="AH309" i="1" s="1"/>
  <c r="AG308" i="1"/>
  <c r="N308" i="1"/>
  <c r="AF308" i="1" s="1"/>
  <c r="AH308" i="1" s="1"/>
  <c r="AG307" i="1"/>
  <c r="N307" i="1"/>
  <c r="AF307" i="1" s="1"/>
  <c r="AG306" i="1"/>
  <c r="N306" i="1"/>
  <c r="AF306" i="1" s="1"/>
  <c r="AG305" i="1"/>
  <c r="AH305" i="1" s="1"/>
  <c r="N305" i="1"/>
  <c r="AF305" i="1" s="1"/>
  <c r="AG304" i="1"/>
  <c r="N304" i="1"/>
  <c r="AF304" i="1" s="1"/>
  <c r="AH304" i="1" s="1"/>
  <c r="AG303" i="1"/>
  <c r="AF303" i="1"/>
  <c r="AH303" i="1" s="1"/>
  <c r="N303" i="1"/>
  <c r="AG302" i="1"/>
  <c r="N302" i="1"/>
  <c r="AF302" i="1" s="1"/>
  <c r="AH302" i="1" s="1"/>
  <c r="AG301" i="1"/>
  <c r="AH301" i="1" s="1"/>
  <c r="N301" i="1"/>
  <c r="AF301" i="1" s="1"/>
  <c r="AG300" i="1"/>
  <c r="N300" i="1"/>
  <c r="AF300" i="1" s="1"/>
  <c r="AG299" i="1"/>
  <c r="AH299" i="1" s="1"/>
  <c r="N299" i="1"/>
  <c r="AF299" i="1" s="1"/>
  <c r="AG298" i="1"/>
  <c r="AF298" i="1"/>
  <c r="AH298" i="1" s="1"/>
  <c r="N298" i="1"/>
  <c r="AG297" i="1"/>
  <c r="AF297" i="1"/>
  <c r="AH297" i="1" s="1"/>
  <c r="N297" i="1"/>
  <c r="AG296" i="1"/>
  <c r="AF296" i="1"/>
  <c r="AH296" i="1" s="1"/>
  <c r="N296" i="1"/>
  <c r="AG295" i="1"/>
  <c r="N295" i="1"/>
  <c r="AF295" i="1" s="1"/>
  <c r="AG294" i="1"/>
  <c r="N294" i="1"/>
  <c r="AF294" i="1" s="1"/>
  <c r="AH294" i="1" s="1"/>
  <c r="AH293" i="1"/>
  <c r="AG293" i="1"/>
  <c r="N293" i="1"/>
  <c r="AF293" i="1" s="1"/>
  <c r="AG292" i="1"/>
  <c r="N292" i="1"/>
  <c r="AF292" i="1" s="1"/>
  <c r="AH292" i="1" s="1"/>
  <c r="AG291" i="1"/>
  <c r="N291" i="1"/>
  <c r="AF291" i="1" s="1"/>
  <c r="AG290" i="1"/>
  <c r="AH290" i="1" s="1"/>
  <c r="N290" i="1"/>
  <c r="AF290" i="1" s="1"/>
  <c r="AG289" i="1"/>
  <c r="N289" i="1"/>
  <c r="AF289" i="1" s="1"/>
  <c r="AH288" i="1"/>
  <c r="AG288" i="1"/>
  <c r="N288" i="1"/>
  <c r="AF288" i="1" s="1"/>
  <c r="AG287" i="1"/>
  <c r="N287" i="1"/>
  <c r="AF287" i="1" s="1"/>
  <c r="AH287" i="1" s="1"/>
  <c r="AG286" i="1"/>
  <c r="N286" i="1"/>
  <c r="AF286" i="1" s="1"/>
  <c r="AH286" i="1" s="1"/>
  <c r="AG285" i="1"/>
  <c r="AH285" i="1" s="1"/>
  <c r="N285" i="1"/>
  <c r="AF285" i="1" s="1"/>
  <c r="AG284" i="1"/>
  <c r="N284" i="1"/>
  <c r="AF284" i="1" s="1"/>
  <c r="AG283" i="1"/>
  <c r="AH283" i="1" s="1"/>
  <c r="N283" i="1"/>
  <c r="AF283" i="1" s="1"/>
  <c r="AG282" i="1"/>
  <c r="N282" i="1"/>
  <c r="AF282" i="1" s="1"/>
  <c r="AH282" i="1" s="1"/>
  <c r="AG281" i="1"/>
  <c r="AF281" i="1"/>
  <c r="AH281" i="1" s="1"/>
  <c r="N281" i="1"/>
  <c r="AG280" i="1"/>
  <c r="AF280" i="1"/>
  <c r="AH280" i="1" s="1"/>
  <c r="N280" i="1"/>
  <c r="AG279" i="1"/>
  <c r="N279" i="1"/>
  <c r="AF279" i="1" s="1"/>
  <c r="AG278" i="1"/>
  <c r="N278" i="1"/>
  <c r="AF278" i="1" s="1"/>
  <c r="AH278" i="1" s="1"/>
  <c r="AH277" i="1"/>
  <c r="AG277" i="1"/>
  <c r="N277" i="1"/>
  <c r="AF277" i="1" s="1"/>
  <c r="AG276" i="1"/>
  <c r="N276" i="1"/>
  <c r="AF276" i="1" s="1"/>
  <c r="AH276" i="1" s="1"/>
  <c r="AG275" i="1"/>
  <c r="N275" i="1"/>
  <c r="AF275" i="1" s="1"/>
  <c r="AH275" i="1" s="1"/>
  <c r="AG274" i="1"/>
  <c r="N274" i="1"/>
  <c r="AF274" i="1" s="1"/>
  <c r="AG273" i="1"/>
  <c r="N273" i="1"/>
  <c r="AF273" i="1" s="1"/>
  <c r="AH272" i="1"/>
  <c r="AG272" i="1"/>
  <c r="N272" i="1"/>
  <c r="AF272" i="1" s="1"/>
  <c r="AG271" i="1"/>
  <c r="AF271" i="1"/>
  <c r="AH271" i="1" s="1"/>
  <c r="N271" i="1"/>
  <c r="AH270" i="1"/>
  <c r="AG270" i="1"/>
  <c r="N270" i="1"/>
  <c r="AF270" i="1" s="1"/>
  <c r="AG269" i="1"/>
  <c r="N269" i="1"/>
  <c r="AF269" i="1" s="1"/>
  <c r="AG268" i="1"/>
  <c r="AH268" i="1" s="1"/>
  <c r="N268" i="1"/>
  <c r="AF268" i="1" s="1"/>
  <c r="AG267" i="1"/>
  <c r="N267" i="1"/>
  <c r="AF267" i="1" s="1"/>
  <c r="AG266" i="1"/>
  <c r="AF266" i="1"/>
  <c r="AH266" i="1" s="1"/>
  <c r="N266" i="1"/>
  <c r="AG265" i="1"/>
  <c r="N265" i="1"/>
  <c r="AF265" i="1" s="1"/>
  <c r="AH265" i="1" s="1"/>
  <c r="AG264" i="1"/>
  <c r="AF264" i="1"/>
  <c r="AH264" i="1" s="1"/>
  <c r="N264" i="1"/>
  <c r="AG263" i="1"/>
  <c r="AH263" i="1" s="1"/>
  <c r="N263" i="1"/>
  <c r="AF263" i="1" s="1"/>
  <c r="AG262" i="1"/>
  <c r="N262" i="1"/>
  <c r="AF262" i="1" s="1"/>
  <c r="AH262" i="1" s="1"/>
  <c r="AG261" i="1"/>
  <c r="N261" i="1"/>
  <c r="AF261" i="1" s="1"/>
  <c r="AH261" i="1" s="1"/>
  <c r="AG260" i="1"/>
  <c r="N260" i="1"/>
  <c r="AF260" i="1" s="1"/>
  <c r="AH260" i="1" s="1"/>
  <c r="AG259" i="1"/>
  <c r="N259" i="1"/>
  <c r="AF259" i="1" s="1"/>
  <c r="AH259" i="1" s="1"/>
  <c r="AG258" i="1"/>
  <c r="AH258" i="1" s="1"/>
  <c r="N258" i="1"/>
  <c r="AF258" i="1" s="1"/>
  <c r="AG257" i="1"/>
  <c r="AH257" i="1" s="1"/>
  <c r="N257" i="1"/>
  <c r="AF257" i="1" s="1"/>
  <c r="AG256" i="1"/>
  <c r="N256" i="1"/>
  <c r="AF256" i="1" s="1"/>
  <c r="AH256" i="1" s="1"/>
  <c r="AG255" i="1"/>
  <c r="N255" i="1"/>
  <c r="AF255" i="1" s="1"/>
  <c r="AH255" i="1" s="1"/>
  <c r="AG254" i="1"/>
  <c r="N254" i="1"/>
  <c r="AF254" i="1" s="1"/>
  <c r="AH254" i="1" s="1"/>
  <c r="AG253" i="1"/>
  <c r="AH253" i="1" s="1"/>
  <c r="N253" i="1"/>
  <c r="AF253" i="1" s="1"/>
  <c r="AG252" i="1"/>
  <c r="N252" i="1"/>
  <c r="AF252" i="1" s="1"/>
  <c r="AG251" i="1"/>
  <c r="AH251" i="1" s="1"/>
  <c r="N251" i="1"/>
  <c r="AF251" i="1" s="1"/>
  <c r="AG250" i="1"/>
  <c r="N250" i="1"/>
  <c r="AF250" i="1" s="1"/>
  <c r="AH250" i="1" s="1"/>
  <c r="AG249" i="1"/>
  <c r="N249" i="1"/>
  <c r="AF249" i="1" s="1"/>
  <c r="AH249" i="1" s="1"/>
  <c r="AG248" i="1"/>
  <c r="AF248" i="1"/>
  <c r="AH248" i="1" s="1"/>
  <c r="N248" i="1"/>
  <c r="AG247" i="1"/>
  <c r="N247" i="1"/>
  <c r="AF247" i="1" s="1"/>
  <c r="AG246" i="1"/>
  <c r="N246" i="1"/>
  <c r="AF246" i="1" s="1"/>
  <c r="AH246" i="1" s="1"/>
  <c r="AG245" i="1"/>
  <c r="N245" i="1"/>
  <c r="AF245" i="1" s="1"/>
  <c r="AH245" i="1" s="1"/>
  <c r="AG244" i="1"/>
  <c r="N244" i="1"/>
  <c r="AF244" i="1" s="1"/>
  <c r="AH244" i="1" s="1"/>
  <c r="AG243" i="1"/>
  <c r="N243" i="1"/>
  <c r="AF243" i="1" s="1"/>
  <c r="AH243" i="1" s="1"/>
  <c r="AG242" i="1"/>
  <c r="AH242" i="1" s="1"/>
  <c r="N242" i="1"/>
  <c r="AF242" i="1" s="1"/>
  <c r="AG241" i="1"/>
  <c r="N241" i="1"/>
  <c r="AF241" i="1" s="1"/>
  <c r="AH240" i="1"/>
  <c r="AG240" i="1"/>
  <c r="N240" i="1"/>
  <c r="AF240" i="1" s="1"/>
  <c r="AG239" i="1"/>
  <c r="AF239" i="1"/>
  <c r="AH239" i="1" s="1"/>
  <c r="N239" i="1"/>
  <c r="AH238" i="1"/>
  <c r="AG238" i="1"/>
  <c r="N238" i="1"/>
  <c r="AF238" i="1" s="1"/>
  <c r="AG237" i="1"/>
  <c r="N237" i="1"/>
  <c r="AF237" i="1" s="1"/>
  <c r="AG236" i="1"/>
  <c r="N236" i="1"/>
  <c r="AF236" i="1" s="1"/>
  <c r="AG235" i="1"/>
  <c r="N235" i="1"/>
  <c r="AF235" i="1" s="1"/>
  <c r="AG234" i="1"/>
  <c r="N234" i="1"/>
  <c r="AF234" i="1" s="1"/>
  <c r="AH234" i="1" s="1"/>
  <c r="AG233" i="1"/>
  <c r="AF233" i="1"/>
  <c r="AH233" i="1" s="1"/>
  <c r="N233" i="1"/>
  <c r="AG232" i="1"/>
  <c r="AF232" i="1"/>
  <c r="AH232" i="1" s="1"/>
  <c r="N232" i="1"/>
  <c r="AG231" i="1"/>
  <c r="N231" i="1"/>
  <c r="AF231" i="1" s="1"/>
  <c r="AG230" i="1"/>
  <c r="N230" i="1"/>
  <c r="AF230" i="1" s="1"/>
  <c r="AH230" i="1" s="1"/>
  <c r="AG229" i="1"/>
  <c r="N229" i="1"/>
  <c r="AF229" i="1" s="1"/>
  <c r="AH229" i="1" s="1"/>
  <c r="AG228" i="1"/>
  <c r="N228" i="1"/>
  <c r="AF228" i="1" s="1"/>
  <c r="AH228" i="1" s="1"/>
  <c r="AG227" i="1"/>
  <c r="N227" i="1"/>
  <c r="AF227" i="1" s="1"/>
  <c r="AH227" i="1" s="1"/>
  <c r="AG226" i="1"/>
  <c r="AH226" i="1" s="1"/>
  <c r="N226" i="1"/>
  <c r="AF226" i="1" s="1"/>
  <c r="AG225" i="1"/>
  <c r="N225" i="1"/>
  <c r="AF225" i="1" s="1"/>
  <c r="AH225" i="1" s="1"/>
  <c r="AG224" i="1"/>
  <c r="N224" i="1"/>
  <c r="AF224" i="1" s="1"/>
  <c r="AH224" i="1" s="1"/>
  <c r="AG223" i="1"/>
  <c r="N223" i="1"/>
  <c r="AF223" i="1" s="1"/>
  <c r="AH223" i="1" s="1"/>
  <c r="AH222" i="1"/>
  <c r="AG222" i="1"/>
  <c r="N222" i="1"/>
  <c r="AF222" i="1" s="1"/>
  <c r="AG221" i="1"/>
  <c r="AH221" i="1" s="1"/>
  <c r="N221" i="1"/>
  <c r="AF221" i="1" s="1"/>
  <c r="AG220" i="1"/>
  <c r="N220" i="1"/>
  <c r="AF220" i="1" s="1"/>
  <c r="AG219" i="1"/>
  <c r="AH219" i="1" s="1"/>
  <c r="N219" i="1"/>
  <c r="AF219" i="1" s="1"/>
  <c r="AG218" i="1"/>
  <c r="N218" i="1"/>
  <c r="AF218" i="1" s="1"/>
  <c r="AH218" i="1" s="1"/>
  <c r="AG217" i="1"/>
  <c r="N217" i="1"/>
  <c r="AF217" i="1" s="1"/>
  <c r="AH217" i="1" s="1"/>
  <c r="AG216" i="1"/>
  <c r="AF216" i="1"/>
  <c r="AH216" i="1" s="1"/>
  <c r="N216" i="1"/>
  <c r="AG215" i="1"/>
  <c r="N215" i="1"/>
  <c r="AF215" i="1" s="1"/>
  <c r="AG214" i="1"/>
  <c r="N214" i="1"/>
  <c r="AF214" i="1" s="1"/>
  <c r="AH214" i="1" s="1"/>
  <c r="AH213" i="1"/>
  <c r="AG213" i="1"/>
  <c r="N213" i="1"/>
  <c r="AF213" i="1" s="1"/>
  <c r="AG212" i="1"/>
  <c r="N212" i="1"/>
  <c r="AF212" i="1" s="1"/>
  <c r="AH212" i="1" s="1"/>
  <c r="AG211" i="1"/>
  <c r="N211" i="1"/>
  <c r="AF211" i="1" s="1"/>
  <c r="AH211" i="1" s="1"/>
  <c r="AG210" i="1"/>
  <c r="AH210" i="1" s="1"/>
  <c r="N210" i="1"/>
  <c r="AF210" i="1" s="1"/>
  <c r="AG209" i="1"/>
  <c r="N209" i="1"/>
  <c r="AF209" i="1" s="1"/>
  <c r="AH209" i="1" s="1"/>
  <c r="AG208" i="1"/>
  <c r="N208" i="1"/>
  <c r="AF208" i="1" s="1"/>
  <c r="AH208" i="1" s="1"/>
  <c r="AG207" i="1"/>
  <c r="N207" i="1"/>
  <c r="AF207" i="1" s="1"/>
  <c r="AH207" i="1" s="1"/>
  <c r="AH206" i="1"/>
  <c r="AG206" i="1"/>
  <c r="N206" i="1"/>
  <c r="AF206" i="1" s="1"/>
  <c r="AG205" i="1"/>
  <c r="AH205" i="1" s="1"/>
  <c r="N205" i="1"/>
  <c r="AF205" i="1" s="1"/>
  <c r="AG204" i="1"/>
  <c r="N204" i="1"/>
  <c r="AF204" i="1" s="1"/>
  <c r="AG203" i="1"/>
  <c r="AH203" i="1" s="1"/>
  <c r="N203" i="1"/>
  <c r="AF203" i="1" s="1"/>
  <c r="AG202" i="1"/>
  <c r="AF202" i="1"/>
  <c r="AH202" i="1" s="1"/>
  <c r="N202" i="1"/>
  <c r="AG201" i="1"/>
  <c r="N201" i="1"/>
  <c r="AF201" i="1" s="1"/>
  <c r="AH201" i="1" s="1"/>
  <c r="AG200" i="1"/>
  <c r="N200" i="1"/>
  <c r="AF200" i="1" s="1"/>
  <c r="AH200" i="1" s="1"/>
  <c r="AG199" i="1"/>
  <c r="AH199" i="1" s="1"/>
  <c r="N199" i="1"/>
  <c r="AF199" i="1" s="1"/>
  <c r="AG198" i="1"/>
  <c r="N198" i="1"/>
  <c r="AF198" i="1" s="1"/>
  <c r="AH198" i="1" s="1"/>
  <c r="AG197" i="1"/>
  <c r="N197" i="1"/>
  <c r="AF197" i="1" s="1"/>
  <c r="AH197" i="1" s="1"/>
  <c r="AG196" i="1"/>
  <c r="N196" i="1"/>
  <c r="AF196" i="1" s="1"/>
  <c r="AH196" i="1" s="1"/>
  <c r="AG195" i="1"/>
  <c r="N195" i="1"/>
  <c r="AF195" i="1" s="1"/>
  <c r="AH195" i="1" s="1"/>
  <c r="AG194" i="1"/>
  <c r="N194" i="1"/>
  <c r="AF194" i="1" s="1"/>
  <c r="AG193" i="1"/>
  <c r="N193" i="1"/>
  <c r="AF193" i="1" s="1"/>
  <c r="AH193" i="1" s="1"/>
  <c r="AG192" i="1"/>
  <c r="N192" i="1"/>
  <c r="AF192" i="1" s="1"/>
  <c r="AH192" i="1" s="1"/>
  <c r="AG191" i="1"/>
  <c r="AF191" i="1"/>
  <c r="AH191" i="1" s="1"/>
  <c r="N191" i="1"/>
  <c r="AG190" i="1"/>
  <c r="N190" i="1"/>
  <c r="AF190" i="1" s="1"/>
  <c r="AH190" i="1" s="1"/>
  <c r="AG189" i="1"/>
  <c r="N189" i="1"/>
  <c r="AF189" i="1" s="1"/>
  <c r="AG188" i="1"/>
  <c r="N188" i="1"/>
  <c r="AF188" i="1" s="1"/>
  <c r="AG187" i="1"/>
  <c r="AH187" i="1" s="1"/>
  <c r="N187" i="1"/>
  <c r="AF187" i="1" s="1"/>
  <c r="AG186" i="1"/>
  <c r="AF186" i="1"/>
  <c r="AH186" i="1" s="1"/>
  <c r="N186" i="1"/>
  <c r="AG185" i="1"/>
  <c r="AF185" i="1"/>
  <c r="AH185" i="1" s="1"/>
  <c r="N185" i="1"/>
  <c r="AG184" i="1"/>
  <c r="N184" i="1"/>
  <c r="AF184" i="1" s="1"/>
  <c r="AH184" i="1" s="1"/>
  <c r="AG183" i="1"/>
  <c r="N183" i="1"/>
  <c r="AF183" i="1" s="1"/>
  <c r="AG182" i="1"/>
  <c r="N182" i="1"/>
  <c r="AF182" i="1" s="1"/>
  <c r="AH182" i="1" s="1"/>
  <c r="AH181" i="1"/>
  <c r="AG181" i="1"/>
  <c r="N181" i="1"/>
  <c r="AF181" i="1" s="1"/>
  <c r="AG180" i="1"/>
  <c r="N180" i="1"/>
  <c r="AF180" i="1" s="1"/>
  <c r="AH180" i="1" s="1"/>
  <c r="AG179" i="1"/>
  <c r="N179" i="1"/>
  <c r="AF179" i="1" s="1"/>
  <c r="AH179" i="1" s="1"/>
  <c r="AG178" i="1"/>
  <c r="N178" i="1"/>
  <c r="AF178" i="1" s="1"/>
  <c r="AG177" i="1"/>
  <c r="N177" i="1"/>
  <c r="AF177" i="1" s="1"/>
  <c r="AH177" i="1" s="1"/>
  <c r="AG176" i="1"/>
  <c r="N176" i="1"/>
  <c r="AF176" i="1" s="1"/>
  <c r="AH176" i="1" s="1"/>
  <c r="AG175" i="1"/>
  <c r="AF175" i="1"/>
  <c r="AH175" i="1" s="1"/>
  <c r="N175" i="1"/>
  <c r="AH174" i="1"/>
  <c r="AG174" i="1"/>
  <c r="N174" i="1"/>
  <c r="AF174" i="1" s="1"/>
  <c r="AG173" i="1"/>
  <c r="N173" i="1"/>
  <c r="AF173" i="1" s="1"/>
  <c r="AG172" i="1"/>
  <c r="AH172" i="1" s="1"/>
  <c r="N172" i="1"/>
  <c r="AF172" i="1" s="1"/>
  <c r="AG171" i="1"/>
  <c r="N171" i="1"/>
  <c r="AF171" i="1" s="1"/>
  <c r="AG170" i="1"/>
  <c r="AF170" i="1"/>
  <c r="AH170" i="1" s="1"/>
  <c r="N170" i="1"/>
  <c r="AG169" i="1"/>
  <c r="N169" i="1"/>
  <c r="AF169" i="1" s="1"/>
  <c r="AH169" i="1" s="1"/>
  <c r="AG168" i="1"/>
  <c r="N168" i="1"/>
  <c r="AF168" i="1" s="1"/>
  <c r="AH168" i="1" s="1"/>
  <c r="AG167" i="1"/>
  <c r="N167" i="1"/>
  <c r="AF167" i="1" s="1"/>
  <c r="AG166" i="1"/>
  <c r="N166" i="1"/>
  <c r="AF166" i="1" s="1"/>
  <c r="AH166" i="1" s="1"/>
  <c r="AG165" i="1"/>
  <c r="N165" i="1"/>
  <c r="AF165" i="1" s="1"/>
  <c r="AH165" i="1" s="1"/>
  <c r="AG164" i="1"/>
  <c r="N164" i="1"/>
  <c r="AF164" i="1" s="1"/>
  <c r="AH164" i="1" s="1"/>
  <c r="AG163" i="1"/>
  <c r="N163" i="1"/>
  <c r="AF163" i="1" s="1"/>
  <c r="AH163" i="1" s="1"/>
  <c r="AG162" i="1"/>
  <c r="AH162" i="1" s="1"/>
  <c r="N162" i="1"/>
  <c r="AF162" i="1" s="1"/>
  <c r="AG161" i="1"/>
  <c r="N161" i="1"/>
  <c r="AF161" i="1" s="1"/>
  <c r="AH161" i="1" s="1"/>
  <c r="AH160" i="1"/>
  <c r="AG160" i="1"/>
  <c r="N160" i="1"/>
  <c r="AF160" i="1" s="1"/>
  <c r="AG159" i="1"/>
  <c r="AF159" i="1"/>
  <c r="AH159" i="1" s="1"/>
  <c r="N159" i="1"/>
  <c r="AG158" i="1"/>
  <c r="N158" i="1"/>
  <c r="AF158" i="1" s="1"/>
  <c r="AH158" i="1" s="1"/>
  <c r="AG157" i="1"/>
  <c r="AH157" i="1" s="1"/>
  <c r="N157" i="1"/>
  <c r="AF157" i="1" s="1"/>
  <c r="AG156" i="1"/>
  <c r="AH156" i="1" s="1"/>
  <c r="N156" i="1"/>
  <c r="AF156" i="1" s="1"/>
  <c r="AG155" i="1"/>
  <c r="AH155" i="1" s="1"/>
  <c r="AF155" i="1"/>
  <c r="N155" i="1"/>
  <c r="AG154" i="1"/>
  <c r="AF154" i="1"/>
  <c r="AH154" i="1" s="1"/>
  <c r="N154" i="1"/>
  <c r="AG153" i="1"/>
  <c r="AF153" i="1"/>
  <c r="AH153" i="1" s="1"/>
  <c r="N153" i="1"/>
  <c r="AG152" i="1"/>
  <c r="AF152" i="1"/>
  <c r="AH152" i="1" s="1"/>
  <c r="N152" i="1"/>
  <c r="AG151" i="1"/>
  <c r="AH151" i="1" s="1"/>
  <c r="N151" i="1"/>
  <c r="AF151" i="1" s="1"/>
  <c r="AG150" i="1"/>
  <c r="N150" i="1"/>
  <c r="AF150" i="1" s="1"/>
  <c r="AH150" i="1" s="1"/>
  <c r="AG149" i="1"/>
  <c r="N149" i="1"/>
  <c r="AF149" i="1" s="1"/>
  <c r="AH149" i="1" s="1"/>
  <c r="AG148" i="1"/>
  <c r="AH148" i="1" s="1"/>
  <c r="N148" i="1"/>
  <c r="AF148" i="1" s="1"/>
  <c r="AG147" i="1"/>
  <c r="N147" i="1"/>
  <c r="AF147" i="1" s="1"/>
  <c r="AH147" i="1" s="1"/>
  <c r="AG146" i="1"/>
  <c r="AH146" i="1" s="1"/>
  <c r="N146" i="1"/>
  <c r="AF146" i="1" s="1"/>
  <c r="AG145" i="1"/>
  <c r="N145" i="1"/>
  <c r="AF145" i="1" s="1"/>
  <c r="AH145" i="1" s="1"/>
  <c r="AH144" i="1"/>
  <c r="AG144" i="1"/>
  <c r="N144" i="1"/>
  <c r="AF144" i="1" s="1"/>
  <c r="AG143" i="1"/>
  <c r="AF143" i="1"/>
  <c r="AH143" i="1" s="1"/>
  <c r="N143" i="1"/>
  <c r="AG142" i="1"/>
  <c r="N142" i="1"/>
  <c r="AF142" i="1" s="1"/>
  <c r="AH142" i="1" s="1"/>
  <c r="AG141" i="1"/>
  <c r="N141" i="1"/>
  <c r="AF141" i="1" s="1"/>
  <c r="AG140" i="1"/>
  <c r="N140" i="1"/>
  <c r="AF140" i="1" s="1"/>
  <c r="AG139" i="1"/>
  <c r="N139" i="1"/>
  <c r="AF139" i="1" s="1"/>
  <c r="AG138" i="1"/>
  <c r="N138" i="1"/>
  <c r="AF138" i="1" s="1"/>
  <c r="AH138" i="1" s="1"/>
  <c r="AG137" i="1"/>
  <c r="AF137" i="1"/>
  <c r="AH137" i="1" s="1"/>
  <c r="N137" i="1"/>
  <c r="AG136" i="1"/>
  <c r="N136" i="1"/>
  <c r="AF136" i="1" s="1"/>
  <c r="AH136" i="1" s="1"/>
  <c r="AG135" i="1"/>
  <c r="AH135" i="1" s="1"/>
  <c r="N135" i="1"/>
  <c r="AF135" i="1" s="1"/>
  <c r="AG134" i="1"/>
  <c r="N134" i="1"/>
  <c r="AF134" i="1" s="1"/>
  <c r="AH134" i="1" s="1"/>
  <c r="AH133" i="1"/>
  <c r="AG133" i="1"/>
  <c r="N133" i="1"/>
  <c r="AF133" i="1" s="1"/>
  <c r="AG132" i="1"/>
  <c r="N132" i="1"/>
  <c r="AF132" i="1" s="1"/>
  <c r="AG131" i="1"/>
  <c r="N131" i="1"/>
  <c r="AF131" i="1" s="1"/>
  <c r="AH131" i="1" s="1"/>
  <c r="AG130" i="1"/>
  <c r="N130" i="1"/>
  <c r="AF130" i="1" s="1"/>
  <c r="AG129" i="1"/>
  <c r="N129" i="1"/>
  <c r="AF129" i="1" s="1"/>
  <c r="AH129" i="1" s="1"/>
  <c r="AG128" i="1"/>
  <c r="N128" i="1"/>
  <c r="AF128" i="1" s="1"/>
  <c r="AH128" i="1" s="1"/>
  <c r="AG127" i="1"/>
  <c r="N127" i="1"/>
  <c r="AF127" i="1" s="1"/>
  <c r="AH127" i="1" s="1"/>
  <c r="AH126" i="1"/>
  <c r="AG126" i="1"/>
  <c r="N126" i="1"/>
  <c r="AF126" i="1" s="1"/>
  <c r="AG125" i="1"/>
  <c r="AH125" i="1" s="1"/>
  <c r="N125" i="1"/>
  <c r="AF125" i="1" s="1"/>
  <c r="AG124" i="1"/>
  <c r="N124" i="1"/>
  <c r="AF124" i="1" s="1"/>
  <c r="AG123" i="1"/>
  <c r="N123" i="1"/>
  <c r="AF123" i="1" s="1"/>
  <c r="AG122" i="1"/>
  <c r="AF122" i="1"/>
  <c r="AH122" i="1" s="1"/>
  <c r="N122" i="1"/>
  <c r="AG121" i="1"/>
  <c r="N121" i="1"/>
  <c r="AF121" i="1" s="1"/>
  <c r="AH121" i="1" s="1"/>
  <c r="AG120" i="1"/>
  <c r="N120" i="1"/>
  <c r="AF120" i="1" s="1"/>
  <c r="AH120" i="1" s="1"/>
  <c r="AG119" i="1"/>
  <c r="AH119" i="1" s="1"/>
  <c r="N119" i="1"/>
  <c r="AF119" i="1" s="1"/>
  <c r="AG118" i="1"/>
  <c r="N118" i="1"/>
  <c r="AF118" i="1" s="1"/>
  <c r="AH118" i="1" s="1"/>
  <c r="AG117" i="1"/>
  <c r="N117" i="1"/>
  <c r="AF117" i="1" s="1"/>
  <c r="AH117" i="1" s="1"/>
  <c r="AG116" i="1"/>
  <c r="AH116" i="1" s="1"/>
  <c r="N116" i="1"/>
  <c r="AF116" i="1" s="1"/>
  <c r="AG115" i="1"/>
  <c r="N115" i="1"/>
  <c r="AF115" i="1" s="1"/>
  <c r="AH115" i="1" s="1"/>
  <c r="AG114" i="1"/>
  <c r="AH114" i="1" s="1"/>
  <c r="N114" i="1"/>
  <c r="AF114" i="1" s="1"/>
  <c r="AG113" i="1"/>
  <c r="N113" i="1"/>
  <c r="AF113" i="1" s="1"/>
  <c r="AH113" i="1" s="1"/>
  <c r="AH112" i="1"/>
  <c r="AG112" i="1"/>
  <c r="N112" i="1"/>
  <c r="AF112" i="1" s="1"/>
  <c r="AG111" i="1"/>
  <c r="AF111" i="1"/>
  <c r="AH111" i="1" s="1"/>
  <c r="N111" i="1"/>
  <c r="AG110" i="1"/>
  <c r="N110" i="1"/>
  <c r="AF110" i="1" s="1"/>
  <c r="AH110" i="1" s="1"/>
  <c r="AG109" i="1"/>
  <c r="AH109" i="1" s="1"/>
  <c r="AF109" i="1"/>
  <c r="N109" i="1"/>
  <c r="AG108" i="1"/>
  <c r="N108" i="1"/>
  <c r="AF108" i="1" s="1"/>
  <c r="AG107" i="1"/>
  <c r="AH107" i="1" s="1"/>
  <c r="N107" i="1"/>
  <c r="AF107" i="1" s="1"/>
  <c r="AG106" i="1"/>
  <c r="N106" i="1"/>
  <c r="AF106" i="1" s="1"/>
  <c r="AH106" i="1" s="1"/>
  <c r="AG105" i="1"/>
  <c r="N105" i="1"/>
  <c r="AF105" i="1" s="1"/>
  <c r="AH105" i="1" s="1"/>
  <c r="AG104" i="1"/>
  <c r="AF104" i="1"/>
  <c r="AH104" i="1" s="1"/>
  <c r="N104" i="1"/>
  <c r="AG103" i="1"/>
  <c r="N103" i="1"/>
  <c r="AF103" i="1" s="1"/>
  <c r="AG102" i="1"/>
  <c r="N102" i="1"/>
  <c r="AF102" i="1" s="1"/>
  <c r="AG101" i="1"/>
  <c r="N101" i="1"/>
  <c r="AF101" i="1" s="1"/>
  <c r="AH101" i="1" s="1"/>
  <c r="AG100" i="1"/>
  <c r="N100" i="1"/>
  <c r="AF100" i="1" s="1"/>
  <c r="AH100" i="1" s="1"/>
  <c r="AG99" i="1"/>
  <c r="N99" i="1"/>
  <c r="AF99" i="1" s="1"/>
  <c r="AH99" i="1" s="1"/>
  <c r="AG98" i="1"/>
  <c r="N98" i="1"/>
  <c r="AF98" i="1" s="1"/>
  <c r="AG97" i="1"/>
  <c r="N97" i="1"/>
  <c r="AF97" i="1" s="1"/>
  <c r="AH97" i="1" s="1"/>
  <c r="AH96" i="1"/>
  <c r="AG96" i="1"/>
  <c r="N96" i="1"/>
  <c r="AF96" i="1" s="1"/>
  <c r="AG95" i="1"/>
  <c r="AF95" i="1"/>
  <c r="AH95" i="1" s="1"/>
  <c r="N95" i="1"/>
  <c r="AG94" i="1"/>
  <c r="N94" i="1"/>
  <c r="AF94" i="1" s="1"/>
  <c r="AH94" i="1" s="1"/>
  <c r="AG93" i="1"/>
  <c r="AF93" i="1"/>
  <c r="N93" i="1"/>
  <c r="AG92" i="1"/>
  <c r="N92" i="1"/>
  <c r="AF92" i="1" s="1"/>
  <c r="AG91" i="1"/>
  <c r="N91" i="1"/>
  <c r="AF91" i="1" s="1"/>
  <c r="AG90" i="1"/>
  <c r="AF90" i="1"/>
  <c r="AH90" i="1" s="1"/>
  <c r="N90" i="1"/>
  <c r="AG89" i="1"/>
  <c r="N89" i="1"/>
  <c r="AF89" i="1" s="1"/>
  <c r="AH89" i="1" s="1"/>
  <c r="AG88" i="1"/>
  <c r="N88" i="1"/>
  <c r="AF88" i="1" s="1"/>
  <c r="AH88" i="1" s="1"/>
  <c r="AG87" i="1"/>
  <c r="N87" i="1"/>
  <c r="AF87" i="1" s="1"/>
  <c r="AG86" i="1"/>
  <c r="AH86" i="1" s="1"/>
  <c r="N86" i="1"/>
  <c r="AF86" i="1" s="1"/>
  <c r="AG85" i="1"/>
  <c r="N85" i="1"/>
  <c r="AF85" i="1" s="1"/>
  <c r="AH85" i="1" s="1"/>
  <c r="AG84" i="1"/>
  <c r="AH84" i="1" s="1"/>
  <c r="N84" i="1"/>
  <c r="AF84" i="1" s="1"/>
  <c r="AH83" i="1"/>
  <c r="AG83" i="1"/>
  <c r="N83" i="1"/>
  <c r="AF83" i="1" s="1"/>
  <c r="AG82" i="1"/>
  <c r="AH82" i="1" s="1"/>
  <c r="N82" i="1"/>
  <c r="AF82" i="1" s="1"/>
  <c r="AG81" i="1"/>
  <c r="N81" i="1"/>
  <c r="AF81" i="1" s="1"/>
  <c r="AH81" i="1" s="1"/>
  <c r="AG80" i="1"/>
  <c r="AH80" i="1" s="1"/>
  <c r="N80" i="1"/>
  <c r="AF80" i="1" s="1"/>
  <c r="AH79" i="1"/>
  <c r="AG79" i="1"/>
  <c r="AF79" i="1"/>
  <c r="N79" i="1"/>
  <c r="AG78" i="1"/>
  <c r="N78" i="1"/>
  <c r="AF78" i="1" s="1"/>
  <c r="AH78" i="1" s="1"/>
  <c r="AG77" i="1"/>
  <c r="AF77" i="1"/>
  <c r="N77" i="1"/>
  <c r="AG76" i="1"/>
  <c r="N76" i="1"/>
  <c r="AF76" i="1" s="1"/>
  <c r="AG75" i="1"/>
  <c r="AH75" i="1" s="1"/>
  <c r="N75" i="1"/>
  <c r="AF75" i="1" s="1"/>
  <c r="AG74" i="1"/>
  <c r="AF74" i="1"/>
  <c r="AH74" i="1" s="1"/>
  <c r="N74" i="1"/>
  <c r="AG73" i="1"/>
  <c r="AF73" i="1"/>
  <c r="AH73" i="1" s="1"/>
  <c r="N73" i="1"/>
  <c r="AG72" i="1"/>
  <c r="N72" i="1"/>
  <c r="AF72" i="1" s="1"/>
  <c r="AH72" i="1" s="1"/>
  <c r="AG71" i="1"/>
  <c r="N71" i="1"/>
  <c r="AF71" i="1" s="1"/>
  <c r="AH71" i="1" s="1"/>
  <c r="AG70" i="1"/>
  <c r="AH70" i="1" s="1"/>
  <c r="N70" i="1"/>
  <c r="AF70" i="1" s="1"/>
  <c r="AG69" i="1"/>
  <c r="N69" i="1"/>
  <c r="AF69" i="1" s="1"/>
  <c r="AH69" i="1" s="1"/>
  <c r="AG68" i="1"/>
  <c r="N68" i="1"/>
  <c r="AF68" i="1" s="1"/>
  <c r="AH68" i="1" s="1"/>
  <c r="AG67" i="1"/>
  <c r="N67" i="1"/>
  <c r="AF67" i="1" s="1"/>
  <c r="AH67" i="1" s="1"/>
  <c r="AG66" i="1"/>
  <c r="N66" i="1"/>
  <c r="AF66" i="1" s="1"/>
  <c r="AG65" i="1"/>
  <c r="N65" i="1"/>
  <c r="AF65" i="1" s="1"/>
  <c r="AH65" i="1" s="1"/>
  <c r="AG64" i="1"/>
  <c r="AH64" i="1" s="1"/>
  <c r="AF64" i="1"/>
  <c r="N64" i="1"/>
  <c r="AG63" i="1"/>
  <c r="N63" i="1"/>
  <c r="AF63" i="1" s="1"/>
  <c r="AH63" i="1" s="1"/>
  <c r="AH62" i="1"/>
  <c r="AG62" i="1"/>
  <c r="N62" i="1"/>
  <c r="AF62" i="1" s="1"/>
  <c r="AG61" i="1"/>
  <c r="N61" i="1"/>
  <c r="AF61" i="1" s="1"/>
  <c r="AG60" i="1"/>
  <c r="N60" i="1"/>
  <c r="AF60" i="1" s="1"/>
  <c r="AH59" i="1"/>
  <c r="AG59" i="1"/>
  <c r="N59" i="1"/>
  <c r="AF59" i="1" s="1"/>
  <c r="AG58" i="1"/>
  <c r="N58" i="1"/>
  <c r="AF58" i="1" s="1"/>
  <c r="AH58" i="1" s="1"/>
  <c r="AG57" i="1"/>
  <c r="N57" i="1"/>
  <c r="AF57" i="1" s="1"/>
  <c r="AH57" i="1" s="1"/>
  <c r="AG56" i="1"/>
  <c r="N56" i="1"/>
  <c r="AF56" i="1" s="1"/>
  <c r="AH56" i="1" s="1"/>
  <c r="AG55" i="1"/>
  <c r="N55" i="1"/>
  <c r="AF55" i="1" s="1"/>
  <c r="AH55" i="1" s="1"/>
  <c r="AG54" i="1"/>
  <c r="N54" i="1"/>
  <c r="AF54" i="1" s="1"/>
  <c r="AH54" i="1" s="1"/>
  <c r="AG53" i="1"/>
  <c r="N53" i="1"/>
  <c r="AF53" i="1" s="1"/>
  <c r="AH53" i="1" s="1"/>
  <c r="AG52" i="1"/>
  <c r="N52" i="1"/>
  <c r="AF52" i="1" s="1"/>
  <c r="AH52" i="1" s="1"/>
  <c r="AG51" i="1"/>
  <c r="AH51" i="1" s="1"/>
  <c r="AF51" i="1"/>
  <c r="N51" i="1"/>
  <c r="AG50" i="1"/>
  <c r="N50" i="1"/>
  <c r="AF50" i="1" s="1"/>
  <c r="AG49" i="1"/>
  <c r="N49" i="1"/>
  <c r="AF49" i="1" s="1"/>
  <c r="AH49" i="1" s="1"/>
  <c r="AG48" i="1"/>
  <c r="AH48" i="1" s="1"/>
  <c r="AF48" i="1"/>
  <c r="N48" i="1"/>
  <c r="AG47" i="1"/>
  <c r="N47" i="1"/>
  <c r="AF47" i="1" s="1"/>
  <c r="AH47" i="1" s="1"/>
  <c r="AG46" i="1"/>
  <c r="N46" i="1"/>
  <c r="AF46" i="1" s="1"/>
  <c r="AH46" i="1" s="1"/>
  <c r="AG45" i="1"/>
  <c r="N45" i="1"/>
  <c r="AF45" i="1" s="1"/>
  <c r="AG44" i="1"/>
  <c r="N44" i="1"/>
  <c r="AF44" i="1" s="1"/>
  <c r="AG43" i="1"/>
  <c r="AH43" i="1" s="1"/>
  <c r="N43" i="1"/>
  <c r="AF43" i="1" s="1"/>
  <c r="AG42" i="1"/>
  <c r="N42" i="1"/>
  <c r="AF42" i="1" s="1"/>
  <c r="AH42" i="1" s="1"/>
  <c r="AG41" i="1"/>
  <c r="AH41" i="1" s="1"/>
  <c r="AF41" i="1"/>
  <c r="N41" i="1"/>
  <c r="AG40" i="1"/>
  <c r="AH40" i="1" s="1"/>
  <c r="AF40" i="1"/>
  <c r="N40" i="1"/>
  <c r="AG39" i="1"/>
  <c r="N39" i="1"/>
  <c r="AF39" i="1" s="1"/>
  <c r="AH39" i="1" s="1"/>
  <c r="AG38" i="1"/>
  <c r="N38" i="1"/>
  <c r="AF38" i="1" s="1"/>
  <c r="AH38" i="1" s="1"/>
  <c r="AG37" i="1"/>
  <c r="AH37" i="1" s="1"/>
  <c r="Z37" i="1"/>
  <c r="N37" i="1"/>
  <c r="AF37" i="1" s="1"/>
  <c r="AG36" i="1"/>
  <c r="N36" i="1"/>
  <c r="AF36" i="1" s="1"/>
  <c r="AG35" i="1"/>
  <c r="N35" i="1"/>
  <c r="AF35" i="1" s="1"/>
  <c r="AG34" i="1"/>
  <c r="N34" i="1"/>
  <c r="AF34" i="1" s="1"/>
  <c r="AH34" i="1" s="1"/>
  <c r="AG33" i="1"/>
  <c r="N33" i="1"/>
  <c r="AF33" i="1" s="1"/>
  <c r="AH33" i="1" s="1"/>
  <c r="AG32" i="1"/>
  <c r="N32" i="1"/>
  <c r="AF32" i="1" s="1"/>
  <c r="AH32" i="1" s="1"/>
  <c r="AG31" i="1"/>
  <c r="N31" i="1"/>
  <c r="AF31" i="1" s="1"/>
  <c r="AH31" i="1" s="1"/>
  <c r="AG30" i="1"/>
  <c r="N30" i="1"/>
  <c r="AF30" i="1" s="1"/>
  <c r="AG29" i="1"/>
  <c r="AH29" i="1" s="1"/>
  <c r="N29" i="1"/>
  <c r="AF29" i="1" s="1"/>
  <c r="AG28" i="1"/>
  <c r="N28" i="1"/>
  <c r="AF28" i="1" s="1"/>
  <c r="AH28" i="1" s="1"/>
  <c r="AG27" i="1"/>
  <c r="AH27" i="1" s="1"/>
  <c r="AF27" i="1"/>
  <c r="N27" i="1"/>
  <c r="AG26" i="1"/>
  <c r="AH26" i="1" s="1"/>
  <c r="N26" i="1"/>
  <c r="AF26" i="1" s="1"/>
  <c r="AG25" i="1"/>
  <c r="AH25" i="1" s="1"/>
  <c r="AF25" i="1"/>
  <c r="N25" i="1"/>
  <c r="AG24" i="1"/>
  <c r="N24" i="1"/>
  <c r="AF24" i="1" s="1"/>
  <c r="AH24" i="1" s="1"/>
  <c r="AG23" i="1"/>
  <c r="AH23" i="1" s="1"/>
  <c r="N23" i="1"/>
  <c r="AF23" i="1" s="1"/>
  <c r="AG22" i="1"/>
  <c r="N22" i="1"/>
  <c r="AF22" i="1" s="1"/>
  <c r="AG21" i="1"/>
  <c r="N21" i="1"/>
  <c r="AF21" i="1" s="1"/>
  <c r="AH21" i="1" s="1"/>
  <c r="AG20" i="1"/>
  <c r="AH20" i="1" s="1"/>
  <c r="N20" i="1"/>
  <c r="AF20" i="1" s="1"/>
  <c r="AG19" i="1"/>
  <c r="N19" i="1"/>
  <c r="AF19" i="1" s="1"/>
  <c r="AH19" i="1" s="1"/>
  <c r="AG18" i="1"/>
  <c r="N18" i="1"/>
  <c r="AF18" i="1" s="1"/>
  <c r="AG17" i="1"/>
  <c r="N17" i="1"/>
  <c r="AF17" i="1" s="1"/>
  <c r="AH17" i="1" s="1"/>
  <c r="AG16" i="1"/>
  <c r="N16" i="1"/>
  <c r="AF16" i="1" s="1"/>
  <c r="AH16" i="1" s="1"/>
  <c r="AG15" i="1"/>
  <c r="N15" i="1"/>
  <c r="AF15" i="1" s="1"/>
  <c r="AH15" i="1" s="1"/>
  <c r="AG14" i="1"/>
  <c r="AH14" i="1" s="1"/>
  <c r="N14" i="1"/>
  <c r="AF14" i="1" s="1"/>
  <c r="AG13" i="1"/>
  <c r="N13" i="1"/>
  <c r="AF13" i="1" s="1"/>
  <c r="AG12" i="1"/>
  <c r="N12" i="1"/>
  <c r="AF12" i="1" s="1"/>
  <c r="AH12" i="1" s="1"/>
  <c r="AG11" i="1"/>
  <c r="AH11" i="1" s="1"/>
  <c r="AF11" i="1"/>
  <c r="N11" i="1"/>
  <c r="AG10" i="1"/>
  <c r="N10" i="1"/>
  <c r="AF10" i="1" s="1"/>
  <c r="AG9" i="1"/>
  <c r="AH9" i="1" s="1"/>
  <c r="AF9" i="1"/>
  <c r="N9" i="1"/>
  <c r="AG8" i="1"/>
  <c r="N8" i="1"/>
  <c r="AF8" i="1" s="1"/>
  <c r="AH8" i="1" s="1"/>
  <c r="Z7" i="1"/>
  <c r="AG7" i="1" s="1"/>
  <c r="N7" i="1"/>
  <c r="AF7" i="1" s="1"/>
  <c r="AG6" i="1"/>
  <c r="AH6" i="1" s="1"/>
  <c r="AF6" i="1"/>
  <c r="N6" i="1"/>
  <c r="AG5" i="1"/>
  <c r="N5" i="1"/>
  <c r="AF5" i="1" s="1"/>
  <c r="AH5" i="1" s="1"/>
  <c r="AG4" i="1"/>
  <c r="N4" i="1"/>
  <c r="AF4" i="1" s="1"/>
  <c r="AG3" i="1"/>
  <c r="P1" i="1"/>
  <c r="W1" i="1"/>
  <c r="V1" i="1"/>
  <c r="U1" i="1"/>
  <c r="T1" i="1"/>
  <c r="S1" i="1"/>
  <c r="R1" i="1"/>
  <c r="Q1" i="1"/>
  <c r="O1" i="1"/>
  <c r="AH4" i="1" l="1"/>
  <c r="AH10" i="1"/>
  <c r="AH22" i="1"/>
  <c r="AH35" i="1"/>
  <c r="AH30" i="1"/>
  <c r="AH18" i="1"/>
  <c r="AH7" i="1"/>
  <c r="AH13" i="1"/>
  <c r="AH44" i="1"/>
  <c r="AH76" i="1"/>
  <c r="AH92" i="1"/>
  <c r="AH102" i="1"/>
  <c r="AH124" i="1"/>
  <c r="AH141" i="1"/>
  <c r="AH231" i="1"/>
  <c r="AH237" i="1"/>
  <c r="AH324" i="1"/>
  <c r="AH330" i="1"/>
  <c r="AH370" i="1"/>
  <c r="AH446" i="1"/>
  <c r="AH478" i="1"/>
  <c r="AH45" i="1"/>
  <c r="AH108" i="1"/>
  <c r="AH220" i="1"/>
  <c r="AH336" i="1"/>
  <c r="AH353" i="1"/>
  <c r="AH376" i="1"/>
  <c r="AH406" i="1"/>
  <c r="AH418" i="1"/>
  <c r="AG1" i="1"/>
  <c r="AH87" i="1"/>
  <c r="AH130" i="1"/>
  <c r="AH365" i="1"/>
  <c r="AH371" i="1"/>
  <c r="AH466" i="1"/>
  <c r="AH50" i="1"/>
  <c r="AH103" i="1"/>
  <c r="AH215" i="1"/>
  <c r="AH320" i="1"/>
  <c r="AH325" i="1"/>
  <c r="AH342" i="1"/>
  <c r="AH354" i="1"/>
  <c r="AH419" i="1"/>
  <c r="Z1" i="1"/>
  <c r="N3" i="1"/>
  <c r="AH77" i="1"/>
  <c r="AH93" i="1"/>
  <c r="AH98" i="1"/>
  <c r="AH204" i="1"/>
  <c r="AH442" i="1"/>
  <c r="AH474" i="1"/>
  <c r="AH188" i="1"/>
  <c r="AH289" i="1"/>
  <c r="AH295" i="1"/>
  <c r="AH300" i="1"/>
  <c r="AH390" i="1"/>
  <c r="AH402" i="1"/>
  <c r="AH60" i="1"/>
  <c r="AH132" i="1"/>
  <c r="AH171" i="1"/>
  <c r="AH267" i="1"/>
  <c r="AH284" i="1"/>
  <c r="AH317" i="1"/>
  <c r="AH431" i="1"/>
  <c r="AH462" i="1"/>
  <c r="AH183" i="1"/>
  <c r="AH189" i="1"/>
  <c r="AH194" i="1"/>
  <c r="AH273" i="1"/>
  <c r="AH279" i="1"/>
  <c r="AH306" i="1"/>
  <c r="AH409" i="1"/>
  <c r="AH36" i="1"/>
  <c r="AH61" i="1"/>
  <c r="AH139" i="1"/>
  <c r="AH167" i="1"/>
  <c r="AH173" i="1"/>
  <c r="AH178" i="1"/>
  <c r="AH235" i="1"/>
  <c r="AH252" i="1"/>
  <c r="AH269" i="1"/>
  <c r="AH274" i="1"/>
  <c r="AH307" i="1"/>
  <c r="AH374" i="1"/>
  <c r="AH386" i="1"/>
  <c r="AH410" i="1"/>
  <c r="AH438" i="1"/>
  <c r="AH470" i="1"/>
  <c r="AH241" i="1"/>
  <c r="AH247" i="1"/>
  <c r="AH291" i="1"/>
  <c r="AH334" i="1"/>
  <c r="AH340" i="1"/>
  <c r="AH351" i="1"/>
  <c r="AH66" i="1"/>
  <c r="AH91" i="1"/>
  <c r="AH123" i="1"/>
  <c r="AH140" i="1"/>
  <c r="AH236" i="1"/>
  <c r="AH369" i="1"/>
  <c r="AH387" i="1"/>
  <c r="AH423" i="1"/>
  <c r="AH433" i="1"/>
  <c r="AH458" i="1"/>
  <c r="AH491" i="1"/>
  <c r="AF3" i="1" l="1"/>
  <c r="N1" i="1"/>
  <c r="AF1" i="1" l="1"/>
  <c r="AH3" i="1"/>
  <c r="AH1" i="1" s="1"/>
</calcChain>
</file>

<file path=xl/sharedStrings.xml><?xml version="1.0" encoding="utf-8"?>
<sst xmlns="http://schemas.openxmlformats.org/spreadsheetml/2006/main" count="6486" uniqueCount="774">
  <si>
    <t>setor</t>
  </si>
  <si>
    <t>equipe</t>
  </si>
  <si>
    <t>custo</t>
  </si>
  <si>
    <t>responsavel_direto</t>
  </si>
  <si>
    <t>matricula</t>
  </si>
  <si>
    <t>nome</t>
  </si>
  <si>
    <t>funcao</t>
  </si>
  <si>
    <t>Canteiro</t>
  </si>
  <si>
    <t>admissao</t>
  </si>
  <si>
    <t>rescisao</t>
  </si>
  <si>
    <t>status</t>
  </si>
  <si>
    <t>horario</t>
  </si>
  <si>
    <t>regime_contratacao</t>
  </si>
  <si>
    <t>Custo TOTAL MO</t>
  </si>
  <si>
    <t>salario</t>
  </si>
  <si>
    <t>Custo HE c/ DSR</t>
  </si>
  <si>
    <t>Custo Benefícios</t>
  </si>
  <si>
    <t xml:space="preserve">Custo Encargos </t>
  </si>
  <si>
    <t>Provisões - 13º + Férias</t>
  </si>
  <si>
    <t>Descontos</t>
  </si>
  <si>
    <t>vale_refeicao</t>
  </si>
  <si>
    <t>valor_veiculo</t>
  </si>
  <si>
    <t>combustivel</t>
  </si>
  <si>
    <t>veiculo</t>
  </si>
  <si>
    <t>placa</t>
  </si>
  <si>
    <t>valor_mensal</t>
  </si>
  <si>
    <t>notebook</t>
  </si>
  <si>
    <t>monitor</t>
  </si>
  <si>
    <t>celular</t>
  </si>
  <si>
    <t>categoria_frota</t>
  </si>
  <si>
    <t>tipo_equipamento</t>
  </si>
  <si>
    <t>custo_pessoal</t>
  </si>
  <si>
    <t>custo_frota</t>
  </si>
  <si>
    <t>custo_total</t>
  </si>
  <si>
    <t>Veiculo</t>
  </si>
  <si>
    <t>Sexo</t>
  </si>
  <si>
    <t>Administração</t>
  </si>
  <si>
    <t>Indireto</t>
  </si>
  <si>
    <t>Raissa Lisboa Santos</t>
  </si>
  <si>
    <t>Assistente Administrativo</t>
  </si>
  <si>
    <t/>
  </si>
  <si>
    <t>Inativo (a)</t>
  </si>
  <si>
    <t>07:00 as 17:00</t>
  </si>
  <si>
    <t>CLT</t>
  </si>
  <si>
    <t>-</t>
  </si>
  <si>
    <t>Leve</t>
  </si>
  <si>
    <t>Veículo</t>
  </si>
  <si>
    <t>Feminino</t>
  </si>
  <si>
    <t>Suprimentos</t>
  </si>
  <si>
    <t>Giovanna Alves Costa</t>
  </si>
  <si>
    <t>Assistente de Compras</t>
  </si>
  <si>
    <t>Almoxarifado</t>
  </si>
  <si>
    <t>Renato Lisboa Da Silva</t>
  </si>
  <si>
    <t>Almoxarife I</t>
  </si>
  <si>
    <t>Masculino</t>
  </si>
  <si>
    <t>Produção</t>
  </si>
  <si>
    <t>Direto</t>
  </si>
  <si>
    <t>José Antonio</t>
  </si>
  <si>
    <t>Rafael Souza Santos</t>
  </si>
  <si>
    <t>Pedreiro</t>
  </si>
  <si>
    <t>FERRAZ</t>
  </si>
  <si>
    <t>Ativo</t>
  </si>
  <si>
    <t>Carpintaria</t>
  </si>
  <si>
    <t>Gabriel Gomes De Freitas</t>
  </si>
  <si>
    <t>Motorista de Caminhão I</t>
  </si>
  <si>
    <t>caminhão</t>
  </si>
  <si>
    <t>Antonio Gomes Do Nascimento</t>
  </si>
  <si>
    <t>Carpinteiro</t>
  </si>
  <si>
    <t>DAVÓ</t>
  </si>
  <si>
    <t>Rafael José</t>
  </si>
  <si>
    <t>Regina Rodrigues Pereira De Jesus</t>
  </si>
  <si>
    <t>Analista Administrativo Financeiro I</t>
  </si>
  <si>
    <t>Amanda Morais Dos Santos</t>
  </si>
  <si>
    <t>Assistente de Adm. De Pessoal</t>
  </si>
  <si>
    <t>Jardel Gomes De Oliveira</t>
  </si>
  <si>
    <t>Coordenador Administrativo de Obra</t>
  </si>
  <si>
    <t>Serviços gerais</t>
  </si>
  <si>
    <t>Elivania Ferreira Dos Santos</t>
  </si>
  <si>
    <t>Auxiliar de Serviços Gerais</t>
  </si>
  <si>
    <t>Marcelino Jose Dos Santos</t>
  </si>
  <si>
    <t>Encanador I</t>
  </si>
  <si>
    <t>David Dos Santos Silva</t>
  </si>
  <si>
    <t>Ajudante de Obras</t>
  </si>
  <si>
    <t>Valter</t>
  </si>
  <si>
    <t>Aparecido Pereira Coutinho</t>
  </si>
  <si>
    <t>Produção Canteiro</t>
  </si>
  <si>
    <t>Rodrigo Ferreira De Araujo</t>
  </si>
  <si>
    <t>Operador de Máquinas II</t>
  </si>
  <si>
    <t>Maquina</t>
  </si>
  <si>
    <t>QSMS</t>
  </si>
  <si>
    <t>Segurança do Trabalho</t>
  </si>
  <si>
    <t>Uilian Da Silva Meira Santos</t>
  </si>
  <si>
    <t>Técnico em Segurança do Trabalho</t>
  </si>
  <si>
    <t>Edivando</t>
  </si>
  <si>
    <t>Carlos Dos Santos Silva Junior</t>
  </si>
  <si>
    <t>Jose Aparecido Camargos</t>
  </si>
  <si>
    <t>Luiz Claudio Cordeiro</t>
  </si>
  <si>
    <t>Severino Simao Irmao</t>
  </si>
  <si>
    <t>Encarregado III</t>
  </si>
  <si>
    <t>Nilson Moreira Pedro</t>
  </si>
  <si>
    <t>Fabricio Da Silva Barba</t>
  </si>
  <si>
    <t>Ailcon Pereira Batista</t>
  </si>
  <si>
    <t>Roberto</t>
  </si>
  <si>
    <t>Matheus Pereira De Souza</t>
  </si>
  <si>
    <t>Auxiliar de Almoxarifado</t>
  </si>
  <si>
    <t>Rinaldo Matias Brito</t>
  </si>
  <si>
    <t>Líder de frente</t>
  </si>
  <si>
    <t>Jose Soares Malta</t>
  </si>
  <si>
    <t>Montador de Tunnel Liner</t>
  </si>
  <si>
    <t>Isaias Manuel Da Silva</t>
  </si>
  <si>
    <t>Danilo Duarte Batista</t>
  </si>
  <si>
    <t>Antonio Roque Pereira Araujo</t>
  </si>
  <si>
    <t>Luiz Antonio Silva Dos Santos</t>
  </si>
  <si>
    <t>Eletricista l</t>
  </si>
  <si>
    <t>Rafael Guimaraes Dos Santos</t>
  </si>
  <si>
    <t>Francisco Machado</t>
  </si>
  <si>
    <t>Operador de escavadeira</t>
  </si>
  <si>
    <t>Bruno Azevedo</t>
  </si>
  <si>
    <t>Bruna Santos De Araujo Savio</t>
  </si>
  <si>
    <t>Engenheiro Ambiental</t>
  </si>
  <si>
    <t>Cicero Costa</t>
  </si>
  <si>
    <t>Pedreiro I</t>
  </si>
  <si>
    <t>Jose Antonio Da Silva</t>
  </si>
  <si>
    <t>Eduir Camargo De Faria</t>
  </si>
  <si>
    <t>Alex Alves Da Silva</t>
  </si>
  <si>
    <t>Produção Piso</t>
  </si>
  <si>
    <t>Leandro</t>
  </si>
  <si>
    <t>Genival Jose Da Silva</t>
  </si>
  <si>
    <t>BANDEIRANTES</t>
  </si>
  <si>
    <t>Marcelo</t>
  </si>
  <si>
    <t>Rick Soares Queiroz</t>
  </si>
  <si>
    <t>Ivo Barbosa Lima</t>
  </si>
  <si>
    <t>Mario Luiz De Lira Da Silva</t>
  </si>
  <si>
    <t>Operador de retro-escavadeira</t>
  </si>
  <si>
    <t>Fabio Da Silva Coutinho</t>
  </si>
  <si>
    <t>Encarregado II</t>
  </si>
  <si>
    <t>Denison Messias Dos Santos</t>
  </si>
  <si>
    <t>Daniel De Jesus Santos</t>
  </si>
  <si>
    <t>Marcio Galdencio Da Silva</t>
  </si>
  <si>
    <t>Motorista de Caminhão</t>
  </si>
  <si>
    <t>Ivan Sousa Lima</t>
  </si>
  <si>
    <t>Jose Neide Gomes Dos Santos</t>
  </si>
  <si>
    <t>Reinaldo Ribeiro Coutinho</t>
  </si>
  <si>
    <t>Qualidade</t>
  </si>
  <si>
    <t>Aloma</t>
  </si>
  <si>
    <t>Nathan Vidal De Almeida</t>
  </si>
  <si>
    <t>Técnico de Qualidade I</t>
  </si>
  <si>
    <t xml:space="preserve">Etios </t>
  </si>
  <si>
    <t>GG29A66</t>
  </si>
  <si>
    <t>Marcelo Simplicio</t>
  </si>
  <si>
    <t>Agatha De Oliveira Reis Da Hora</t>
  </si>
  <si>
    <t>Produção Apoio Shaft NC</t>
  </si>
  <si>
    <t>Marcos Roberto Dos Santos</t>
  </si>
  <si>
    <t>Ivanildo Serafim Guedes</t>
  </si>
  <si>
    <t>Marcelo Alves Ferreira</t>
  </si>
  <si>
    <t>Produção Apoio Hr</t>
  </si>
  <si>
    <t>Bruna</t>
  </si>
  <si>
    <t>Fabiano Antonio De Oliveira Nogueira</t>
  </si>
  <si>
    <t>Fabio Gomes Da Silva</t>
  </si>
  <si>
    <t>Palio</t>
  </si>
  <si>
    <t>DON 4G95</t>
  </si>
  <si>
    <t>Meio Ambiente</t>
  </si>
  <si>
    <t>Sabrina Farias Amaral Da Silva Wanderico</t>
  </si>
  <si>
    <t>Técnico Ambiental</t>
  </si>
  <si>
    <t>Rogerio Gomes De Oliveira</t>
  </si>
  <si>
    <t>Meriva</t>
  </si>
  <si>
    <t>EPU 9F68</t>
  </si>
  <si>
    <t>Amarildo Lima Dos Santos</t>
  </si>
  <si>
    <t>Corsa Classic</t>
  </si>
  <si>
    <t xml:space="preserve">FMN9028 </t>
  </si>
  <si>
    <t xml:space="preserve">Catia Da Silva </t>
  </si>
  <si>
    <t>Analista Administrativo Financeiro</t>
  </si>
  <si>
    <t>Oscar Antonio Cunha Mesquita</t>
  </si>
  <si>
    <t>Vital Coelho</t>
  </si>
  <si>
    <t>Ajudante De Obras</t>
  </si>
  <si>
    <t>Produção Apoio LS 2</t>
  </si>
  <si>
    <t>Antonio Sergio Correa Gomes</t>
  </si>
  <si>
    <t>Motorista De Caminhão</t>
  </si>
  <si>
    <t>Afastado(a)</t>
  </si>
  <si>
    <t>RH</t>
  </si>
  <si>
    <t>Gerusa Batista De Lima</t>
  </si>
  <si>
    <t>Analista de Recursos Humanos III</t>
  </si>
  <si>
    <t>Beatriz Nascimento Dos Santos</t>
  </si>
  <si>
    <t>Assistente de Seguranca do Trabalho</t>
  </si>
  <si>
    <t>Jose Denizete Da Silva</t>
  </si>
  <si>
    <t>Ricardo</t>
  </si>
  <si>
    <t>Paulo Galdencio Da Silva</t>
  </si>
  <si>
    <t>Johnatan</t>
  </si>
  <si>
    <t>Jose Ferreira Da Silva</t>
  </si>
  <si>
    <t>Gamaliel Pereira Lima</t>
  </si>
  <si>
    <t>Wilson Honorato</t>
  </si>
  <si>
    <t>Cleiton Carlos Macedo</t>
  </si>
  <si>
    <t>Cidão (Aparecido F.)</t>
  </si>
  <si>
    <t>Edson Santos Dos Reis</t>
  </si>
  <si>
    <t>Juvancy Berto Da Silva</t>
  </si>
  <si>
    <t>Tiago Henrique Fernandes De Souza</t>
  </si>
  <si>
    <t>Manoel Francisco Ribeiro</t>
  </si>
  <si>
    <t>Edivando Oliveira Sampaio</t>
  </si>
  <si>
    <t>Cleiton Dos Santos Oliveira</t>
  </si>
  <si>
    <t>Márcio</t>
  </si>
  <si>
    <t>Luiz Henrique Goncalves Nunes</t>
  </si>
  <si>
    <t>Produção Apoio Munck</t>
  </si>
  <si>
    <t>Rodrigo Alves Caetano</t>
  </si>
  <si>
    <t>Motorista De Caminhão II (Munck)</t>
  </si>
  <si>
    <t>Matheus Andre Dos Santos</t>
  </si>
  <si>
    <t>Marcelo Aparecido Francisco</t>
  </si>
  <si>
    <t>Aparecido Francisco Da Silva</t>
  </si>
  <si>
    <t>Líder de Frente</t>
  </si>
  <si>
    <t>Josildo Martins Maia</t>
  </si>
  <si>
    <t>Encanador</t>
  </si>
  <si>
    <t>Adalmiram Muniz Gomes</t>
  </si>
  <si>
    <t>Ricardo Ribeiro Coutinho</t>
  </si>
  <si>
    <t>Jose Alexandre Da Silva</t>
  </si>
  <si>
    <t xml:space="preserve">Rafael José </t>
  </si>
  <si>
    <t>Jose Felix Caetano</t>
  </si>
  <si>
    <t>Valter Luiz Araujo Siqueira</t>
  </si>
  <si>
    <t>Marcos Paulo Rodrigues Da Costa</t>
  </si>
  <si>
    <t>Ricardo Lima Dos Santos</t>
  </si>
  <si>
    <t>Isaias Moraes</t>
  </si>
  <si>
    <t>Eletrecista</t>
  </si>
  <si>
    <t>Joao Batista Alves Dos Santos</t>
  </si>
  <si>
    <t>Danielle Vitoria Pereira Da Silva</t>
  </si>
  <si>
    <t>Técnico de Segurança Nível III</t>
  </si>
  <si>
    <t>FIAT/UNO WAY 1.0</t>
  </si>
  <si>
    <t>EBP5J42</t>
  </si>
  <si>
    <t>T2NOB6021041087</t>
  </si>
  <si>
    <t>Cicero Barros Da Silva</t>
  </si>
  <si>
    <t>Cesar</t>
  </si>
  <si>
    <t>Carlos Eduardo Dos Santos Neves</t>
  </si>
  <si>
    <t>Diego Santos Gomes</t>
  </si>
  <si>
    <t>Produção apoio Traçado</t>
  </si>
  <si>
    <t>Everson Dos Santos Vieira Vitorio</t>
  </si>
  <si>
    <t>Juscelino Lima De Oliveira</t>
  </si>
  <si>
    <t>Cesar Antonio Silva</t>
  </si>
  <si>
    <t>Produção Apoio Shaft LS 2</t>
  </si>
  <si>
    <t>Luiz Jose Dos Santos</t>
  </si>
  <si>
    <t>Marciano Jose Da Silva Lima</t>
  </si>
  <si>
    <t>Fabiano Custodio De Paula</t>
  </si>
  <si>
    <t>Produção Apoio Shaft LS 1</t>
  </si>
  <si>
    <t>Adalto Rodrigues De Souza</t>
  </si>
  <si>
    <t>Uecile Nascimento Silva</t>
  </si>
  <si>
    <t>Walison Mota Ferreira</t>
  </si>
  <si>
    <t>Mikael Rodrigues Motta</t>
  </si>
  <si>
    <t>Ricardo Rodrigues Dos Santos</t>
  </si>
  <si>
    <t>Evando De Paula Silva</t>
  </si>
  <si>
    <t>Necivaldo Caetano Da Silva</t>
  </si>
  <si>
    <t>Felipe Sinhorelli Da Silva</t>
  </si>
  <si>
    <t>Domingos Silva Da Cruz</t>
  </si>
  <si>
    <t>Anderson Da Franca Martins Alves</t>
  </si>
  <si>
    <t>Saymon Almeida De Paula</t>
  </si>
  <si>
    <t>Leandro Moreno Da Silva</t>
  </si>
  <si>
    <t>Otavio Dos Santos Lisboa Da Silva</t>
  </si>
  <si>
    <t>Alison Francisco Da Silva</t>
  </si>
  <si>
    <t>Rafael Jose Da Silva</t>
  </si>
  <si>
    <t>Analista Administrativo III</t>
  </si>
  <si>
    <t>Natalino Lopes Teixeira</t>
  </si>
  <si>
    <t>Líder De Frente</t>
  </si>
  <si>
    <t>Edson Lopes Teixeira</t>
  </si>
  <si>
    <t>Daniel De Jesus Fernandes</t>
  </si>
  <si>
    <t>Valdinei Silva De Oliveira</t>
  </si>
  <si>
    <t>Gutemberg Xavier Da Silva</t>
  </si>
  <si>
    <t>Medeiros</t>
  </si>
  <si>
    <t>Israel Xavier Da Silva</t>
  </si>
  <si>
    <t>Welton Dos Santos Pereira</t>
  </si>
  <si>
    <t>Paulo Mendes De Lucena</t>
  </si>
  <si>
    <t>Dilan Diniz Do Nascimento</t>
  </si>
  <si>
    <t>Fabricio Santos De Souza</t>
  </si>
  <si>
    <t>Andre Gomes Basto</t>
  </si>
  <si>
    <t>CELTA</t>
  </si>
  <si>
    <t>EJL9383</t>
  </si>
  <si>
    <t>Jose Adolfo Da Gama Santos</t>
  </si>
  <si>
    <t>Marcio Alves Santana</t>
  </si>
  <si>
    <t>Joao Carlos Oliveira Da Silva</t>
  </si>
  <si>
    <t>Guilherme Jesus Leite</t>
  </si>
  <si>
    <t>Gabriel D Alcantara Camargo De Faria</t>
  </si>
  <si>
    <t>Andre Eduardo Batista Da Silva</t>
  </si>
  <si>
    <t>Xavier Bispo Da Silva</t>
  </si>
  <si>
    <t>Produção ITI-15</t>
  </si>
  <si>
    <t>José Carlos</t>
  </si>
  <si>
    <t>Jose Carlos Lima Silva</t>
  </si>
  <si>
    <t>Wendson Oliveira Santos</t>
  </si>
  <si>
    <t>Soldador II</t>
  </si>
  <si>
    <t>Gustavo Guilherme Gomes Da Silva</t>
  </si>
  <si>
    <t>Miguel Alves Da Cruz</t>
  </si>
  <si>
    <t>Armador</t>
  </si>
  <si>
    <t>Higor</t>
  </si>
  <si>
    <t>Elton Lucio Martins Quirino Oliveira</t>
  </si>
  <si>
    <t>Jeferson Fernando Rosa Da Silva</t>
  </si>
  <si>
    <t>Adriano Oliveira De Souza</t>
  </si>
  <si>
    <t>Jose Anderson De Andrade</t>
  </si>
  <si>
    <t>Gilberto Rodrigues Da Silva</t>
  </si>
  <si>
    <t>Jailton Gomes Ferreira</t>
  </si>
  <si>
    <t>Bruno Lopes Moreira</t>
  </si>
  <si>
    <t>Vagner De Oliveira</t>
  </si>
  <si>
    <t>William Neves Dos Santos</t>
  </si>
  <si>
    <t>Motorista De Caminhão I</t>
  </si>
  <si>
    <t>1199611-0965</t>
  </si>
  <si>
    <t>Jose Luiz Da Silva</t>
  </si>
  <si>
    <t>Rogerio Nascimento Oliveira</t>
  </si>
  <si>
    <t>Heliton Souza Queiroz</t>
  </si>
  <si>
    <t>Adalto Alves Mendes</t>
  </si>
  <si>
    <t>Higor Severo Da Silva De Jesus</t>
  </si>
  <si>
    <t>Marcio Barreto De Souza</t>
  </si>
  <si>
    <t>Jose Geraldo Morais Menezes</t>
  </si>
  <si>
    <t>Damiao Severino Dos Santos</t>
  </si>
  <si>
    <t>Djailson Dos Santos Silva</t>
  </si>
  <si>
    <t>Honda Fit</t>
  </si>
  <si>
    <t>DR2A44</t>
  </si>
  <si>
    <t>Neilton Barbosa De Brito</t>
  </si>
  <si>
    <t>Adriano De Miranda</t>
  </si>
  <si>
    <t>Carlos Gesse Silva Ferreira</t>
  </si>
  <si>
    <t>Jeronimo Estevam Neto</t>
  </si>
  <si>
    <t>Valmir Lopes Dos Reis</t>
  </si>
  <si>
    <t>RENAULT/DUSTER 16 D</t>
  </si>
  <si>
    <t>FEY 2F17</t>
  </si>
  <si>
    <t>Patrick Alves Dos Santos Silva</t>
  </si>
  <si>
    <t>Leandro Sividini</t>
  </si>
  <si>
    <t>Gerusa</t>
  </si>
  <si>
    <t>Juliana Kanda Lima De Santana</t>
  </si>
  <si>
    <t>Renato Marcondes</t>
  </si>
  <si>
    <t>Weslley Jose Da Silva</t>
  </si>
  <si>
    <t>Operador De Retro-Escavadeira</t>
  </si>
  <si>
    <t>Ivan Vitorino</t>
  </si>
  <si>
    <t>Rafael Santos Nascimento</t>
  </si>
  <si>
    <t>Montador De Tunnel Liner</t>
  </si>
  <si>
    <t>Oreste Silva Medeiros</t>
  </si>
  <si>
    <t>Cleraldo Correa Santos</t>
  </si>
  <si>
    <t>Edson Antonio De Oliveira</t>
  </si>
  <si>
    <t>Valdir Francisco De Carvalho</t>
  </si>
  <si>
    <t>Jackson Gomes Dos Santos</t>
  </si>
  <si>
    <t>Aloma Rocha Silva</t>
  </si>
  <si>
    <t>Técnico De Qualidade II</t>
  </si>
  <si>
    <t>Roberto Goncalo Santiago</t>
  </si>
  <si>
    <t>Comprador II</t>
  </si>
  <si>
    <t>Jarbas Santana Silva</t>
  </si>
  <si>
    <t>Bruno Nascimento De Souza</t>
  </si>
  <si>
    <t>Edmar  Domingos Dos Santos</t>
  </si>
  <si>
    <t>Wanderson Rodrigues</t>
  </si>
  <si>
    <t>Luan Oliveira Souza</t>
  </si>
  <si>
    <t>Antônio</t>
  </si>
  <si>
    <t>Wesley Cristian Vital De Oliveira</t>
  </si>
  <si>
    <t>Técnico De Segurança Nível II</t>
  </si>
  <si>
    <t>Lucas Matos Bispo Da Silva</t>
  </si>
  <si>
    <t>Lucas Pedroso Do Amaral</t>
  </si>
  <si>
    <t>Flavio De Oliveira Goncalves</t>
  </si>
  <si>
    <t>Robert Henrique Merces De Araujo</t>
  </si>
  <si>
    <t>Shirlei Isidoro Guedes Da Silva</t>
  </si>
  <si>
    <t>Operador De Trafego</t>
  </si>
  <si>
    <t>Maria Alice  Feitosa Costa</t>
  </si>
  <si>
    <t>Henrique Ermano Abel De Souza</t>
  </si>
  <si>
    <t>Antonio Jose Vidal De Brito</t>
  </si>
  <si>
    <t>Igo Hernandes De Brito</t>
  </si>
  <si>
    <t>Carlos</t>
  </si>
  <si>
    <t>Jose Domingos Dos Santos</t>
  </si>
  <si>
    <t>Samuel Moreno Mendes</t>
  </si>
  <si>
    <t>Cleiton Figueiredo Landim</t>
  </si>
  <si>
    <t>Motorista de Caminhão Hidro</t>
  </si>
  <si>
    <t>Anderson Cardoso Vieira</t>
  </si>
  <si>
    <t>Luciano Brito De Franca</t>
  </si>
  <si>
    <t>Fabio Andre De Melo Silva</t>
  </si>
  <si>
    <t>07:00 as 17:10</t>
  </si>
  <si>
    <t>Joao Luiz Dos Santos</t>
  </si>
  <si>
    <t>Marcelo Barbosa De Jesus</t>
  </si>
  <si>
    <t>07:00 as 17:18</t>
  </si>
  <si>
    <t>Elcivan Campos De Andrade Junior</t>
  </si>
  <si>
    <t>Luis Eduardo Da Silva Dias</t>
  </si>
  <si>
    <t>Fox</t>
  </si>
  <si>
    <t>DXG1E50</t>
  </si>
  <si>
    <t>Jose Silvestre Da Silva</t>
  </si>
  <si>
    <t>Montana</t>
  </si>
  <si>
    <t>DZD8114</t>
  </si>
  <si>
    <t>Genival Soares Da Silva</t>
  </si>
  <si>
    <t>Alexandre Jose Deolindo</t>
  </si>
  <si>
    <t>Rafael</t>
  </si>
  <si>
    <t>Davi Alves Da Silva</t>
  </si>
  <si>
    <t>Adilson</t>
  </si>
  <si>
    <t>Aguinaldo Barcella Espin</t>
  </si>
  <si>
    <t>Toni Robson Santana Dias</t>
  </si>
  <si>
    <t>FIAT MOBI</t>
  </si>
  <si>
    <t>GIY9433</t>
  </si>
  <si>
    <t>Alex Sandro Aiello</t>
  </si>
  <si>
    <t>Flavio Silva De Oliveira</t>
  </si>
  <si>
    <t>Camilo Da Silva Santana</t>
  </si>
  <si>
    <t>Johnatan De Queiroz Cunha</t>
  </si>
  <si>
    <t>Severino Pereira Da Silva</t>
  </si>
  <si>
    <t>07:00 as 17:19</t>
  </si>
  <si>
    <t>Enio Luciano Da Silva Junior</t>
  </si>
  <si>
    <t>Carlos Da Conceicao De Sena</t>
  </si>
  <si>
    <t>Joao Carlos Viana Negy</t>
  </si>
  <si>
    <t>Maira De Andrade Santoni</t>
  </si>
  <si>
    <t>Mirian Santos De Sena Silva</t>
  </si>
  <si>
    <t>Henrique Da Silva Macedo</t>
  </si>
  <si>
    <t>07:00 as 17:25</t>
  </si>
  <si>
    <t>Jose Rangel Ferreira Da Silva</t>
  </si>
  <si>
    <t>07:00 as 17:34</t>
  </si>
  <si>
    <t>Michele Gomes Costa Vieira</t>
  </si>
  <si>
    <t>Operador de Trafego</t>
  </si>
  <si>
    <t>Bruno Candido Silverio</t>
  </si>
  <si>
    <t>07:00 as 17:05</t>
  </si>
  <si>
    <t>Welington Dos Santos Silva</t>
  </si>
  <si>
    <t>07:00 as 17:54</t>
  </si>
  <si>
    <t>Felipe De Jesus Silva</t>
  </si>
  <si>
    <t>Francisco Roberto Freitas Dos Santos</t>
  </si>
  <si>
    <t>07:00 as 17:22</t>
  </si>
  <si>
    <t>Alessandro Pereira De Lima</t>
  </si>
  <si>
    <t>07:00 as 17:02</t>
  </si>
  <si>
    <t>Jordy Maciel Da Silva</t>
  </si>
  <si>
    <t>Carlos Robson Santana Santos Silva</t>
  </si>
  <si>
    <t>Wesley Tomaz Sena</t>
  </si>
  <si>
    <t>07:00 as 17:56</t>
  </si>
  <si>
    <t>Lucas Victor De Souza Passos</t>
  </si>
  <si>
    <t>Matheus Cesar Conceicao Da Silva</t>
  </si>
  <si>
    <t>Roberto Dos Santos</t>
  </si>
  <si>
    <t>07:00 as 17:48</t>
  </si>
  <si>
    <t>Paulo Moraes Da Silva</t>
  </si>
  <si>
    <t>07:00 as 17:46</t>
  </si>
  <si>
    <t>Marco Antonio Soares De Moura</t>
  </si>
  <si>
    <t>07:00 as 17:41</t>
  </si>
  <si>
    <t>Igor De Sousa Santos</t>
  </si>
  <si>
    <t>07:00 as 17:26</t>
  </si>
  <si>
    <t>Joelmir Salvador Macedo</t>
  </si>
  <si>
    <t>07:00 as 17:29</t>
  </si>
  <si>
    <t>Raimundo Luiz Da Silva Santana</t>
  </si>
  <si>
    <t>07:00 as 17:47</t>
  </si>
  <si>
    <t>Erlon Jesus Dos Santos</t>
  </si>
  <si>
    <t>Juarez Serafim Pereira</t>
  </si>
  <si>
    <t>07:00 as 17:36</t>
  </si>
  <si>
    <t>Damiao Henrique Souza De Morais</t>
  </si>
  <si>
    <t>07:00 as 17:11</t>
  </si>
  <si>
    <t>Bruno Ramos Dos Santos Silva</t>
  </si>
  <si>
    <t>07:00 as 17:06</t>
  </si>
  <si>
    <t>Nelio Ferreira Genelhud</t>
  </si>
  <si>
    <t>07:00 as 17:45</t>
  </si>
  <si>
    <t>Rodrigo Caetano Jose</t>
  </si>
  <si>
    <t>07:00 as 17:50</t>
  </si>
  <si>
    <t>Jonatan Vital De Oliveira</t>
  </si>
  <si>
    <t>07:00 as 17:31</t>
  </si>
  <si>
    <t>Francisco Ivam Borges Da Silva</t>
  </si>
  <si>
    <t>07:00 as 17:21</t>
  </si>
  <si>
    <t>Edilson Gomes  Santana</t>
  </si>
  <si>
    <t>Roberto Moraes Dos Santos</t>
  </si>
  <si>
    <t>David Correa Pacheco</t>
  </si>
  <si>
    <t>07:00 as 17:13</t>
  </si>
  <si>
    <t>Gustavo Amorim Rezende</t>
  </si>
  <si>
    <t>07:00 as 17:24</t>
  </si>
  <si>
    <t>Jose De Paulo Pereira Dos Santos</t>
  </si>
  <si>
    <t>Talison Dos Santos Nunes</t>
  </si>
  <si>
    <t>07:00 as 17:52</t>
  </si>
  <si>
    <t>Shirley De Sousa Barbosa Correia</t>
  </si>
  <si>
    <t>Auxiliar Administrativo</t>
  </si>
  <si>
    <t>Viviane  Cardoso Dos Santos Silva</t>
  </si>
  <si>
    <t>Maciel Francisco De Souza</t>
  </si>
  <si>
    <t>Claudinei Da Silva</t>
  </si>
  <si>
    <t>Jose Cesar Ferreira Da Silva</t>
  </si>
  <si>
    <t>Mikaelly Maria De Oliveira</t>
  </si>
  <si>
    <t>Ronaldo De Oliveira</t>
  </si>
  <si>
    <t>Dandara Kauissa Piole Da Silva</t>
  </si>
  <si>
    <t>Jose Raimundo Vital De Castro</t>
  </si>
  <si>
    <t>Alessandra Diana De Carvalho</t>
  </si>
  <si>
    <t>Izabel Cristina Leao</t>
  </si>
  <si>
    <t>Neudo Avelino Da Silva</t>
  </si>
  <si>
    <t>Paulo Sergio Cordeiro</t>
  </si>
  <si>
    <t>Anderson Ferreira Dos Santos</t>
  </si>
  <si>
    <t>Diego Cavalcante De Brito</t>
  </si>
  <si>
    <t>Wilson Fabiano Marra</t>
  </si>
  <si>
    <t>Wellington Rodrigues Silva</t>
  </si>
  <si>
    <t>David Augusto Lima Ianelo</t>
  </si>
  <si>
    <t>Cleonis Cerqueira Santos</t>
  </si>
  <si>
    <t>Marcos Antonio Oliveira</t>
  </si>
  <si>
    <t>Jose Dos Santos</t>
  </si>
  <si>
    <t>Francisco Mesquita De Sousa</t>
  </si>
  <si>
    <t>Emerson Souza Bomfim</t>
  </si>
  <si>
    <t>Afonso Gabriel Dutra Do Nascimento</t>
  </si>
  <si>
    <t>Janeclessio Da Silva Santos</t>
  </si>
  <si>
    <t>Lyncoln Jose Inacio De Oliveira</t>
  </si>
  <si>
    <t>Douglas Santos Gomes</t>
  </si>
  <si>
    <t>Leandro Rodrigues Ferreira</t>
  </si>
  <si>
    <t xml:space="preserve">VW GOL </t>
  </si>
  <si>
    <t>GAA 5368</t>
  </si>
  <si>
    <t>Ronaldo De Lima Silva</t>
  </si>
  <si>
    <t>Renato Alves De Sobral</t>
  </si>
  <si>
    <t>Luidy Carvalho Neves De Lima</t>
  </si>
  <si>
    <t>Auxiliar Técnico de Qualidade</t>
  </si>
  <si>
    <t>Luis Claudio Goncalves De Lima</t>
  </si>
  <si>
    <t>Josivaldo Genuino Ribeiro</t>
  </si>
  <si>
    <t>Vinicio Silva Espindola</t>
  </si>
  <si>
    <t>Ryan Victor Merces Dos Santos</t>
  </si>
  <si>
    <t>Andre Dos Santos</t>
  </si>
  <si>
    <t>Allan Rodrigues Da Silva</t>
  </si>
  <si>
    <t>Adilson Bernardo Fontoura Nobre</t>
  </si>
  <si>
    <t>Adilson Dos Santos</t>
  </si>
  <si>
    <t>Cesar Augusto Faria Lima</t>
  </si>
  <si>
    <t>Kaike Landim Nascimento</t>
  </si>
  <si>
    <t>Almenisio Dos Santos</t>
  </si>
  <si>
    <t>Bruno Detoni De Lima</t>
  </si>
  <si>
    <t>Reginaldo Santos Farias</t>
  </si>
  <si>
    <t>Jaksandro Carlos Da Silva</t>
  </si>
  <si>
    <t>Raimundo Santos Sena</t>
  </si>
  <si>
    <t>Yosvanis Labrada Hechavarria</t>
  </si>
  <si>
    <t>Fabricio Teodosio Dos Santos</t>
  </si>
  <si>
    <t>Rafael Niculau</t>
  </si>
  <si>
    <t>Thaina Adriele Pereira Santos</t>
  </si>
  <si>
    <t>Donizete Alves Ferreira</t>
  </si>
  <si>
    <t>Jose Ryan Da Silva Cavalcanti</t>
  </si>
  <si>
    <t>Jhonnatan Dos Santos Rodrigues Souza</t>
  </si>
  <si>
    <t>Luciano Jose Lima Da Silva</t>
  </si>
  <si>
    <t>Wellington Silva</t>
  </si>
  <si>
    <t>Jose Pergentino Da Silva Neto</t>
  </si>
  <si>
    <t>William Da Silva Gomes</t>
  </si>
  <si>
    <t>Rinaldo Figueiredo</t>
  </si>
  <si>
    <t>Daniel Moreira Putumuju</t>
  </si>
  <si>
    <t>Robson Aparecido Vale</t>
  </si>
  <si>
    <t>Gabriel Da Silva Menezes</t>
  </si>
  <si>
    <t>Humberto Caio Andrade</t>
  </si>
  <si>
    <t>Danielle Santos De Sousa</t>
  </si>
  <si>
    <t>Angelo Ribeiro Dos Santos</t>
  </si>
  <si>
    <t>Ramon Luiz Soares</t>
  </si>
  <si>
    <t>Fabiano Alves Cabral</t>
  </si>
  <si>
    <t>Genivaldo Santos De Jesus</t>
  </si>
  <si>
    <t>Sergio Miguel De Araujo Filho</t>
  </si>
  <si>
    <t>Wellington Farias Batista</t>
  </si>
  <si>
    <t>Valdete Alves Da Rocha</t>
  </si>
  <si>
    <t>Paulo Cesar De Oliveira Santos</t>
  </si>
  <si>
    <t>Cristiano Dos Santos Araujo</t>
  </si>
  <si>
    <t>Jadson Ferreira Dos Santos</t>
  </si>
  <si>
    <t>Marcos Paulo Dias Silva</t>
  </si>
  <si>
    <t>Jose Naido Vitorino</t>
  </si>
  <si>
    <t>Marcio Ferreira Dos  Santos</t>
  </si>
  <si>
    <t>Mauricyo Da Silva Brito</t>
  </si>
  <si>
    <t>Verlandio  Dos Santos</t>
  </si>
  <si>
    <t>Jose Orlando Domingos Silva</t>
  </si>
  <si>
    <t>Mateus Henrique Lopes Carvalho</t>
  </si>
  <si>
    <t>Fernando Borges Da Silva</t>
  </si>
  <si>
    <t>Alessandro De Cassia Santos</t>
  </si>
  <si>
    <t>Isaac Juliano De Lima Coelho</t>
  </si>
  <si>
    <t>Antonio Fernando Gomes Da Silva</t>
  </si>
  <si>
    <t>Ernandes Coutinho Medeiros</t>
  </si>
  <si>
    <t>Antonio Carlos Ferreira De Oliveira Filho</t>
  </si>
  <si>
    <t>Reginaldo Jose Pereira Luna Dos Santos</t>
  </si>
  <si>
    <t>Claudinei Ferraz Dias</t>
  </si>
  <si>
    <t>Emerson  Rodrigues Cardoso</t>
  </si>
  <si>
    <t>Augusto Da Silva Bezerra Niculau</t>
  </si>
  <si>
    <t>Lucas Da Silva Praxedes</t>
  </si>
  <si>
    <t>Simone Goncalves De Oliveira</t>
  </si>
  <si>
    <t>07:00 as 17:12</t>
  </si>
  <si>
    <t>Flavio Roberto Rocha De Castro</t>
  </si>
  <si>
    <t>Igor De Lima Silva</t>
  </si>
  <si>
    <t>Israel Jefferson Da Silva</t>
  </si>
  <si>
    <t>Vanderlei Curan</t>
  </si>
  <si>
    <t>Alberto Candido Rodrigues</t>
  </si>
  <si>
    <t>Thiago Cesar De Carvalho Mota</t>
  </si>
  <si>
    <t>Luis Carlos De Almeida Santos</t>
  </si>
  <si>
    <t>Israel Oliveira Dos Santos</t>
  </si>
  <si>
    <t>Bruno Falcao Dos Santos</t>
  </si>
  <si>
    <t>Edmilson Santos Da Silva</t>
  </si>
  <si>
    <t>Jobson Da Silva Nascimento</t>
  </si>
  <si>
    <t>Jean Vinicius Alves Da Silva</t>
  </si>
  <si>
    <t>Elias Rodrigues De Castro</t>
  </si>
  <si>
    <t>Wesley Clementino Figueiredo</t>
  </si>
  <si>
    <t>Jhonata Roberto Da Silva Machado</t>
  </si>
  <si>
    <t>Fiat/Siena</t>
  </si>
  <si>
    <t>Christian Junior De Andrade Santana</t>
  </si>
  <si>
    <t>Christofer De Andrade Santana</t>
  </si>
  <si>
    <t>Sarah Da Silva Miranda</t>
  </si>
  <si>
    <t>Alleff Santos Silva</t>
  </si>
  <si>
    <t>Hyundai/ HB20</t>
  </si>
  <si>
    <t>GEQ0B50</t>
  </si>
  <si>
    <t>Luiz Carlos Guedes De Araujo</t>
  </si>
  <si>
    <t>Motorista de Caminhão II (Munck)</t>
  </si>
  <si>
    <t>Leandro De Oliveira Sales</t>
  </si>
  <si>
    <t>Rychard Douglas De Oliveira Xavier Zeliano</t>
  </si>
  <si>
    <t>Diego Guedes De Oliveira</t>
  </si>
  <si>
    <t>Gabriel Henrique Da Silva Figueiredo</t>
  </si>
  <si>
    <t>Jhonny Brito Dos Santos</t>
  </si>
  <si>
    <t>Janielson Filipe Da Silva Barbosa</t>
  </si>
  <si>
    <t>Peterson Freitas Borges</t>
  </si>
  <si>
    <t>Mateus Gomes Crispim Dos Santos</t>
  </si>
  <si>
    <t>Odair Donizete Brito Gondim</t>
  </si>
  <si>
    <t>Paulo Roberto Amorim Mendes Cavalcante</t>
  </si>
  <si>
    <t>Lucas De Carvalho Mota</t>
  </si>
  <si>
    <t>Ednaldo Francisco Da Silva</t>
  </si>
  <si>
    <t>Bruno Da Silva Nascimento</t>
  </si>
  <si>
    <t>Leandro Matheus De Andrade Duarte Santos</t>
  </si>
  <si>
    <t>Gabriel Galhote Da Silva</t>
  </si>
  <si>
    <t>Marcos Eduardo Dos Santos</t>
  </si>
  <si>
    <t>Uanderson Da Silva De Jesus</t>
  </si>
  <si>
    <t>Anderson Fontes Cardoso</t>
  </si>
  <si>
    <t>Adriano Pereira Silva Santos</t>
  </si>
  <si>
    <t>Luciano Mateus De Oliveira Joanico</t>
  </si>
  <si>
    <t>Victor Dutra De Almeida</t>
  </si>
  <si>
    <t>Marcelo Silva Dos Santos</t>
  </si>
  <si>
    <t>Antonio Luis Nascimento De Sousa</t>
  </si>
  <si>
    <t>Sinval Teixeira Dos Santos</t>
  </si>
  <si>
    <t>Osmar Rodrigues</t>
  </si>
  <si>
    <t>Lucas Rafael Cruz De Almeida</t>
  </si>
  <si>
    <t>Sara Gabrielle Andrade Da Silva</t>
  </si>
  <si>
    <t>Marcelo Francisco Amaral</t>
  </si>
  <si>
    <t>Jose Pires Sobrinho</t>
  </si>
  <si>
    <t>Jacson Pereira Batista Moraes</t>
  </si>
  <si>
    <t>VW NOVO VOYAGE</t>
  </si>
  <si>
    <t>OJN0545</t>
  </si>
  <si>
    <t>Rogerio  Goncalves Santos</t>
  </si>
  <si>
    <t>Jose Dario Da Cruz Brito</t>
  </si>
  <si>
    <t>Doracy Jose Dos Santos</t>
  </si>
  <si>
    <t>Osvaldo Bispo Filho</t>
  </si>
  <si>
    <t>Joelson De Oliveira Bissoli</t>
  </si>
  <si>
    <t>Wesley Mendes Araujo</t>
  </si>
  <si>
    <t>Antonia Jessica Viana Teixeira</t>
  </si>
  <si>
    <t>Messias Jose De Oliveira Junior</t>
  </si>
  <si>
    <t>Edivandro Vieira Da Silva</t>
  </si>
  <si>
    <t>Jose Domingos Neto</t>
  </si>
  <si>
    <t>Raimundo Manoel Da Silva</t>
  </si>
  <si>
    <t>Operador de bomba de concreto</t>
  </si>
  <si>
    <t>Claudivan Raimundo Junior</t>
  </si>
  <si>
    <t>Mangoteiro</t>
  </si>
  <si>
    <t>Genielson Dos Santos Mendes</t>
  </si>
  <si>
    <t>Sivanildo Messias Da Silva</t>
  </si>
  <si>
    <t>Vitor Hugo Aparecido Sabino Ribeiro</t>
  </si>
  <si>
    <t>Alexandre Damiao Queiroz Dos Santos</t>
  </si>
  <si>
    <t>Edivaldo Severiano Da Silva</t>
  </si>
  <si>
    <t>Paulo Batista Da Silva</t>
  </si>
  <si>
    <t>Rony Batista De Sena</t>
  </si>
  <si>
    <t>Jhonnatas Lima Macedo</t>
  </si>
  <si>
    <t>Victor Daniel Da Silva</t>
  </si>
  <si>
    <t>Luciano Ribeiro Niza</t>
  </si>
  <si>
    <t>Icaro Tiago Batista Dos Santos</t>
  </si>
  <si>
    <t>Marcos Florindo Da Silva Lopes</t>
  </si>
  <si>
    <t>Josue Dos Santos</t>
  </si>
  <si>
    <t>Caio Monteiro Soares</t>
  </si>
  <si>
    <t>Gerencia</t>
  </si>
  <si>
    <t>Gerente de Contrato</t>
  </si>
  <si>
    <t>Bruno Monteiro De Azevedo</t>
  </si>
  <si>
    <t>Gestor de Contrato</t>
  </si>
  <si>
    <t>Pessoa Jurídica</t>
  </si>
  <si>
    <t>JEEP RENEGADE LNGTD AT</t>
  </si>
  <si>
    <t>QQJ 5J11</t>
  </si>
  <si>
    <t>SIM</t>
  </si>
  <si>
    <t>Engenharia</t>
  </si>
  <si>
    <t>Assitente Técnico</t>
  </si>
  <si>
    <t>Bruno Marques Ferreira</t>
  </si>
  <si>
    <t>Engenheiro Civil</t>
  </si>
  <si>
    <t>David Correia Silva</t>
  </si>
  <si>
    <t>Auxiliar Tecnico</t>
  </si>
  <si>
    <t>SCNOB6005236494</t>
  </si>
  <si>
    <t>Elias Cruz Gomes</t>
  </si>
  <si>
    <t>Coordenador de Produção</t>
  </si>
  <si>
    <t>SCNOB6005236499</t>
  </si>
  <si>
    <t>1193700-4588</t>
  </si>
  <si>
    <t>Planejamento</t>
  </si>
  <si>
    <t>Karina Evelyn Da Silva</t>
  </si>
  <si>
    <t>Engenheira de Planejamento</t>
  </si>
  <si>
    <t>Cleulton Marcio Goncalves</t>
  </si>
  <si>
    <t>Engenheiro de Planejamento</t>
  </si>
  <si>
    <t>T2NOB6002611064</t>
  </si>
  <si>
    <t xml:space="preserve">Isabela de Souza Santos </t>
  </si>
  <si>
    <t>Engenheira de Projeto</t>
  </si>
  <si>
    <t xml:space="preserve">Jose Antonio Ferreira </t>
  </si>
  <si>
    <t>YARIS XL SEDAN 1.5</t>
  </si>
  <si>
    <t>TJT 2H58</t>
  </si>
  <si>
    <t>T2NOB021449089</t>
  </si>
  <si>
    <t>1193055-4941</t>
  </si>
  <si>
    <t xml:space="preserve">Pablo Jose Dos Santos </t>
  </si>
  <si>
    <t>Engenheiro de Segurança</t>
  </si>
  <si>
    <t>Engenheira Ambiental</t>
  </si>
  <si>
    <t>VW / NIVUS</t>
  </si>
  <si>
    <t>URA4D08</t>
  </si>
  <si>
    <t>SAN0B019224429</t>
  </si>
  <si>
    <t>1197554-6354</t>
  </si>
  <si>
    <t>Robson De Freitas Gama</t>
  </si>
  <si>
    <t>Onix</t>
  </si>
  <si>
    <t>TLN 7A96</t>
  </si>
  <si>
    <t>SENO6005236494</t>
  </si>
  <si>
    <t>Adeilson Lopes Da Silva</t>
  </si>
  <si>
    <t>Supervisor de Obras</t>
  </si>
  <si>
    <t>T3NOB602811812F</t>
  </si>
  <si>
    <t>1197323-8757</t>
  </si>
  <si>
    <t>Samuel Trindade Pelissari</t>
  </si>
  <si>
    <t>Assistente de Planejamento</t>
  </si>
  <si>
    <t>I/AUDI A3 LM</t>
  </si>
  <si>
    <t>FYN 0B89</t>
  </si>
  <si>
    <t>Rogerio Dos Santos</t>
  </si>
  <si>
    <t>Técnico de Vistoria Cautelar</t>
  </si>
  <si>
    <t xml:space="preserve">Gabriel Inacio Ventura Domingues </t>
  </si>
  <si>
    <t>Assistente de Engenharia</t>
  </si>
  <si>
    <t>SCNOB6005236469</t>
  </si>
  <si>
    <t>Vistoria Cautelar</t>
  </si>
  <si>
    <t>Mauricio Roberto Da Silva</t>
  </si>
  <si>
    <t xml:space="preserve">ONIX HATCH </t>
  </si>
  <si>
    <t>TLE 1C42</t>
  </si>
  <si>
    <t>Projetos</t>
  </si>
  <si>
    <t xml:space="preserve">Icaro Patrick Da Silveira Regis </t>
  </si>
  <si>
    <t>Técnico de Projetos</t>
  </si>
  <si>
    <t>SWM 7C70</t>
  </si>
  <si>
    <t>sim</t>
  </si>
  <si>
    <t>Joyce Guzman Silva</t>
  </si>
  <si>
    <t>Caroline Aparecida Franco</t>
  </si>
  <si>
    <t>UGI 7J68</t>
  </si>
  <si>
    <t>Jose Almeida</t>
  </si>
  <si>
    <t>Mestre de Obras</t>
  </si>
  <si>
    <t>Medição</t>
  </si>
  <si>
    <t>Gabriel Alvarenga Rios</t>
  </si>
  <si>
    <t xml:space="preserve">Engenheiro de Medição </t>
  </si>
  <si>
    <t>TJS 5D41</t>
  </si>
  <si>
    <t>T1N0B6016351032</t>
  </si>
  <si>
    <t>Frota</t>
  </si>
  <si>
    <t>Jucivanio Alves dos Santos</t>
  </si>
  <si>
    <t>Gestão Operacional</t>
  </si>
  <si>
    <t>Sandero</t>
  </si>
  <si>
    <t xml:space="preserve">FUP3J46 </t>
  </si>
  <si>
    <t>Eloizio Marques  da Silva</t>
  </si>
  <si>
    <t>UGR 1H64</t>
  </si>
  <si>
    <t>Brenda Vitoria de Abreu Nunes</t>
  </si>
  <si>
    <t>Técnica Ambiental</t>
  </si>
  <si>
    <t>ONIX HATCH 1.0</t>
  </si>
  <si>
    <t>UGL 2F82</t>
  </si>
  <si>
    <t>Leonardo Gilio Obici</t>
  </si>
  <si>
    <t xml:space="preserve">UGV 3A56 </t>
  </si>
  <si>
    <t>Maria Edilania Pereira da Cruz</t>
  </si>
  <si>
    <t>Engenheiro de Segurança do Trabalho</t>
  </si>
  <si>
    <t>Honda/ Fit Ex Flex</t>
  </si>
  <si>
    <t>ERM9E54</t>
  </si>
  <si>
    <t>Engenheira de Qualidade</t>
  </si>
  <si>
    <t>Natalia Santos De Souza</t>
  </si>
  <si>
    <t>Custos</t>
  </si>
  <si>
    <t>Maria Karoline Campelo de Souza</t>
  </si>
  <si>
    <t>Engenheira de Custos</t>
  </si>
  <si>
    <t>Adeilton Lino De Aragao</t>
  </si>
  <si>
    <t>Engenheiro De Segurança Do Trabalho</t>
  </si>
  <si>
    <t>Carlos Andre Caldas Carvalho</t>
  </si>
  <si>
    <t>Analista De Suprimentos</t>
  </si>
  <si>
    <t>Higor Benedito De Carvalho</t>
  </si>
  <si>
    <t>Engenheiro De Planejamento</t>
  </si>
  <si>
    <t>Juan Alberto Tagliapietra  Sanabria</t>
  </si>
  <si>
    <t>Assistente Tecnico</t>
  </si>
  <si>
    <t>Mirella Alves Vieira</t>
  </si>
  <si>
    <t>Paulo Marcos Oliveira Rios</t>
  </si>
  <si>
    <t xml:space="preserve">Gerente de Contrato </t>
  </si>
  <si>
    <t xml:space="preserve">Rosimere Soares </t>
  </si>
  <si>
    <t xml:space="preserve">Engenhaeira de Meio Ambiente </t>
  </si>
  <si>
    <t>Thamires  Aparecida Lesser Inacio</t>
  </si>
  <si>
    <t xml:space="preserve">Engenheira de Qualidade </t>
  </si>
  <si>
    <t>TPF</t>
  </si>
  <si>
    <t>André Gomes</t>
  </si>
  <si>
    <t>TLD 0J16</t>
  </si>
  <si>
    <t>Edvaldo Bento de Oliveira</t>
  </si>
  <si>
    <t>POLO SENSE 12V</t>
  </si>
  <si>
    <t>TJT 4H89</t>
  </si>
  <si>
    <t>FERNANDES HAYASHI DA SILVA</t>
  </si>
  <si>
    <t xml:space="preserve">FIAT ARGO </t>
  </si>
  <si>
    <t>TKG 6E71</t>
  </si>
  <si>
    <t>Jean Carlos de Oliveira</t>
  </si>
  <si>
    <t>TLM 3A24</t>
  </si>
  <si>
    <t>JOSE PINHEIRO DE QUEIROS FILHO</t>
  </si>
  <si>
    <t>TCB 2I40</t>
  </si>
  <si>
    <t>Lucas Ferreira</t>
  </si>
  <si>
    <t>TLC 5B04</t>
  </si>
  <si>
    <t>Marcos Aurélio Lambel</t>
  </si>
  <si>
    <t>FIAT CRONOS DRIVE 1.0</t>
  </si>
  <si>
    <t>TEA 8D74</t>
  </si>
  <si>
    <t>Paulo da Silva Santos</t>
  </si>
  <si>
    <t>TLD 04D60</t>
  </si>
  <si>
    <t xml:space="preserve">Comunicação Social </t>
  </si>
  <si>
    <t>Cristiane Amaral</t>
  </si>
  <si>
    <t>2025-11-06</t>
  </si>
  <si>
    <t xml:space="preserve">Juliana Santos </t>
  </si>
  <si>
    <t xml:space="preserve">Lourinete da Silva </t>
  </si>
  <si>
    <t>Rosimere Soares</t>
  </si>
  <si>
    <t>Engenheira de Meio Ambiente</t>
  </si>
  <si>
    <t>2025-01-08</t>
  </si>
  <si>
    <t>2025-02-28</t>
  </si>
  <si>
    <t>Qualidade-Terceiro</t>
  </si>
  <si>
    <t>2025-02-03</t>
  </si>
  <si>
    <t>Produção - Terceiro</t>
  </si>
  <si>
    <t>Mini Escavadeira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</si>
</sst>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0">
    <xf numFmtId="0" fontId="0" fillId="0" borderId="0" xfId="0"/>
    <xf numFmtId="43" fontId="0" fillId="0" borderId="0" xfId="1" applyFont="1"/>
    <xf numFmtId="43" fontId="0" fillId="0" borderId="0" xfId="0" applyNumberFormat="1"/>
    <xf numFmtId="0" fontId="2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0" fontId="0" fillId="4" borderId="0" xfId="0" applyFill="1"/>
  </cellXfs>
  <cellStyles count="2">
    <cellStyle name="Normal" xfId="0" builtinId="0"/>
    <cellStyle name="Vírgula" xfId="1" builtinId="3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96934-BDE8-4DB9-8FA5-715DA8DB6DF4}">
  <dimension ref="A1:AJ496"/>
  <sheetViews>
    <sheetView tabSelected="1" topLeftCell="G1" zoomScale="94" zoomScaleNormal="94" workbookViewId="0">
      <selection activeCell="N19" sqref="N19"/>
    </sheetView>
  </sheetViews>
  <sheetFormatPr defaultRowHeight="14.4" outlineLevelCol="1" x14ac:dyDescent="0.3"/>
  <cols>
    <col min="1" max="1" width="15.44140625" bestFit="1" customWidth="1"/>
    <col min="2" max="2" width="23.77734375" bestFit="1" customWidth="1"/>
    <col min="3" max="3" width="10" bestFit="1" customWidth="1"/>
    <col min="4" max="4" width="22.33203125" bestFit="1" customWidth="1"/>
    <col min="5" max="5" width="13.44140625" bestFit="1" customWidth="1"/>
    <col min="6" max="6" width="39.6640625" bestFit="1" customWidth="1"/>
    <col min="7" max="7" width="34.33203125" bestFit="1" customWidth="1"/>
    <col min="8" max="8" width="34.33203125" customWidth="1"/>
    <col min="9" max="10" width="19" customWidth="1"/>
    <col min="11" max="11" width="11" customWidth="1"/>
    <col min="12" max="12" width="13.44140625" customWidth="1"/>
    <col min="13" max="14" width="22.77734375" customWidth="1"/>
    <col min="15" max="15" width="13.21875" customWidth="1" outlineLevel="1"/>
    <col min="16" max="16" width="19.33203125" customWidth="1" outlineLevel="1"/>
    <col min="17" max="17" width="19.77734375" customWidth="1" outlineLevel="1"/>
    <col min="18" max="18" width="18.88671875" customWidth="1" outlineLevel="1"/>
    <col min="19" max="19" width="25.77734375" customWidth="1" outlineLevel="1"/>
    <col min="20" max="20" width="14.5546875" customWidth="1" outlineLevel="1"/>
    <col min="21" max="21" width="17.21875" customWidth="1"/>
    <col min="22" max="22" width="16.88671875" customWidth="1"/>
    <col min="23" max="23" width="16" customWidth="1"/>
    <col min="24" max="24" width="16.5546875" customWidth="1"/>
    <col min="25" max="25" width="10.21875" customWidth="1"/>
    <col min="26" max="26" width="16.5546875" customWidth="1"/>
    <col min="27" max="27" width="16.88671875" customWidth="1"/>
    <col min="28" max="28" width="12.33203125" customWidth="1"/>
    <col min="29" max="29" width="12.6640625" customWidth="1"/>
    <col min="30" max="30" width="18.5546875" customWidth="1"/>
    <col min="31" max="31" width="21.77734375" customWidth="1"/>
    <col min="32" max="32" width="17.6640625" customWidth="1"/>
    <col min="33" max="33" width="15.109375" customWidth="1"/>
    <col min="34" max="34" width="15" customWidth="1"/>
    <col min="35" max="35" width="13.77734375" customWidth="1"/>
    <col min="36" max="36" width="9.6640625" bestFit="1" customWidth="1"/>
  </cols>
  <sheetData>
    <row r="1" spans="1:36" x14ac:dyDescent="0.3">
      <c r="N1" s="1">
        <f t="shared" ref="N1:W1" si="0">SUBTOTAL(9,N3:N491)</f>
        <v>2739131.4791723536</v>
      </c>
      <c r="O1" s="1">
        <f t="shared" si="0"/>
        <v>1878765.3098849989</v>
      </c>
      <c r="P1" s="1">
        <f t="shared" si="0"/>
        <v>381363.32999999984</v>
      </c>
      <c r="Q1" s="1">
        <f t="shared" si="0"/>
        <v>125493.37999999987</v>
      </c>
      <c r="R1" s="1">
        <f t="shared" si="0"/>
        <v>147141.44000000006</v>
      </c>
      <c r="S1" s="1">
        <f t="shared" si="0"/>
        <v>387116.00928735326</v>
      </c>
      <c r="T1" s="1">
        <f t="shared" si="0"/>
        <v>180747.99000000017</v>
      </c>
      <c r="U1" s="1">
        <f t="shared" si="0"/>
        <v>294042.95999999967</v>
      </c>
      <c r="V1" s="1">
        <f t="shared" si="0"/>
        <v>81057.790000000008</v>
      </c>
      <c r="W1" s="1">
        <f t="shared" si="0"/>
        <v>48800</v>
      </c>
      <c r="Z1" s="1">
        <f>SUBTOTAL(9,Z3:Z491)</f>
        <v>1098400</v>
      </c>
      <c r="AA1" s="2"/>
      <c r="AF1" s="1">
        <f>SUBTOTAL(9,AF3:AF491)</f>
        <v>3081974.4391723555</v>
      </c>
      <c r="AG1" s="1">
        <f>SUBTOTAL(9,AG3:AG491)</f>
        <v>1179457.79</v>
      </c>
      <c r="AH1" s="1">
        <f>SUBTOTAL(9,AH3:AH491)</f>
        <v>4261432.2291723564</v>
      </c>
    </row>
    <row r="2" spans="1:36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  <c r="P2" s="3" t="s">
        <v>15</v>
      </c>
      <c r="Q2" s="3" t="s">
        <v>16</v>
      </c>
      <c r="R2" s="3" t="s">
        <v>17</v>
      </c>
      <c r="S2" s="3" t="s">
        <v>18</v>
      </c>
      <c r="T2" s="3" t="s">
        <v>19</v>
      </c>
      <c r="U2" s="3" t="s">
        <v>20</v>
      </c>
      <c r="V2" s="3" t="s">
        <v>21</v>
      </c>
      <c r="W2" s="3" t="s">
        <v>22</v>
      </c>
      <c r="X2" s="3" t="s">
        <v>23</v>
      </c>
      <c r="Y2" s="3" t="s">
        <v>24</v>
      </c>
      <c r="Z2" s="3" t="s">
        <v>25</v>
      </c>
      <c r="AA2" s="3" t="s">
        <v>26</v>
      </c>
      <c r="AB2" s="3" t="s">
        <v>27</v>
      </c>
      <c r="AC2" s="3" t="s">
        <v>28</v>
      </c>
      <c r="AD2" s="3" t="s">
        <v>29</v>
      </c>
      <c r="AE2" s="3" t="s">
        <v>30</v>
      </c>
      <c r="AF2" s="3" t="s">
        <v>31</v>
      </c>
      <c r="AG2" s="3" t="s">
        <v>32</v>
      </c>
      <c r="AH2" s="3" t="s">
        <v>33</v>
      </c>
      <c r="AI2" s="3" t="s">
        <v>34</v>
      </c>
      <c r="AJ2" s="3" t="s">
        <v>35</v>
      </c>
    </row>
    <row r="3" spans="1:36" x14ac:dyDescent="0.3">
      <c r="A3" t="s">
        <v>36</v>
      </c>
      <c r="B3" t="s">
        <v>36</v>
      </c>
      <c r="C3" t="s">
        <v>37</v>
      </c>
      <c r="E3">
        <v>1</v>
      </c>
      <c r="F3" t="s">
        <v>38</v>
      </c>
      <c r="G3" t="s">
        <v>39</v>
      </c>
      <c r="H3" t="s">
        <v>40</v>
      </c>
      <c r="I3" s="4">
        <v>45693</v>
      </c>
      <c r="J3" s="4">
        <v>45705</v>
      </c>
      <c r="K3" t="s">
        <v>41</v>
      </c>
      <c r="L3" t="s">
        <v>42</v>
      </c>
      <c r="M3" t="s">
        <v>43</v>
      </c>
      <c r="N3" s="5">
        <f>O3+P3+Q3+R3-T3+S3</f>
        <v>3468.9839899999997</v>
      </c>
      <c r="O3" s="5">
        <v>2867</v>
      </c>
      <c r="P3" s="5">
        <v>0</v>
      </c>
      <c r="Q3" s="5">
        <v>0</v>
      </c>
      <c r="R3" s="5">
        <v>0</v>
      </c>
      <c r="S3" s="5">
        <v>601.98398999999995</v>
      </c>
      <c r="T3" s="5">
        <v>0</v>
      </c>
      <c r="U3">
        <v>0</v>
      </c>
      <c r="V3">
        <v>0</v>
      </c>
      <c r="X3">
        <v>0</v>
      </c>
      <c r="Y3" t="s">
        <v>44</v>
      </c>
      <c r="AD3" t="s">
        <v>45</v>
      </c>
      <c r="AE3" t="s">
        <v>46</v>
      </c>
      <c r="AF3" s="5">
        <f>N3+U3+W3</f>
        <v>3468.9839899999997</v>
      </c>
      <c r="AG3">
        <f t="shared" ref="AG3:AG66" si="1">V3+Z3</f>
        <v>0</v>
      </c>
      <c r="AH3" s="5">
        <f t="shared" ref="AH3:AH66" si="2">AG3+AF3</f>
        <v>3468.9839899999997</v>
      </c>
      <c r="AJ3" t="s">
        <v>47</v>
      </c>
    </row>
    <row r="4" spans="1:36" x14ac:dyDescent="0.3">
      <c r="A4" t="s">
        <v>36</v>
      </c>
      <c r="B4" t="s">
        <v>48</v>
      </c>
      <c r="C4" t="s">
        <v>37</v>
      </c>
      <c r="E4">
        <v>2</v>
      </c>
      <c r="F4" t="s">
        <v>49</v>
      </c>
      <c r="G4" t="s">
        <v>50</v>
      </c>
      <c r="H4" t="s">
        <v>40</v>
      </c>
      <c r="I4" s="4">
        <v>45693</v>
      </c>
      <c r="J4" s="4">
        <v>45853</v>
      </c>
      <c r="K4" t="s">
        <v>41</v>
      </c>
      <c r="L4" t="s">
        <v>42</v>
      </c>
      <c r="M4" t="s">
        <v>43</v>
      </c>
      <c r="N4" s="5">
        <f t="shared" ref="N4:N67" si="3">O4+P4+Q4+R4-T4+S4</f>
        <v>5130.2727999999997</v>
      </c>
      <c r="O4" s="5">
        <v>4240</v>
      </c>
      <c r="P4" s="5">
        <v>0</v>
      </c>
      <c r="Q4" s="5">
        <v>0</v>
      </c>
      <c r="R4" s="5">
        <v>0</v>
      </c>
      <c r="S4" s="5">
        <v>890.27279999999996</v>
      </c>
      <c r="T4" s="5">
        <v>0</v>
      </c>
      <c r="U4">
        <v>0</v>
      </c>
      <c r="V4">
        <v>0</v>
      </c>
      <c r="X4">
        <v>0</v>
      </c>
      <c r="Y4" t="s">
        <v>44</v>
      </c>
      <c r="AD4" t="s">
        <v>45</v>
      </c>
      <c r="AE4" t="s">
        <v>46</v>
      </c>
      <c r="AF4" s="5">
        <f t="shared" ref="AF4:AF67" si="4">N4+U4+W4</f>
        <v>5130.2727999999997</v>
      </c>
      <c r="AG4">
        <f t="shared" si="1"/>
        <v>0</v>
      </c>
      <c r="AH4" s="5">
        <f t="shared" si="2"/>
        <v>5130.2727999999997</v>
      </c>
      <c r="AJ4" t="s">
        <v>47</v>
      </c>
    </row>
    <row r="5" spans="1:36" x14ac:dyDescent="0.3">
      <c r="A5" t="s">
        <v>48</v>
      </c>
      <c r="B5" t="s">
        <v>51</v>
      </c>
      <c r="C5" t="s">
        <v>37</v>
      </c>
      <c r="E5">
        <v>3</v>
      </c>
      <c r="F5" t="s">
        <v>52</v>
      </c>
      <c r="G5" t="s">
        <v>53</v>
      </c>
      <c r="H5" t="s">
        <v>40</v>
      </c>
      <c r="I5" s="4">
        <v>45698</v>
      </c>
      <c r="J5" s="4">
        <v>46041</v>
      </c>
      <c r="K5" t="s">
        <v>41</v>
      </c>
      <c r="L5" t="s">
        <v>42</v>
      </c>
      <c r="M5" t="s">
        <v>43</v>
      </c>
      <c r="N5" s="5">
        <f t="shared" si="3"/>
        <v>7027.8298906</v>
      </c>
      <c r="O5" s="5">
        <v>3922</v>
      </c>
      <c r="P5" s="5">
        <v>0</v>
      </c>
      <c r="Q5" s="5">
        <v>484.2</v>
      </c>
      <c r="R5" s="5">
        <v>1380.45</v>
      </c>
      <c r="S5" s="5">
        <v>1301.1798905999999</v>
      </c>
      <c r="T5" s="5">
        <v>60</v>
      </c>
      <c r="U5">
        <v>0</v>
      </c>
      <c r="V5">
        <v>0</v>
      </c>
      <c r="X5" t="s">
        <v>44</v>
      </c>
      <c r="Y5" t="s">
        <v>44</v>
      </c>
      <c r="AD5" t="s">
        <v>45</v>
      </c>
      <c r="AE5" t="s">
        <v>46</v>
      </c>
      <c r="AF5" s="5">
        <f t="shared" si="4"/>
        <v>7027.8298906</v>
      </c>
      <c r="AG5">
        <f t="shared" si="1"/>
        <v>0</v>
      </c>
      <c r="AH5" s="5">
        <f t="shared" si="2"/>
        <v>7027.8298906</v>
      </c>
      <c r="AJ5" t="s">
        <v>54</v>
      </c>
    </row>
    <row r="6" spans="1:36" x14ac:dyDescent="0.3">
      <c r="A6" t="s">
        <v>55</v>
      </c>
      <c r="B6" t="s">
        <v>55</v>
      </c>
      <c r="C6" t="s">
        <v>56</v>
      </c>
      <c r="D6" t="s">
        <v>57</v>
      </c>
      <c r="E6">
        <v>4</v>
      </c>
      <c r="F6" t="s">
        <v>58</v>
      </c>
      <c r="G6" t="s">
        <v>59</v>
      </c>
      <c r="H6" t="s">
        <v>60</v>
      </c>
      <c r="I6" s="4">
        <v>45698</v>
      </c>
      <c r="K6" t="s">
        <v>61</v>
      </c>
      <c r="L6" t="s">
        <v>42</v>
      </c>
      <c r="M6" t="s">
        <v>43</v>
      </c>
      <c r="N6" s="5">
        <f t="shared" si="3"/>
        <v>4527.7996408999998</v>
      </c>
      <c r="O6" s="5">
        <v>2801.97</v>
      </c>
      <c r="P6" s="5">
        <v>1137.5</v>
      </c>
      <c r="Q6" s="5">
        <v>0</v>
      </c>
      <c r="R6" s="5">
        <v>0</v>
      </c>
      <c r="S6" s="5">
        <v>588.32964089999996</v>
      </c>
      <c r="T6" s="5">
        <v>0</v>
      </c>
      <c r="U6">
        <v>1307.6799999999998</v>
      </c>
      <c r="V6">
        <v>0</v>
      </c>
      <c r="X6" t="s">
        <v>44</v>
      </c>
      <c r="Y6" t="s">
        <v>44</v>
      </c>
      <c r="AD6" t="s">
        <v>45</v>
      </c>
      <c r="AE6" t="s">
        <v>46</v>
      </c>
      <c r="AF6" s="5">
        <f t="shared" si="4"/>
        <v>5835.4796408999991</v>
      </c>
      <c r="AG6">
        <f t="shared" si="1"/>
        <v>0</v>
      </c>
      <c r="AH6" s="5">
        <f t="shared" si="2"/>
        <v>5835.4796408999991</v>
      </c>
      <c r="AJ6" t="s">
        <v>54</v>
      </c>
    </row>
    <row r="7" spans="1:36" x14ac:dyDescent="0.3">
      <c r="A7" t="s">
        <v>55</v>
      </c>
      <c r="B7" t="s">
        <v>62</v>
      </c>
      <c r="C7" t="s">
        <v>56</v>
      </c>
      <c r="D7" t="s">
        <v>57</v>
      </c>
      <c r="E7">
        <v>5</v>
      </c>
      <c r="F7" t="s">
        <v>63</v>
      </c>
      <c r="G7" t="s">
        <v>64</v>
      </c>
      <c r="H7" t="s">
        <v>60</v>
      </c>
      <c r="I7" s="4">
        <v>45698</v>
      </c>
      <c r="K7" t="s">
        <v>61</v>
      </c>
      <c r="L7" t="s">
        <v>42</v>
      </c>
      <c r="M7" t="s">
        <v>43</v>
      </c>
      <c r="N7" s="5">
        <f t="shared" si="3"/>
        <v>4773.5620195000001</v>
      </c>
      <c r="O7" s="5">
        <v>3049.35</v>
      </c>
      <c r="P7" s="5">
        <v>1083.94</v>
      </c>
      <c r="Q7" s="5">
        <v>0</v>
      </c>
      <c r="R7" s="5">
        <v>0</v>
      </c>
      <c r="S7" s="5">
        <v>640.27201949999994</v>
      </c>
      <c r="T7" s="5">
        <v>0</v>
      </c>
      <c r="U7">
        <v>1316.56</v>
      </c>
      <c r="V7">
        <v>0</v>
      </c>
      <c r="X7" t="s">
        <v>44</v>
      </c>
      <c r="Y7" t="s">
        <v>44</v>
      </c>
      <c r="Z7">
        <f>3500*3</f>
        <v>10500</v>
      </c>
      <c r="AD7" t="s">
        <v>65</v>
      </c>
      <c r="AE7" t="s">
        <v>46</v>
      </c>
      <c r="AF7" s="5">
        <f t="shared" si="4"/>
        <v>6090.1220195000005</v>
      </c>
      <c r="AG7">
        <f t="shared" si="1"/>
        <v>10500</v>
      </c>
      <c r="AH7" s="5">
        <f t="shared" si="2"/>
        <v>16590.122019499999</v>
      </c>
      <c r="AJ7" t="s">
        <v>54</v>
      </c>
    </row>
    <row r="8" spans="1:36" x14ac:dyDescent="0.3">
      <c r="A8" t="s">
        <v>55</v>
      </c>
      <c r="B8" t="s">
        <v>55</v>
      </c>
      <c r="C8" t="s">
        <v>56</v>
      </c>
      <c r="D8" t="s">
        <v>57</v>
      </c>
      <c r="E8">
        <v>6</v>
      </c>
      <c r="F8" t="s">
        <v>66</v>
      </c>
      <c r="G8" t="s">
        <v>67</v>
      </c>
      <c r="H8" t="s">
        <v>68</v>
      </c>
      <c r="I8" s="4">
        <v>45698</v>
      </c>
      <c r="K8" t="s">
        <v>61</v>
      </c>
      <c r="L8" t="s">
        <v>42</v>
      </c>
      <c r="M8" t="s">
        <v>43</v>
      </c>
      <c r="N8" s="5">
        <f t="shared" si="3"/>
        <v>8021.4484618000006</v>
      </c>
      <c r="O8" s="5">
        <v>2801.97</v>
      </c>
      <c r="P8" s="5">
        <v>1616.62</v>
      </c>
      <c r="Q8" s="5">
        <v>952.58999999999992</v>
      </c>
      <c r="R8" s="5">
        <v>1387.89</v>
      </c>
      <c r="S8" s="5">
        <v>1322.3784618000004</v>
      </c>
      <c r="T8" s="5">
        <v>60</v>
      </c>
      <c r="U8">
        <v>1316.56</v>
      </c>
      <c r="V8">
        <v>0</v>
      </c>
      <c r="X8" t="s">
        <v>44</v>
      </c>
      <c r="Y8" t="s">
        <v>44</v>
      </c>
      <c r="AD8" t="s">
        <v>45</v>
      </c>
      <c r="AE8" t="s">
        <v>46</v>
      </c>
      <c r="AF8" s="5">
        <f t="shared" si="4"/>
        <v>9338.0084618000001</v>
      </c>
      <c r="AG8">
        <f t="shared" si="1"/>
        <v>0</v>
      </c>
      <c r="AH8" s="5">
        <f t="shared" si="2"/>
        <v>9338.0084618000001</v>
      </c>
      <c r="AJ8" t="s">
        <v>54</v>
      </c>
    </row>
    <row r="9" spans="1:36" x14ac:dyDescent="0.3">
      <c r="A9" t="s">
        <v>36</v>
      </c>
      <c r="B9" t="s">
        <v>36</v>
      </c>
      <c r="C9" t="s">
        <v>37</v>
      </c>
      <c r="D9" t="s">
        <v>69</v>
      </c>
      <c r="E9">
        <v>7</v>
      </c>
      <c r="F9" t="s">
        <v>70</v>
      </c>
      <c r="G9" t="s">
        <v>71</v>
      </c>
      <c r="H9" t="s">
        <v>60</v>
      </c>
      <c r="I9" s="4">
        <v>45705</v>
      </c>
      <c r="K9" t="s">
        <v>61</v>
      </c>
      <c r="L9" t="s">
        <v>42</v>
      </c>
      <c r="M9" t="s">
        <v>43</v>
      </c>
      <c r="N9" s="5">
        <f t="shared" si="3"/>
        <v>6540.0748974999988</v>
      </c>
      <c r="O9" s="5">
        <v>4458.3599999999997</v>
      </c>
      <c r="P9" s="5">
        <v>81.319999999999993</v>
      </c>
      <c r="Q9" s="5">
        <v>424.2</v>
      </c>
      <c r="R9" s="5">
        <v>377.87</v>
      </c>
      <c r="S9" s="5">
        <v>1278.0348974999997</v>
      </c>
      <c r="T9" s="5">
        <v>79.710000000000008</v>
      </c>
      <c r="U9">
        <v>1158.1599999999999</v>
      </c>
      <c r="V9">
        <v>0</v>
      </c>
      <c r="X9" t="s">
        <v>44</v>
      </c>
      <c r="Y9" t="s">
        <v>44</v>
      </c>
      <c r="AD9" t="s">
        <v>45</v>
      </c>
      <c r="AE9" t="s">
        <v>46</v>
      </c>
      <c r="AF9" s="5">
        <f t="shared" si="4"/>
        <v>7698.2348974999986</v>
      </c>
      <c r="AG9">
        <f t="shared" si="1"/>
        <v>0</v>
      </c>
      <c r="AH9" s="5">
        <f t="shared" si="2"/>
        <v>7698.2348974999986</v>
      </c>
      <c r="AJ9" t="s">
        <v>47</v>
      </c>
    </row>
    <row r="10" spans="1:36" x14ac:dyDescent="0.3">
      <c r="A10" t="s">
        <v>36</v>
      </c>
      <c r="B10" t="s">
        <v>36</v>
      </c>
      <c r="C10" t="s">
        <v>37</v>
      </c>
      <c r="E10">
        <v>8</v>
      </c>
      <c r="F10" t="s">
        <v>72</v>
      </c>
      <c r="G10" t="s">
        <v>73</v>
      </c>
      <c r="H10" t="s">
        <v>40</v>
      </c>
      <c r="I10" s="4">
        <v>45707</v>
      </c>
      <c r="J10" s="4">
        <v>45796</v>
      </c>
      <c r="K10" t="s">
        <v>41</v>
      </c>
      <c r="L10" t="s">
        <v>42</v>
      </c>
      <c r="M10" t="s">
        <v>43</v>
      </c>
      <c r="N10" s="5">
        <f t="shared" si="3"/>
        <v>5277.1324122000005</v>
      </c>
      <c r="O10" s="5">
        <v>3039.02</v>
      </c>
      <c r="P10" s="5">
        <v>0</v>
      </c>
      <c r="Q10" s="5">
        <v>624.20000000000005</v>
      </c>
      <c r="R10" s="5">
        <v>521.04</v>
      </c>
      <c r="S10" s="5">
        <v>1135.1524121999996</v>
      </c>
      <c r="T10" s="5">
        <v>42.28</v>
      </c>
      <c r="U10">
        <v>0</v>
      </c>
      <c r="V10">
        <v>0</v>
      </c>
      <c r="X10">
        <v>0</v>
      </c>
      <c r="Y10" t="s">
        <v>44</v>
      </c>
      <c r="AD10" t="s">
        <v>45</v>
      </c>
      <c r="AE10" t="s">
        <v>46</v>
      </c>
      <c r="AF10" s="5">
        <f t="shared" si="4"/>
        <v>5277.1324122000005</v>
      </c>
      <c r="AG10">
        <f t="shared" si="1"/>
        <v>0</v>
      </c>
      <c r="AH10" s="5">
        <f t="shared" si="2"/>
        <v>5277.1324122000005</v>
      </c>
      <c r="AJ10" t="s">
        <v>47</v>
      </c>
    </row>
    <row r="11" spans="1:36" x14ac:dyDescent="0.3">
      <c r="A11" t="s">
        <v>36</v>
      </c>
      <c r="B11" t="s">
        <v>36</v>
      </c>
      <c r="C11" t="s">
        <v>37</v>
      </c>
      <c r="E11">
        <v>9</v>
      </c>
      <c r="F11" t="s">
        <v>74</v>
      </c>
      <c r="G11" t="s">
        <v>75</v>
      </c>
      <c r="H11" t="s">
        <v>40</v>
      </c>
      <c r="I11" s="4">
        <v>45708</v>
      </c>
      <c r="J11" s="4">
        <v>45999</v>
      </c>
      <c r="K11" t="s">
        <v>41</v>
      </c>
      <c r="L11" t="s">
        <v>42</v>
      </c>
      <c r="M11" t="s">
        <v>43</v>
      </c>
      <c r="N11" s="5">
        <f t="shared" si="3"/>
        <v>9544.1112596000003</v>
      </c>
      <c r="O11" s="5">
        <v>7000</v>
      </c>
      <c r="P11" s="5">
        <v>0</v>
      </c>
      <c r="Q11" s="5">
        <v>484.2</v>
      </c>
      <c r="R11" s="5">
        <v>334.13</v>
      </c>
      <c r="S11" s="5">
        <v>1760.5312595999999</v>
      </c>
      <c r="T11" s="5">
        <v>34.75</v>
      </c>
      <c r="U11">
        <v>0</v>
      </c>
      <c r="V11">
        <v>0</v>
      </c>
      <c r="X11" t="s">
        <v>44</v>
      </c>
      <c r="Y11" t="s">
        <v>44</v>
      </c>
      <c r="AD11" t="s">
        <v>45</v>
      </c>
      <c r="AE11" t="s">
        <v>46</v>
      </c>
      <c r="AF11" s="5">
        <f t="shared" si="4"/>
        <v>9544.1112596000003</v>
      </c>
      <c r="AG11">
        <f t="shared" si="1"/>
        <v>0</v>
      </c>
      <c r="AH11" s="5">
        <f t="shared" si="2"/>
        <v>9544.1112596000003</v>
      </c>
      <c r="AJ11" t="s">
        <v>54</v>
      </c>
    </row>
    <row r="12" spans="1:36" x14ac:dyDescent="0.3">
      <c r="A12" t="s">
        <v>36</v>
      </c>
      <c r="B12" t="s">
        <v>76</v>
      </c>
      <c r="C12" t="s">
        <v>37</v>
      </c>
      <c r="D12" t="s">
        <v>69</v>
      </c>
      <c r="E12">
        <v>10</v>
      </c>
      <c r="F12" t="s">
        <v>77</v>
      </c>
      <c r="G12" t="s">
        <v>78</v>
      </c>
      <c r="H12" t="s">
        <v>68</v>
      </c>
      <c r="I12" s="4">
        <v>45708</v>
      </c>
      <c r="K12" t="s">
        <v>61</v>
      </c>
      <c r="L12" t="s">
        <v>42</v>
      </c>
      <c r="M12" t="s">
        <v>43</v>
      </c>
      <c r="N12" s="5">
        <f t="shared" si="3"/>
        <v>6637.0242316999993</v>
      </c>
      <c r="O12" s="5">
        <v>2801.97</v>
      </c>
      <c r="P12" s="5">
        <v>640.05999999999995</v>
      </c>
      <c r="Q12" s="5">
        <v>1301.7</v>
      </c>
      <c r="R12" s="5">
        <v>634.54</v>
      </c>
      <c r="S12" s="5">
        <v>1426.8742316999999</v>
      </c>
      <c r="T12" s="5">
        <v>168.12</v>
      </c>
      <c r="U12">
        <v>1336.7999999999997</v>
      </c>
      <c r="V12">
        <v>0</v>
      </c>
      <c r="X12" t="s">
        <v>44</v>
      </c>
      <c r="Y12" t="s">
        <v>44</v>
      </c>
      <c r="AD12" t="s">
        <v>45</v>
      </c>
      <c r="AE12" t="s">
        <v>46</v>
      </c>
      <c r="AF12" s="5">
        <f t="shared" si="4"/>
        <v>7973.8242316999986</v>
      </c>
      <c r="AG12">
        <f t="shared" si="1"/>
        <v>0</v>
      </c>
      <c r="AH12" s="5">
        <f t="shared" si="2"/>
        <v>7973.8242316999986</v>
      </c>
      <c r="AJ12" t="s">
        <v>47</v>
      </c>
    </row>
    <row r="13" spans="1:36" x14ac:dyDescent="0.3">
      <c r="A13" t="s">
        <v>55</v>
      </c>
      <c r="B13" t="s">
        <v>55</v>
      </c>
      <c r="C13" t="s">
        <v>56</v>
      </c>
      <c r="E13">
        <v>11</v>
      </c>
      <c r="F13" t="s">
        <v>79</v>
      </c>
      <c r="G13" t="s">
        <v>80</v>
      </c>
      <c r="H13" t="s">
        <v>40</v>
      </c>
      <c r="I13" s="4">
        <v>45709</v>
      </c>
      <c r="J13" s="4">
        <v>45798</v>
      </c>
      <c r="K13" t="s">
        <v>41</v>
      </c>
      <c r="L13" t="s">
        <v>42</v>
      </c>
      <c r="M13" t="s">
        <v>43</v>
      </c>
      <c r="N13" s="5">
        <f t="shared" si="3"/>
        <v>3224.2675574999998</v>
      </c>
      <c r="O13" s="5">
        <v>2664.75</v>
      </c>
      <c r="P13" s="5">
        <v>0</v>
      </c>
      <c r="Q13" s="5">
        <v>0</v>
      </c>
      <c r="R13" s="5">
        <v>0</v>
      </c>
      <c r="S13" s="5">
        <v>559.51755749999995</v>
      </c>
      <c r="T13" s="5">
        <v>0</v>
      </c>
      <c r="U13">
        <v>0</v>
      </c>
      <c r="V13">
        <v>0</v>
      </c>
      <c r="X13">
        <v>0</v>
      </c>
      <c r="Y13" t="s">
        <v>44</v>
      </c>
      <c r="AD13" t="s">
        <v>45</v>
      </c>
      <c r="AE13" t="s">
        <v>46</v>
      </c>
      <c r="AF13" s="5">
        <f t="shared" si="4"/>
        <v>3224.2675574999998</v>
      </c>
      <c r="AG13">
        <f t="shared" si="1"/>
        <v>0</v>
      </c>
      <c r="AH13" s="5">
        <f t="shared" si="2"/>
        <v>3224.2675574999998</v>
      </c>
      <c r="AJ13" t="s">
        <v>54</v>
      </c>
    </row>
    <row r="14" spans="1:36" x14ac:dyDescent="0.3">
      <c r="A14" t="s">
        <v>55</v>
      </c>
      <c r="B14" t="s">
        <v>55</v>
      </c>
      <c r="C14" t="s">
        <v>56</v>
      </c>
      <c r="E14">
        <v>12</v>
      </c>
      <c r="F14" t="s">
        <v>81</v>
      </c>
      <c r="G14" t="s">
        <v>82</v>
      </c>
      <c r="H14" t="s">
        <v>40</v>
      </c>
      <c r="I14" s="4">
        <v>45709</v>
      </c>
      <c r="J14" s="4">
        <v>45734</v>
      </c>
      <c r="K14" t="s">
        <v>41</v>
      </c>
      <c r="L14" t="s">
        <v>42</v>
      </c>
      <c r="M14" t="s">
        <v>43</v>
      </c>
      <c r="N14" s="5">
        <f t="shared" si="3"/>
        <v>2499.8101197000001</v>
      </c>
      <c r="O14" s="5">
        <v>2066.0100000000002</v>
      </c>
      <c r="P14" s="5">
        <v>0</v>
      </c>
      <c r="Q14" s="5">
        <v>0</v>
      </c>
      <c r="R14" s="5">
        <v>0</v>
      </c>
      <c r="S14" s="5">
        <v>433.80011969999998</v>
      </c>
      <c r="T14" s="5">
        <v>0</v>
      </c>
      <c r="U14">
        <v>0</v>
      </c>
      <c r="V14">
        <v>0</v>
      </c>
      <c r="X14">
        <v>0</v>
      </c>
      <c r="Y14" t="s">
        <v>44</v>
      </c>
      <c r="AD14" t="s">
        <v>45</v>
      </c>
      <c r="AE14" t="s">
        <v>46</v>
      </c>
      <c r="AF14" s="5">
        <f t="shared" si="4"/>
        <v>2499.8101197000001</v>
      </c>
      <c r="AG14">
        <f t="shared" si="1"/>
        <v>0</v>
      </c>
      <c r="AH14" s="5">
        <f t="shared" si="2"/>
        <v>2499.8101197000001</v>
      </c>
      <c r="AJ14" t="s">
        <v>54</v>
      </c>
    </row>
    <row r="15" spans="1:36" x14ac:dyDescent="0.3">
      <c r="A15" t="s">
        <v>55</v>
      </c>
      <c r="B15" t="s">
        <v>55</v>
      </c>
      <c r="C15" t="s">
        <v>56</v>
      </c>
      <c r="D15" t="s">
        <v>83</v>
      </c>
      <c r="E15">
        <v>13</v>
      </c>
      <c r="F15" t="s">
        <v>84</v>
      </c>
      <c r="G15" t="s">
        <v>80</v>
      </c>
      <c r="H15" t="s">
        <v>60</v>
      </c>
      <c r="I15" s="4">
        <v>45709</v>
      </c>
      <c r="J15" s="4">
        <v>46184</v>
      </c>
      <c r="K15" t="s">
        <v>41</v>
      </c>
      <c r="L15" t="s">
        <v>42</v>
      </c>
      <c r="M15" t="s">
        <v>43</v>
      </c>
      <c r="N15" s="5">
        <f t="shared" si="3"/>
        <v>-12163.370359100001</v>
      </c>
      <c r="O15" s="5">
        <v>2801.97</v>
      </c>
      <c r="P15" s="5">
        <v>550.43999999999994</v>
      </c>
      <c r="Q15" s="5">
        <v>0</v>
      </c>
      <c r="R15" s="5">
        <v>0</v>
      </c>
      <c r="S15" s="5">
        <v>588.32964089999996</v>
      </c>
      <c r="T15" s="5">
        <v>16104.11</v>
      </c>
      <c r="U15">
        <v>0</v>
      </c>
      <c r="V15">
        <v>0</v>
      </c>
      <c r="X15">
        <v>0</v>
      </c>
      <c r="Y15">
        <v>0</v>
      </c>
      <c r="AD15" t="s">
        <v>45</v>
      </c>
      <c r="AE15" t="s">
        <v>46</v>
      </c>
      <c r="AF15" s="5">
        <f t="shared" si="4"/>
        <v>-12163.370359100001</v>
      </c>
      <c r="AG15">
        <f t="shared" si="1"/>
        <v>0</v>
      </c>
      <c r="AH15" s="5">
        <f t="shared" si="2"/>
        <v>-12163.370359100001</v>
      </c>
      <c r="AJ15" t="s">
        <v>54</v>
      </c>
    </row>
    <row r="16" spans="1:36" x14ac:dyDescent="0.3">
      <c r="A16" t="s">
        <v>55</v>
      </c>
      <c r="B16" t="s">
        <v>85</v>
      </c>
      <c r="C16" t="s">
        <v>56</v>
      </c>
      <c r="D16" t="s">
        <v>57</v>
      </c>
      <c r="E16">
        <v>14</v>
      </c>
      <c r="F16" t="s">
        <v>86</v>
      </c>
      <c r="G16" t="s">
        <v>87</v>
      </c>
      <c r="H16" t="s">
        <v>60</v>
      </c>
      <c r="I16" s="4">
        <v>45709</v>
      </c>
      <c r="J16" s="4"/>
      <c r="K16" t="s">
        <v>61</v>
      </c>
      <c r="L16" t="s">
        <v>42</v>
      </c>
      <c r="M16" t="s">
        <v>43</v>
      </c>
      <c r="N16" s="5">
        <f t="shared" si="3"/>
        <v>7770.5122384999995</v>
      </c>
      <c r="O16" s="5">
        <v>4942.05</v>
      </c>
      <c r="P16" s="5">
        <v>1790.78</v>
      </c>
      <c r="Q16" s="5">
        <v>0</v>
      </c>
      <c r="R16" s="5">
        <v>0</v>
      </c>
      <c r="S16" s="5">
        <v>1037.6822385</v>
      </c>
      <c r="T16" s="5">
        <v>0</v>
      </c>
      <c r="U16">
        <v>1269.6799999999998</v>
      </c>
      <c r="V16">
        <v>0</v>
      </c>
      <c r="X16" t="s">
        <v>44</v>
      </c>
      <c r="Y16" t="s">
        <v>44</v>
      </c>
      <c r="AD16" t="s">
        <v>88</v>
      </c>
      <c r="AE16" t="s">
        <v>46</v>
      </c>
      <c r="AF16" s="5">
        <f t="shared" si="4"/>
        <v>9040.1922384999998</v>
      </c>
      <c r="AG16">
        <f t="shared" si="1"/>
        <v>0</v>
      </c>
      <c r="AH16" s="5">
        <f t="shared" si="2"/>
        <v>9040.1922384999998</v>
      </c>
      <c r="AJ16" t="s">
        <v>54</v>
      </c>
    </row>
    <row r="17" spans="1:36" x14ac:dyDescent="0.3">
      <c r="A17" t="s">
        <v>89</v>
      </c>
      <c r="B17" t="s">
        <v>90</v>
      </c>
      <c r="C17" t="s">
        <v>37</v>
      </c>
      <c r="E17">
        <v>15</v>
      </c>
      <c r="F17" t="s">
        <v>91</v>
      </c>
      <c r="G17" t="s">
        <v>92</v>
      </c>
      <c r="H17" t="s">
        <v>40</v>
      </c>
      <c r="I17" s="4">
        <v>45709</v>
      </c>
      <c r="J17" s="4">
        <v>45799</v>
      </c>
      <c r="K17" t="s">
        <v>41</v>
      </c>
      <c r="L17" t="s">
        <v>42</v>
      </c>
      <c r="M17" t="s">
        <v>43</v>
      </c>
      <c r="N17" s="5">
        <f t="shared" si="3"/>
        <v>8514.9275809999999</v>
      </c>
      <c r="O17" s="5">
        <v>6360</v>
      </c>
      <c r="P17" s="5">
        <v>0</v>
      </c>
      <c r="Q17" s="5">
        <v>324.2</v>
      </c>
      <c r="R17" s="5">
        <v>351.13</v>
      </c>
      <c r="S17" s="5">
        <v>1647.6975809999999</v>
      </c>
      <c r="T17" s="5">
        <v>168.1</v>
      </c>
      <c r="U17">
        <v>0</v>
      </c>
      <c r="V17">
        <v>0</v>
      </c>
      <c r="X17" t="s">
        <v>44</v>
      </c>
      <c r="Y17" t="s">
        <v>44</v>
      </c>
      <c r="AD17" t="s">
        <v>45</v>
      </c>
      <c r="AE17" t="s">
        <v>46</v>
      </c>
      <c r="AF17" s="5">
        <f t="shared" si="4"/>
        <v>8514.9275809999999</v>
      </c>
      <c r="AG17">
        <f t="shared" si="1"/>
        <v>0</v>
      </c>
      <c r="AH17" s="5">
        <f t="shared" si="2"/>
        <v>8514.9275809999999</v>
      </c>
      <c r="AJ17" t="s">
        <v>54</v>
      </c>
    </row>
    <row r="18" spans="1:36" x14ac:dyDescent="0.3">
      <c r="A18" t="s">
        <v>55</v>
      </c>
      <c r="B18" t="s">
        <v>55</v>
      </c>
      <c r="C18" t="s">
        <v>56</v>
      </c>
      <c r="D18" t="s">
        <v>93</v>
      </c>
      <c r="E18">
        <v>16</v>
      </c>
      <c r="F18" t="s">
        <v>94</v>
      </c>
      <c r="G18" t="s">
        <v>59</v>
      </c>
      <c r="H18" t="s">
        <v>60</v>
      </c>
      <c r="I18" s="4">
        <v>45719</v>
      </c>
      <c r="J18" s="4"/>
      <c r="K18" t="s">
        <v>61</v>
      </c>
      <c r="L18" t="s">
        <v>42</v>
      </c>
      <c r="M18" t="s">
        <v>43</v>
      </c>
      <c r="N18" s="5">
        <f t="shared" si="3"/>
        <v>6919.4774707999995</v>
      </c>
      <c r="O18" s="5">
        <v>2801.97</v>
      </c>
      <c r="P18" s="5">
        <v>1104.7</v>
      </c>
      <c r="Q18" s="5">
        <v>1833.45</v>
      </c>
      <c r="R18" s="5">
        <v>218.93</v>
      </c>
      <c r="S18" s="5">
        <v>1028.3574707999999</v>
      </c>
      <c r="T18" s="5">
        <v>67.930000000000007</v>
      </c>
      <c r="U18">
        <v>1274.1199999999997</v>
      </c>
      <c r="V18">
        <v>0</v>
      </c>
      <c r="X18" t="s">
        <v>44</v>
      </c>
      <c r="Y18" t="s">
        <v>44</v>
      </c>
      <c r="AD18" t="s">
        <v>45</v>
      </c>
      <c r="AE18" t="s">
        <v>46</v>
      </c>
      <c r="AF18" s="5">
        <f t="shared" si="4"/>
        <v>8193.5974707999994</v>
      </c>
      <c r="AG18">
        <f t="shared" si="1"/>
        <v>0</v>
      </c>
      <c r="AH18" s="5">
        <f t="shared" si="2"/>
        <v>8193.5974707999994</v>
      </c>
      <c r="AJ18" t="s">
        <v>54</v>
      </c>
    </row>
    <row r="19" spans="1:36" x14ac:dyDescent="0.3">
      <c r="A19" t="s">
        <v>55</v>
      </c>
      <c r="B19" t="s">
        <v>55</v>
      </c>
      <c r="C19" t="s">
        <v>56</v>
      </c>
      <c r="E19">
        <v>17</v>
      </c>
      <c r="F19" t="s">
        <v>95</v>
      </c>
      <c r="G19" t="s">
        <v>82</v>
      </c>
      <c r="H19" t="s">
        <v>40</v>
      </c>
      <c r="I19" s="4">
        <v>45719</v>
      </c>
      <c r="J19" s="4">
        <v>45852</v>
      </c>
      <c r="K19" t="s">
        <v>41</v>
      </c>
      <c r="L19" t="s">
        <v>42</v>
      </c>
      <c r="M19" t="s">
        <v>43</v>
      </c>
      <c r="N19" s="5">
        <f t="shared" si="3"/>
        <v>3737.6946258000003</v>
      </c>
      <c r="O19" s="5">
        <v>2189.9699999999998</v>
      </c>
      <c r="P19" s="5">
        <v>0</v>
      </c>
      <c r="Q19" s="5">
        <v>160.31</v>
      </c>
      <c r="R19" s="5">
        <v>564.47</v>
      </c>
      <c r="S19" s="5">
        <v>873.29462580000006</v>
      </c>
      <c r="T19" s="5">
        <v>50.35</v>
      </c>
      <c r="U19">
        <v>0</v>
      </c>
      <c r="V19">
        <v>0</v>
      </c>
      <c r="X19">
        <v>0</v>
      </c>
      <c r="Y19" t="s">
        <v>44</v>
      </c>
      <c r="AD19" t="s">
        <v>45</v>
      </c>
      <c r="AE19" t="s">
        <v>46</v>
      </c>
      <c r="AF19" s="5">
        <f t="shared" si="4"/>
        <v>3737.6946258000003</v>
      </c>
      <c r="AG19">
        <f t="shared" si="1"/>
        <v>0</v>
      </c>
      <c r="AH19" s="5">
        <f t="shared" si="2"/>
        <v>3737.6946258000003</v>
      </c>
      <c r="AJ19" t="s">
        <v>54</v>
      </c>
    </row>
    <row r="20" spans="1:36" x14ac:dyDescent="0.3">
      <c r="A20" t="s">
        <v>89</v>
      </c>
      <c r="B20" t="s">
        <v>90</v>
      </c>
      <c r="C20" t="s">
        <v>37</v>
      </c>
      <c r="E20">
        <v>18</v>
      </c>
      <c r="F20" t="s">
        <v>96</v>
      </c>
      <c r="G20" t="s">
        <v>92</v>
      </c>
      <c r="H20" t="s">
        <v>40</v>
      </c>
      <c r="I20" s="4">
        <v>45719</v>
      </c>
      <c r="J20" s="4">
        <v>45904</v>
      </c>
      <c r="K20" t="s">
        <v>41</v>
      </c>
      <c r="L20" t="s">
        <v>42</v>
      </c>
      <c r="M20" t="s">
        <v>43</v>
      </c>
      <c r="N20" s="5">
        <f t="shared" si="3"/>
        <v>7695.4092000000001</v>
      </c>
      <c r="O20" s="5">
        <v>6360</v>
      </c>
      <c r="P20" s="5">
        <v>0</v>
      </c>
      <c r="Q20" s="5">
        <v>0</v>
      </c>
      <c r="R20" s="5">
        <v>0</v>
      </c>
      <c r="S20" s="5">
        <v>1335.4092000000001</v>
      </c>
      <c r="T20" s="5">
        <v>0</v>
      </c>
      <c r="U20">
        <v>0</v>
      </c>
      <c r="V20">
        <v>0</v>
      </c>
      <c r="X20" t="s">
        <v>44</v>
      </c>
      <c r="Y20" t="s">
        <v>44</v>
      </c>
      <c r="AD20" t="s">
        <v>45</v>
      </c>
      <c r="AE20" t="s">
        <v>46</v>
      </c>
      <c r="AF20" s="5">
        <f t="shared" si="4"/>
        <v>7695.4092000000001</v>
      </c>
      <c r="AG20">
        <f t="shared" si="1"/>
        <v>0</v>
      </c>
      <c r="AH20" s="5">
        <f t="shared" si="2"/>
        <v>7695.4092000000001</v>
      </c>
      <c r="AJ20" t="s">
        <v>54</v>
      </c>
    </row>
    <row r="21" spans="1:36" x14ac:dyDescent="0.3">
      <c r="A21" t="s">
        <v>55</v>
      </c>
      <c r="B21" t="s">
        <v>55</v>
      </c>
      <c r="C21" t="s">
        <v>56</v>
      </c>
      <c r="E21">
        <v>19</v>
      </c>
      <c r="F21" t="s">
        <v>97</v>
      </c>
      <c r="G21" t="s">
        <v>98</v>
      </c>
      <c r="H21" t="s">
        <v>40</v>
      </c>
      <c r="I21" s="4">
        <v>45719</v>
      </c>
      <c r="J21" s="4">
        <v>45749</v>
      </c>
      <c r="K21" t="s">
        <v>41</v>
      </c>
      <c r="L21" t="s">
        <v>42</v>
      </c>
      <c r="M21" t="s">
        <v>43</v>
      </c>
      <c r="N21" s="5">
        <f t="shared" si="3"/>
        <v>7864.8050000000003</v>
      </c>
      <c r="O21" s="5">
        <v>6500</v>
      </c>
      <c r="P21" s="5">
        <v>0</v>
      </c>
      <c r="Q21" s="5">
        <v>0</v>
      </c>
      <c r="R21" s="5">
        <v>0</v>
      </c>
      <c r="S21" s="5">
        <v>1364.8049999999998</v>
      </c>
      <c r="T21" s="5">
        <v>0</v>
      </c>
      <c r="U21">
        <v>0</v>
      </c>
      <c r="V21">
        <v>0</v>
      </c>
      <c r="X21">
        <v>0</v>
      </c>
      <c r="Y21" t="s">
        <v>44</v>
      </c>
      <c r="AD21" t="s">
        <v>45</v>
      </c>
      <c r="AE21" t="s">
        <v>46</v>
      </c>
      <c r="AF21" s="5">
        <f t="shared" si="4"/>
        <v>7864.8050000000003</v>
      </c>
      <c r="AG21">
        <f t="shared" si="1"/>
        <v>0</v>
      </c>
      <c r="AH21" s="5">
        <f t="shared" si="2"/>
        <v>7864.8050000000003</v>
      </c>
      <c r="AJ21" t="s">
        <v>54</v>
      </c>
    </row>
    <row r="22" spans="1:36" x14ac:dyDescent="0.3">
      <c r="A22" t="s">
        <v>55</v>
      </c>
      <c r="B22" t="s">
        <v>55</v>
      </c>
      <c r="C22" t="s">
        <v>56</v>
      </c>
      <c r="E22">
        <v>20</v>
      </c>
      <c r="F22" t="s">
        <v>99</v>
      </c>
      <c r="G22" t="s">
        <v>82</v>
      </c>
      <c r="H22" t="s">
        <v>40</v>
      </c>
      <c r="I22" s="4">
        <v>45719</v>
      </c>
      <c r="J22" s="4">
        <v>45887</v>
      </c>
      <c r="K22" t="s">
        <v>41</v>
      </c>
      <c r="L22" t="s">
        <v>42</v>
      </c>
      <c r="M22" t="s">
        <v>43</v>
      </c>
      <c r="N22" s="5">
        <f t="shared" si="3"/>
        <v>3513.8385868999999</v>
      </c>
      <c r="O22" s="5">
        <v>2189.9699999999998</v>
      </c>
      <c r="P22" s="5">
        <v>0</v>
      </c>
      <c r="Q22" s="5">
        <v>155.1</v>
      </c>
      <c r="R22" s="5">
        <v>558.86</v>
      </c>
      <c r="S22" s="5">
        <v>861.66858689999992</v>
      </c>
      <c r="T22" s="5">
        <v>251.76</v>
      </c>
      <c r="U22">
        <v>0</v>
      </c>
      <c r="V22">
        <v>0</v>
      </c>
      <c r="X22">
        <v>0</v>
      </c>
      <c r="Y22" t="s">
        <v>44</v>
      </c>
      <c r="AD22" t="s">
        <v>45</v>
      </c>
      <c r="AE22" t="s">
        <v>46</v>
      </c>
      <c r="AF22" s="5">
        <f t="shared" si="4"/>
        <v>3513.8385868999999</v>
      </c>
      <c r="AG22">
        <f t="shared" si="1"/>
        <v>0</v>
      </c>
      <c r="AH22" s="5">
        <f t="shared" si="2"/>
        <v>3513.8385868999999</v>
      </c>
      <c r="AJ22" t="s">
        <v>54</v>
      </c>
    </row>
    <row r="23" spans="1:36" x14ac:dyDescent="0.3">
      <c r="A23" t="s">
        <v>55</v>
      </c>
      <c r="B23" t="s">
        <v>55</v>
      </c>
      <c r="C23" t="s">
        <v>56</v>
      </c>
      <c r="E23">
        <v>21</v>
      </c>
      <c r="F23" t="s">
        <v>100</v>
      </c>
      <c r="G23" t="s">
        <v>82</v>
      </c>
      <c r="H23" t="s">
        <v>40</v>
      </c>
      <c r="I23" s="4">
        <v>45720</v>
      </c>
      <c r="J23" s="4">
        <v>45809</v>
      </c>
      <c r="K23" t="s">
        <v>41</v>
      </c>
      <c r="L23" t="s">
        <v>42</v>
      </c>
      <c r="M23" t="s">
        <v>43</v>
      </c>
      <c r="N23" s="5">
        <f t="shared" si="3"/>
        <v>2649.7980008999998</v>
      </c>
      <c r="O23" s="5">
        <v>2189.9699999999998</v>
      </c>
      <c r="P23" s="5">
        <v>0</v>
      </c>
      <c r="Q23" s="5">
        <v>0</v>
      </c>
      <c r="R23" s="5">
        <v>0</v>
      </c>
      <c r="S23" s="5">
        <v>459.82800089999995</v>
      </c>
      <c r="T23" s="5">
        <v>0</v>
      </c>
      <c r="U23">
        <v>0</v>
      </c>
      <c r="V23">
        <v>0</v>
      </c>
      <c r="X23">
        <v>0</v>
      </c>
      <c r="Y23" t="s">
        <v>44</v>
      </c>
      <c r="AD23" t="s">
        <v>45</v>
      </c>
      <c r="AE23" t="s">
        <v>46</v>
      </c>
      <c r="AF23" s="5">
        <f t="shared" si="4"/>
        <v>2649.7980008999998</v>
      </c>
      <c r="AG23">
        <f t="shared" si="1"/>
        <v>0</v>
      </c>
      <c r="AH23" s="5">
        <f t="shared" si="2"/>
        <v>2649.7980008999998</v>
      </c>
      <c r="AJ23" t="s">
        <v>54</v>
      </c>
    </row>
    <row r="24" spans="1:36" x14ac:dyDescent="0.3">
      <c r="A24" t="s">
        <v>55</v>
      </c>
      <c r="B24" t="s">
        <v>55</v>
      </c>
      <c r="C24" t="s">
        <v>56</v>
      </c>
      <c r="D24" t="s">
        <v>57</v>
      </c>
      <c r="E24">
        <v>22</v>
      </c>
      <c r="F24" t="s">
        <v>101</v>
      </c>
      <c r="G24" t="s">
        <v>67</v>
      </c>
      <c r="H24" t="s">
        <v>40</v>
      </c>
      <c r="I24" s="4">
        <v>45720</v>
      </c>
      <c r="J24" s="4">
        <v>45819</v>
      </c>
      <c r="K24" t="s">
        <v>41</v>
      </c>
      <c r="L24" t="s">
        <v>42</v>
      </c>
      <c r="M24" t="s">
        <v>43</v>
      </c>
      <c r="N24" s="5">
        <f t="shared" si="3"/>
        <v>3224.2554577999999</v>
      </c>
      <c r="O24" s="5">
        <v>2664.74</v>
      </c>
      <c r="P24" s="5">
        <v>0</v>
      </c>
      <c r="Q24" s="5">
        <v>0</v>
      </c>
      <c r="R24" s="5">
        <v>0</v>
      </c>
      <c r="S24" s="5">
        <v>559.51545779999992</v>
      </c>
      <c r="T24" s="5">
        <v>0</v>
      </c>
      <c r="U24">
        <v>0</v>
      </c>
      <c r="V24">
        <v>0</v>
      </c>
      <c r="X24">
        <v>0</v>
      </c>
      <c r="Y24" t="s">
        <v>44</v>
      </c>
      <c r="AD24" t="s">
        <v>45</v>
      </c>
      <c r="AE24" t="s">
        <v>46</v>
      </c>
      <c r="AF24" s="5">
        <f t="shared" si="4"/>
        <v>3224.2554577999999</v>
      </c>
      <c r="AG24">
        <f t="shared" si="1"/>
        <v>0</v>
      </c>
      <c r="AH24" s="5">
        <f t="shared" si="2"/>
        <v>3224.2554577999999</v>
      </c>
      <c r="AJ24" t="s">
        <v>54</v>
      </c>
    </row>
    <row r="25" spans="1:36" x14ac:dyDescent="0.3">
      <c r="A25" t="s">
        <v>48</v>
      </c>
      <c r="B25" t="s">
        <v>51</v>
      </c>
      <c r="C25" t="s">
        <v>37</v>
      </c>
      <c r="D25" t="s">
        <v>102</v>
      </c>
      <c r="E25">
        <v>23</v>
      </c>
      <c r="F25" t="s">
        <v>103</v>
      </c>
      <c r="G25" t="s">
        <v>104</v>
      </c>
      <c r="H25" t="s">
        <v>40</v>
      </c>
      <c r="I25" s="4">
        <v>45720</v>
      </c>
      <c r="J25" s="4">
        <v>45978</v>
      </c>
      <c r="K25" t="s">
        <v>41</v>
      </c>
      <c r="L25" t="s">
        <v>42</v>
      </c>
      <c r="M25" t="s">
        <v>43</v>
      </c>
      <c r="N25" s="5">
        <f t="shared" si="3"/>
        <v>3244.8975460000001</v>
      </c>
      <c r="O25" s="5">
        <v>2681.8</v>
      </c>
      <c r="P25" s="5">
        <v>0</v>
      </c>
      <c r="Q25" s="5">
        <v>0</v>
      </c>
      <c r="R25" s="5">
        <v>0</v>
      </c>
      <c r="S25" s="5">
        <v>563.09754599999997</v>
      </c>
      <c r="T25" s="5">
        <v>0</v>
      </c>
      <c r="U25">
        <v>0</v>
      </c>
      <c r="V25">
        <v>0</v>
      </c>
      <c r="X25">
        <v>0</v>
      </c>
      <c r="Y25" t="s">
        <v>44</v>
      </c>
      <c r="AD25" t="s">
        <v>45</v>
      </c>
      <c r="AE25" t="s">
        <v>46</v>
      </c>
      <c r="AF25" s="5">
        <f t="shared" si="4"/>
        <v>3244.8975460000001</v>
      </c>
      <c r="AG25">
        <f t="shared" si="1"/>
        <v>0</v>
      </c>
      <c r="AH25" s="5">
        <f t="shared" si="2"/>
        <v>3244.8975460000001</v>
      </c>
      <c r="AJ25" t="s">
        <v>54</v>
      </c>
    </row>
    <row r="26" spans="1:36" x14ac:dyDescent="0.3">
      <c r="A26" t="s">
        <v>55</v>
      </c>
      <c r="B26" t="s">
        <v>55</v>
      </c>
      <c r="C26" t="s">
        <v>56</v>
      </c>
      <c r="D26" t="s">
        <v>57</v>
      </c>
      <c r="E26">
        <v>24</v>
      </c>
      <c r="F26" t="s">
        <v>105</v>
      </c>
      <c r="G26" t="s">
        <v>106</v>
      </c>
      <c r="H26" t="s">
        <v>40</v>
      </c>
      <c r="I26" s="4">
        <v>45720</v>
      </c>
      <c r="J26" s="4">
        <v>45887</v>
      </c>
      <c r="K26" t="s">
        <v>41</v>
      </c>
      <c r="L26" t="s">
        <v>42</v>
      </c>
      <c r="M26" t="s">
        <v>43</v>
      </c>
      <c r="N26" s="5">
        <f t="shared" si="3"/>
        <v>6188.3915649999999</v>
      </c>
      <c r="O26" s="5">
        <v>5114.5</v>
      </c>
      <c r="P26" s="5">
        <v>0</v>
      </c>
      <c r="Q26" s="5">
        <v>0</v>
      </c>
      <c r="R26" s="5">
        <v>0</v>
      </c>
      <c r="S26" s="5">
        <v>1073.8915649999997</v>
      </c>
      <c r="T26" s="5">
        <v>0</v>
      </c>
      <c r="U26">
        <v>0</v>
      </c>
      <c r="V26">
        <v>0</v>
      </c>
      <c r="X26">
        <v>0</v>
      </c>
      <c r="Y26" t="s">
        <v>44</v>
      </c>
      <c r="AD26" t="s">
        <v>45</v>
      </c>
      <c r="AE26" t="s">
        <v>46</v>
      </c>
      <c r="AF26" s="5">
        <f t="shared" si="4"/>
        <v>6188.3915649999999</v>
      </c>
      <c r="AG26">
        <f t="shared" si="1"/>
        <v>0</v>
      </c>
      <c r="AH26" s="5">
        <f t="shared" si="2"/>
        <v>6188.3915649999999</v>
      </c>
      <c r="AJ26" t="s">
        <v>54</v>
      </c>
    </row>
    <row r="27" spans="1:36" x14ac:dyDescent="0.3">
      <c r="A27" t="s">
        <v>55</v>
      </c>
      <c r="B27" t="s">
        <v>55</v>
      </c>
      <c r="C27" t="s">
        <v>56</v>
      </c>
      <c r="E27">
        <v>25</v>
      </c>
      <c r="F27" t="s">
        <v>107</v>
      </c>
      <c r="G27" t="s">
        <v>108</v>
      </c>
      <c r="H27" t="s">
        <v>40</v>
      </c>
      <c r="I27" s="4">
        <v>45720</v>
      </c>
      <c r="J27" s="4">
        <v>45975</v>
      </c>
      <c r="K27" t="s">
        <v>41</v>
      </c>
      <c r="L27" t="s">
        <v>42</v>
      </c>
      <c r="M27" t="s">
        <v>43</v>
      </c>
      <c r="N27" s="5">
        <f t="shared" si="3"/>
        <v>6544.3396118999999</v>
      </c>
      <c r="O27" s="5">
        <v>3353.12</v>
      </c>
      <c r="P27" s="5">
        <v>0</v>
      </c>
      <c r="Q27" s="5">
        <v>400</v>
      </c>
      <c r="R27" s="5">
        <v>1541.79</v>
      </c>
      <c r="S27" s="5">
        <v>1309.4296119000001</v>
      </c>
      <c r="T27" s="5">
        <v>60</v>
      </c>
      <c r="U27">
        <v>0</v>
      </c>
      <c r="V27">
        <v>0</v>
      </c>
      <c r="X27">
        <v>0</v>
      </c>
      <c r="Y27" t="s">
        <v>44</v>
      </c>
      <c r="AD27" t="s">
        <v>45</v>
      </c>
      <c r="AE27" t="s">
        <v>46</v>
      </c>
      <c r="AF27" s="5">
        <f t="shared" si="4"/>
        <v>6544.3396118999999</v>
      </c>
      <c r="AG27">
        <f t="shared" si="1"/>
        <v>0</v>
      </c>
      <c r="AH27" s="5">
        <f t="shared" si="2"/>
        <v>6544.3396118999999</v>
      </c>
      <c r="AJ27" t="s">
        <v>54</v>
      </c>
    </row>
    <row r="28" spans="1:36" x14ac:dyDescent="0.3">
      <c r="A28" t="s">
        <v>55</v>
      </c>
      <c r="B28" t="s">
        <v>55</v>
      </c>
      <c r="C28" t="s">
        <v>56</v>
      </c>
      <c r="E28">
        <v>26</v>
      </c>
      <c r="F28" t="s">
        <v>109</v>
      </c>
      <c r="G28" t="s">
        <v>82</v>
      </c>
      <c r="H28" t="s">
        <v>40</v>
      </c>
      <c r="I28" s="4">
        <v>45726</v>
      </c>
      <c r="J28" s="4">
        <v>45840</v>
      </c>
      <c r="K28" t="s">
        <v>41</v>
      </c>
      <c r="L28" t="s">
        <v>42</v>
      </c>
      <c r="M28" t="s">
        <v>43</v>
      </c>
      <c r="N28" s="5">
        <f t="shared" si="3"/>
        <v>3677.3366262999998</v>
      </c>
      <c r="O28" s="5">
        <v>2189.9699999999998</v>
      </c>
      <c r="P28" s="5">
        <v>0</v>
      </c>
      <c r="Q28" s="5">
        <v>341.25</v>
      </c>
      <c r="R28" s="5">
        <v>479.44</v>
      </c>
      <c r="S28" s="5">
        <v>834.79662629999996</v>
      </c>
      <c r="T28" s="5">
        <v>168.12</v>
      </c>
      <c r="U28">
        <v>0</v>
      </c>
      <c r="V28">
        <v>0</v>
      </c>
      <c r="X28">
        <v>0</v>
      </c>
      <c r="Y28" t="s">
        <v>44</v>
      </c>
      <c r="AD28" t="s">
        <v>45</v>
      </c>
      <c r="AE28" t="s">
        <v>46</v>
      </c>
      <c r="AF28" s="5">
        <f t="shared" si="4"/>
        <v>3677.3366262999998</v>
      </c>
      <c r="AG28">
        <f t="shared" si="1"/>
        <v>0</v>
      </c>
      <c r="AH28" s="5">
        <f t="shared" si="2"/>
        <v>3677.3366262999998</v>
      </c>
      <c r="AJ28" t="s">
        <v>54</v>
      </c>
    </row>
    <row r="29" spans="1:36" x14ac:dyDescent="0.3">
      <c r="A29" t="s">
        <v>55</v>
      </c>
      <c r="B29" t="s">
        <v>55</v>
      </c>
      <c r="C29" t="s">
        <v>56</v>
      </c>
      <c r="E29">
        <v>27</v>
      </c>
      <c r="F29" t="s">
        <v>110</v>
      </c>
      <c r="G29" t="s">
        <v>82</v>
      </c>
      <c r="H29" t="s">
        <v>40</v>
      </c>
      <c r="I29" s="4">
        <v>45726</v>
      </c>
      <c r="J29" s="4">
        <v>45810</v>
      </c>
      <c r="K29" t="s">
        <v>41</v>
      </c>
      <c r="L29" t="s">
        <v>42</v>
      </c>
      <c r="M29" t="s">
        <v>43</v>
      </c>
      <c r="N29" s="5">
        <f t="shared" si="3"/>
        <v>2499.8101197000001</v>
      </c>
      <c r="O29" s="5">
        <v>2066.0100000000002</v>
      </c>
      <c r="P29" s="5">
        <v>0</v>
      </c>
      <c r="Q29" s="5">
        <v>0</v>
      </c>
      <c r="R29" s="5">
        <v>0</v>
      </c>
      <c r="S29" s="5">
        <v>433.80011969999998</v>
      </c>
      <c r="T29" s="5">
        <v>0</v>
      </c>
      <c r="U29">
        <v>0</v>
      </c>
      <c r="V29">
        <v>0</v>
      </c>
      <c r="X29">
        <v>0</v>
      </c>
      <c r="Y29" t="s">
        <v>44</v>
      </c>
      <c r="AD29" t="s">
        <v>45</v>
      </c>
      <c r="AE29" t="s">
        <v>46</v>
      </c>
      <c r="AF29" s="5">
        <f t="shared" si="4"/>
        <v>2499.8101197000001</v>
      </c>
      <c r="AG29">
        <f t="shared" si="1"/>
        <v>0</v>
      </c>
      <c r="AH29" s="5">
        <f t="shared" si="2"/>
        <v>2499.8101197000001</v>
      </c>
      <c r="AJ29" t="s">
        <v>54</v>
      </c>
    </row>
    <row r="30" spans="1:36" x14ac:dyDescent="0.3">
      <c r="A30" t="s">
        <v>55</v>
      </c>
      <c r="B30" t="s">
        <v>55</v>
      </c>
      <c r="C30" t="s">
        <v>56</v>
      </c>
      <c r="E30">
        <v>28</v>
      </c>
      <c r="F30" t="s">
        <v>111</v>
      </c>
      <c r="G30" t="s">
        <v>82</v>
      </c>
      <c r="H30" t="s">
        <v>40</v>
      </c>
      <c r="I30" s="4">
        <v>45726</v>
      </c>
      <c r="J30" s="4">
        <v>45971</v>
      </c>
      <c r="K30" t="s">
        <v>41</v>
      </c>
      <c r="L30" t="s">
        <v>42</v>
      </c>
      <c r="M30" t="s">
        <v>43</v>
      </c>
      <c r="N30" s="5">
        <f t="shared" si="3"/>
        <v>2649.7980008999998</v>
      </c>
      <c r="O30" s="5">
        <v>2189.9699999999998</v>
      </c>
      <c r="P30" s="5">
        <v>0</v>
      </c>
      <c r="Q30" s="5">
        <v>0</v>
      </c>
      <c r="R30" s="5">
        <v>0</v>
      </c>
      <c r="S30" s="5">
        <v>459.82800089999995</v>
      </c>
      <c r="T30" s="5">
        <v>0</v>
      </c>
      <c r="U30">
        <v>0</v>
      </c>
      <c r="V30">
        <v>0</v>
      </c>
      <c r="X30">
        <v>0</v>
      </c>
      <c r="Y30" t="s">
        <v>44</v>
      </c>
      <c r="AD30" t="s">
        <v>45</v>
      </c>
      <c r="AE30" t="s">
        <v>46</v>
      </c>
      <c r="AF30" s="5">
        <f t="shared" si="4"/>
        <v>2649.7980008999998</v>
      </c>
      <c r="AG30">
        <f t="shared" si="1"/>
        <v>0</v>
      </c>
      <c r="AH30" s="5">
        <f t="shared" si="2"/>
        <v>2649.7980008999998</v>
      </c>
      <c r="AJ30" t="s">
        <v>54</v>
      </c>
    </row>
    <row r="31" spans="1:36" x14ac:dyDescent="0.3">
      <c r="A31" t="s">
        <v>55</v>
      </c>
      <c r="B31" t="s">
        <v>55</v>
      </c>
      <c r="C31" t="s">
        <v>56</v>
      </c>
      <c r="D31" t="s">
        <v>57</v>
      </c>
      <c r="E31">
        <v>29</v>
      </c>
      <c r="F31" t="s">
        <v>112</v>
      </c>
      <c r="G31" t="s">
        <v>113</v>
      </c>
      <c r="H31" t="s">
        <v>40</v>
      </c>
      <c r="I31" s="4">
        <v>45726</v>
      </c>
      <c r="J31" s="4">
        <v>45755</v>
      </c>
      <c r="K31" t="s">
        <v>41</v>
      </c>
      <c r="L31" t="s">
        <v>42</v>
      </c>
      <c r="M31" t="s">
        <v>43</v>
      </c>
      <c r="N31" s="5">
        <f t="shared" si="3"/>
        <v>3827.1351100000002</v>
      </c>
      <c r="O31" s="5">
        <v>3163</v>
      </c>
      <c r="P31" s="5">
        <v>0</v>
      </c>
      <c r="Q31" s="5">
        <v>0</v>
      </c>
      <c r="R31" s="5">
        <v>0</v>
      </c>
      <c r="S31" s="5">
        <v>664.13510999999994</v>
      </c>
      <c r="T31" s="5">
        <v>0</v>
      </c>
      <c r="U31">
        <v>0</v>
      </c>
      <c r="V31">
        <v>0</v>
      </c>
      <c r="X31">
        <v>0</v>
      </c>
      <c r="Y31" t="s">
        <v>44</v>
      </c>
      <c r="AD31" t="s">
        <v>45</v>
      </c>
      <c r="AE31" t="s">
        <v>46</v>
      </c>
      <c r="AF31" s="5">
        <f t="shared" si="4"/>
        <v>3827.1351100000002</v>
      </c>
      <c r="AG31">
        <f t="shared" si="1"/>
        <v>0</v>
      </c>
      <c r="AH31" s="5">
        <f t="shared" si="2"/>
        <v>3827.1351100000002</v>
      </c>
      <c r="AJ31" t="s">
        <v>54</v>
      </c>
    </row>
    <row r="32" spans="1:36" x14ac:dyDescent="0.3">
      <c r="A32" t="s">
        <v>55</v>
      </c>
      <c r="B32" t="s">
        <v>55</v>
      </c>
      <c r="C32" t="s">
        <v>56</v>
      </c>
      <c r="E32">
        <v>30</v>
      </c>
      <c r="F32" t="s">
        <v>114</v>
      </c>
      <c r="G32" t="s">
        <v>80</v>
      </c>
      <c r="H32" t="s">
        <v>40</v>
      </c>
      <c r="I32" s="4">
        <v>45726</v>
      </c>
      <c r="J32" s="4">
        <v>45848</v>
      </c>
      <c r="K32" t="s">
        <v>41</v>
      </c>
      <c r="L32" t="s">
        <v>42</v>
      </c>
      <c r="M32" t="s">
        <v>43</v>
      </c>
      <c r="N32" s="5">
        <f t="shared" si="3"/>
        <v>6282.7398489999987</v>
      </c>
      <c r="O32" s="5">
        <v>2664.74</v>
      </c>
      <c r="P32" s="5">
        <v>0</v>
      </c>
      <c r="Q32" s="5">
        <v>422.39</v>
      </c>
      <c r="R32" s="5">
        <v>1877.27</v>
      </c>
      <c r="S32" s="5">
        <v>1379.8598489999997</v>
      </c>
      <c r="T32" s="5">
        <v>61.52</v>
      </c>
      <c r="U32">
        <v>0</v>
      </c>
      <c r="V32">
        <v>0</v>
      </c>
      <c r="X32">
        <v>0</v>
      </c>
      <c r="Y32" t="s">
        <v>44</v>
      </c>
      <c r="AD32" t="s">
        <v>45</v>
      </c>
      <c r="AE32" t="s">
        <v>46</v>
      </c>
      <c r="AF32" s="5">
        <f t="shared" si="4"/>
        <v>6282.7398489999987</v>
      </c>
      <c r="AG32">
        <f t="shared" si="1"/>
        <v>0</v>
      </c>
      <c r="AH32" s="5">
        <f t="shared" si="2"/>
        <v>6282.7398489999987</v>
      </c>
      <c r="AJ32" t="s">
        <v>54</v>
      </c>
    </row>
    <row r="33" spans="1:36" x14ac:dyDescent="0.3">
      <c r="A33" t="s">
        <v>55</v>
      </c>
      <c r="B33" t="s">
        <v>55</v>
      </c>
      <c r="C33" t="s">
        <v>56</v>
      </c>
      <c r="E33">
        <v>31</v>
      </c>
      <c r="F33" t="s">
        <v>115</v>
      </c>
      <c r="G33" t="s">
        <v>116</v>
      </c>
      <c r="H33" t="s">
        <v>40</v>
      </c>
      <c r="I33" s="4">
        <v>45729</v>
      </c>
      <c r="J33" s="4">
        <v>45849</v>
      </c>
      <c r="K33" t="s">
        <v>41</v>
      </c>
      <c r="L33" t="s">
        <v>42</v>
      </c>
      <c r="M33" t="s">
        <v>43</v>
      </c>
      <c r="N33" s="5">
        <f t="shared" si="3"/>
        <v>6541.09782</v>
      </c>
      <c r="O33" s="5">
        <v>5406</v>
      </c>
      <c r="P33" s="5">
        <v>0</v>
      </c>
      <c r="Q33" s="5">
        <v>0</v>
      </c>
      <c r="R33" s="5">
        <v>0</v>
      </c>
      <c r="S33" s="5">
        <v>1135.09782</v>
      </c>
      <c r="T33" s="5">
        <v>0</v>
      </c>
      <c r="U33">
        <v>0</v>
      </c>
      <c r="V33">
        <v>0</v>
      </c>
      <c r="X33">
        <v>0</v>
      </c>
      <c r="Y33" t="s">
        <v>44</v>
      </c>
      <c r="AD33" t="s">
        <v>45</v>
      </c>
      <c r="AE33" t="s">
        <v>46</v>
      </c>
      <c r="AF33" s="5">
        <f t="shared" si="4"/>
        <v>6541.09782</v>
      </c>
      <c r="AG33">
        <f t="shared" si="1"/>
        <v>0</v>
      </c>
      <c r="AH33" s="5">
        <f t="shared" si="2"/>
        <v>6541.09782</v>
      </c>
      <c r="AJ33" t="s">
        <v>54</v>
      </c>
    </row>
    <row r="34" spans="1:36" x14ac:dyDescent="0.3">
      <c r="A34" t="s">
        <v>55</v>
      </c>
      <c r="B34" t="s">
        <v>55</v>
      </c>
      <c r="C34" t="s">
        <v>56</v>
      </c>
      <c r="D34" t="s">
        <v>117</v>
      </c>
      <c r="E34">
        <v>32</v>
      </c>
      <c r="F34" t="s">
        <v>118</v>
      </c>
      <c r="G34" t="s">
        <v>119</v>
      </c>
      <c r="H34" t="s">
        <v>40</v>
      </c>
      <c r="I34" s="4">
        <v>45726</v>
      </c>
      <c r="J34" s="4">
        <v>45853</v>
      </c>
      <c r="K34" t="s">
        <v>41</v>
      </c>
      <c r="L34" t="s">
        <v>42</v>
      </c>
      <c r="M34" t="s">
        <v>43</v>
      </c>
      <c r="N34" s="5">
        <f t="shared" si="3"/>
        <v>12689.966589900001</v>
      </c>
      <c r="O34" s="5">
        <v>9540</v>
      </c>
      <c r="P34" s="5">
        <v>0</v>
      </c>
      <c r="Q34" s="5">
        <v>154.66999999999999</v>
      </c>
      <c r="R34" s="5">
        <v>607.11</v>
      </c>
      <c r="S34" s="5">
        <v>2478.4165899</v>
      </c>
      <c r="T34" s="5">
        <v>90.22999999999999</v>
      </c>
      <c r="U34">
        <v>0</v>
      </c>
      <c r="V34">
        <v>0</v>
      </c>
      <c r="X34" t="s">
        <v>44</v>
      </c>
      <c r="Y34" t="s">
        <v>44</v>
      </c>
      <c r="AD34" t="s">
        <v>45</v>
      </c>
      <c r="AE34" t="s">
        <v>46</v>
      </c>
      <c r="AF34" s="5">
        <f t="shared" si="4"/>
        <v>12689.966589900001</v>
      </c>
      <c r="AG34">
        <f t="shared" si="1"/>
        <v>0</v>
      </c>
      <c r="AH34" s="5">
        <f t="shared" si="2"/>
        <v>12689.966589900001</v>
      </c>
      <c r="AJ34" t="s">
        <v>47</v>
      </c>
    </row>
    <row r="35" spans="1:36" x14ac:dyDescent="0.3">
      <c r="A35" t="s">
        <v>55</v>
      </c>
      <c r="B35" t="s">
        <v>55</v>
      </c>
      <c r="C35" t="s">
        <v>56</v>
      </c>
      <c r="E35">
        <v>33</v>
      </c>
      <c r="F35" t="s">
        <v>120</v>
      </c>
      <c r="G35" t="s">
        <v>121</v>
      </c>
      <c r="H35" t="s">
        <v>40</v>
      </c>
      <c r="I35" s="4">
        <v>45728</v>
      </c>
      <c r="J35" s="4">
        <v>46034</v>
      </c>
      <c r="K35" t="s">
        <v>41</v>
      </c>
      <c r="L35" t="s">
        <v>42</v>
      </c>
      <c r="M35" t="s">
        <v>43</v>
      </c>
      <c r="N35" s="5">
        <f t="shared" si="3"/>
        <v>5849.0983418999995</v>
      </c>
      <c r="O35" s="5">
        <v>2664.74</v>
      </c>
      <c r="P35" s="5">
        <v>0</v>
      </c>
      <c r="Q35" s="5">
        <v>504.2</v>
      </c>
      <c r="R35" s="5">
        <v>1504.8600000000001</v>
      </c>
      <c r="S35" s="5">
        <v>1248.3283418999999</v>
      </c>
      <c r="T35" s="5">
        <v>73.03</v>
      </c>
      <c r="U35">
        <v>0</v>
      </c>
      <c r="V35">
        <v>0</v>
      </c>
      <c r="X35">
        <v>0</v>
      </c>
      <c r="Y35" t="s">
        <v>44</v>
      </c>
      <c r="AD35" t="s">
        <v>45</v>
      </c>
      <c r="AE35" t="s">
        <v>46</v>
      </c>
      <c r="AF35" s="5">
        <f t="shared" si="4"/>
        <v>5849.0983418999995</v>
      </c>
      <c r="AG35">
        <f t="shared" si="1"/>
        <v>0</v>
      </c>
      <c r="AH35" s="5">
        <f t="shared" si="2"/>
        <v>5849.0983418999995</v>
      </c>
      <c r="AJ35" t="s">
        <v>54</v>
      </c>
    </row>
    <row r="36" spans="1:36" x14ac:dyDescent="0.3">
      <c r="A36" t="s">
        <v>55</v>
      </c>
      <c r="B36" t="s">
        <v>55</v>
      </c>
      <c r="C36" t="s">
        <v>56</v>
      </c>
      <c r="E36">
        <v>34</v>
      </c>
      <c r="F36" t="s">
        <v>122</v>
      </c>
      <c r="G36" t="s">
        <v>82</v>
      </c>
      <c r="H36" t="s">
        <v>40</v>
      </c>
      <c r="I36" s="4">
        <v>45728</v>
      </c>
      <c r="J36" s="4">
        <v>45887</v>
      </c>
      <c r="K36" t="s">
        <v>41</v>
      </c>
      <c r="L36" t="s">
        <v>42</v>
      </c>
      <c r="M36" t="s">
        <v>43</v>
      </c>
      <c r="N36" s="5">
        <f t="shared" si="3"/>
        <v>3394.3144779999998</v>
      </c>
      <c r="O36" s="5">
        <v>2189.9699999999998</v>
      </c>
      <c r="P36" s="5">
        <v>0</v>
      </c>
      <c r="Q36" s="5">
        <v>396.2</v>
      </c>
      <c r="R36" s="5">
        <v>284.61</v>
      </c>
      <c r="S36" s="5">
        <v>696.55447800000002</v>
      </c>
      <c r="T36" s="5">
        <v>173.01999999999998</v>
      </c>
      <c r="U36">
        <v>0</v>
      </c>
      <c r="V36">
        <v>0</v>
      </c>
      <c r="X36">
        <v>0</v>
      </c>
      <c r="Y36" t="s">
        <v>44</v>
      </c>
      <c r="AD36" t="s">
        <v>45</v>
      </c>
      <c r="AE36" t="s">
        <v>46</v>
      </c>
      <c r="AF36" s="5">
        <f t="shared" si="4"/>
        <v>3394.3144779999998</v>
      </c>
      <c r="AG36">
        <f t="shared" si="1"/>
        <v>0</v>
      </c>
      <c r="AH36" s="5">
        <f t="shared" si="2"/>
        <v>3394.3144779999998</v>
      </c>
      <c r="AJ36" t="s">
        <v>54</v>
      </c>
    </row>
    <row r="37" spans="1:36" x14ac:dyDescent="0.3">
      <c r="A37" t="s">
        <v>55</v>
      </c>
      <c r="B37" t="s">
        <v>55</v>
      </c>
      <c r="C37" t="s">
        <v>56</v>
      </c>
      <c r="D37" t="s">
        <v>93</v>
      </c>
      <c r="E37">
        <v>35</v>
      </c>
      <c r="F37" t="s">
        <v>123</v>
      </c>
      <c r="G37" t="s">
        <v>87</v>
      </c>
      <c r="H37" t="s">
        <v>60</v>
      </c>
      <c r="I37" s="4">
        <v>45728</v>
      </c>
      <c r="J37" s="4"/>
      <c r="K37" t="s">
        <v>61</v>
      </c>
      <c r="L37" t="s">
        <v>42</v>
      </c>
      <c r="M37" t="s">
        <v>43</v>
      </c>
      <c r="N37" s="5">
        <f t="shared" si="3"/>
        <v>9826.0920640000004</v>
      </c>
      <c r="O37" s="5">
        <v>4942.05</v>
      </c>
      <c r="P37" s="5">
        <v>2776.33</v>
      </c>
      <c r="Q37" s="5">
        <v>352.86</v>
      </c>
      <c r="R37" s="5">
        <v>477.19</v>
      </c>
      <c r="S37" s="5">
        <v>1539.3320639999999</v>
      </c>
      <c r="T37" s="5">
        <v>261.67</v>
      </c>
      <c r="U37">
        <v>1231.6799999999998</v>
      </c>
      <c r="V37">
        <v>0</v>
      </c>
      <c r="X37" t="s">
        <v>44</v>
      </c>
      <c r="Y37" t="s">
        <v>44</v>
      </c>
      <c r="Z37">
        <f>18000+13000</f>
        <v>31000</v>
      </c>
      <c r="AD37" t="s">
        <v>88</v>
      </c>
      <c r="AE37" t="s">
        <v>46</v>
      </c>
      <c r="AF37" s="5">
        <f t="shared" si="4"/>
        <v>11057.772064000001</v>
      </c>
      <c r="AG37">
        <f t="shared" si="1"/>
        <v>31000</v>
      </c>
      <c r="AH37" s="5">
        <f t="shared" si="2"/>
        <v>42057.772064000004</v>
      </c>
      <c r="AJ37" t="s">
        <v>54</v>
      </c>
    </row>
    <row r="38" spans="1:36" x14ac:dyDescent="0.3">
      <c r="A38" t="s">
        <v>55</v>
      </c>
      <c r="B38" t="s">
        <v>55</v>
      </c>
      <c r="C38" t="s">
        <v>56</v>
      </c>
      <c r="E38">
        <v>36</v>
      </c>
      <c r="F38" t="s">
        <v>124</v>
      </c>
      <c r="G38" t="s">
        <v>82</v>
      </c>
      <c r="H38" t="s">
        <v>40</v>
      </c>
      <c r="I38" s="4">
        <v>45728</v>
      </c>
      <c r="J38" s="4">
        <v>45757</v>
      </c>
      <c r="K38" t="s">
        <v>41</v>
      </c>
      <c r="L38" t="s">
        <v>42</v>
      </c>
      <c r="M38" t="s">
        <v>43</v>
      </c>
      <c r="N38" s="5">
        <f t="shared" si="3"/>
        <v>2499.8101197000001</v>
      </c>
      <c r="O38" s="5">
        <v>2066.0100000000002</v>
      </c>
      <c r="P38" s="5">
        <v>0</v>
      </c>
      <c r="Q38" s="5">
        <v>0</v>
      </c>
      <c r="R38" s="5">
        <v>0</v>
      </c>
      <c r="S38" s="5">
        <v>433.80011969999998</v>
      </c>
      <c r="T38" s="5">
        <v>0</v>
      </c>
      <c r="U38">
        <v>0</v>
      </c>
      <c r="V38">
        <v>0</v>
      </c>
      <c r="X38">
        <v>0</v>
      </c>
      <c r="Y38" t="s">
        <v>44</v>
      </c>
      <c r="AD38" t="s">
        <v>45</v>
      </c>
      <c r="AE38" t="s">
        <v>46</v>
      </c>
      <c r="AF38" s="5">
        <f t="shared" si="4"/>
        <v>2499.8101197000001</v>
      </c>
      <c r="AG38">
        <f t="shared" si="1"/>
        <v>0</v>
      </c>
      <c r="AH38" s="5">
        <f t="shared" si="2"/>
        <v>2499.8101197000001</v>
      </c>
      <c r="AJ38" t="s">
        <v>54</v>
      </c>
    </row>
    <row r="39" spans="1:36" x14ac:dyDescent="0.3">
      <c r="A39" t="s">
        <v>55</v>
      </c>
      <c r="B39" t="s">
        <v>125</v>
      </c>
      <c r="C39" t="s">
        <v>56</v>
      </c>
      <c r="D39" t="s">
        <v>126</v>
      </c>
      <c r="E39">
        <v>37</v>
      </c>
      <c r="F39" t="s">
        <v>127</v>
      </c>
      <c r="G39" t="s">
        <v>121</v>
      </c>
      <c r="H39" t="s">
        <v>128</v>
      </c>
      <c r="I39" s="4">
        <v>45728</v>
      </c>
      <c r="J39" s="4"/>
      <c r="K39" t="s">
        <v>61</v>
      </c>
      <c r="L39" t="s">
        <v>42</v>
      </c>
      <c r="M39" t="s">
        <v>43</v>
      </c>
      <c r="N39" s="5">
        <f t="shared" si="3"/>
        <v>7703.5626329999996</v>
      </c>
      <c r="O39" s="5">
        <v>2801.97</v>
      </c>
      <c r="P39" s="5">
        <v>1166.3499999999999</v>
      </c>
      <c r="Q39" s="5">
        <v>400</v>
      </c>
      <c r="R39" s="5">
        <v>1951.13</v>
      </c>
      <c r="S39" s="5">
        <v>1444.362633</v>
      </c>
      <c r="T39" s="5">
        <v>60.25</v>
      </c>
      <c r="U39">
        <v>1359</v>
      </c>
      <c r="V39">
        <v>0</v>
      </c>
      <c r="X39" t="s">
        <v>44</v>
      </c>
      <c r="Y39" t="s">
        <v>44</v>
      </c>
      <c r="AD39" t="s">
        <v>45</v>
      </c>
      <c r="AE39" t="s">
        <v>46</v>
      </c>
      <c r="AF39" s="5">
        <f t="shared" si="4"/>
        <v>9062.5626329999996</v>
      </c>
      <c r="AG39">
        <f t="shared" si="1"/>
        <v>0</v>
      </c>
      <c r="AH39" s="5">
        <f t="shared" si="2"/>
        <v>9062.5626329999996</v>
      </c>
      <c r="AJ39" t="s">
        <v>54</v>
      </c>
    </row>
    <row r="40" spans="1:36" x14ac:dyDescent="0.3">
      <c r="A40" t="s">
        <v>55</v>
      </c>
      <c r="B40" t="s">
        <v>55</v>
      </c>
      <c r="C40" t="s">
        <v>56</v>
      </c>
      <c r="D40" t="s">
        <v>129</v>
      </c>
      <c r="E40">
        <v>38</v>
      </c>
      <c r="F40" t="s">
        <v>130</v>
      </c>
      <c r="G40" t="s">
        <v>59</v>
      </c>
      <c r="H40" t="s">
        <v>60</v>
      </c>
      <c r="I40" s="4">
        <v>45729</v>
      </c>
      <c r="J40" s="4"/>
      <c r="K40" t="s">
        <v>61</v>
      </c>
      <c r="L40" t="s">
        <v>42</v>
      </c>
      <c r="M40" t="s">
        <v>43</v>
      </c>
      <c r="N40" s="5">
        <f t="shared" si="3"/>
        <v>6857.8206302000017</v>
      </c>
      <c r="O40" s="5">
        <v>2801.97</v>
      </c>
      <c r="P40" s="5">
        <v>1685.1400000000003</v>
      </c>
      <c r="Q40" s="5">
        <v>733.84</v>
      </c>
      <c r="R40" s="5">
        <v>554.42999999999995</v>
      </c>
      <c r="S40" s="5">
        <v>1105.6306301999998</v>
      </c>
      <c r="T40" s="5">
        <v>23.19</v>
      </c>
      <c r="U40">
        <v>1260.7999999999997</v>
      </c>
      <c r="V40">
        <v>0</v>
      </c>
      <c r="X40" t="s">
        <v>44</v>
      </c>
      <c r="Y40" t="s">
        <v>44</v>
      </c>
      <c r="AD40" t="s">
        <v>45</v>
      </c>
      <c r="AE40" t="s">
        <v>46</v>
      </c>
      <c r="AF40" s="5">
        <f t="shared" si="4"/>
        <v>8118.620630200001</v>
      </c>
      <c r="AG40">
        <f t="shared" si="1"/>
        <v>0</v>
      </c>
      <c r="AH40" s="5">
        <f t="shared" si="2"/>
        <v>8118.620630200001</v>
      </c>
      <c r="AJ40" t="s">
        <v>54</v>
      </c>
    </row>
    <row r="41" spans="1:36" x14ac:dyDescent="0.3">
      <c r="A41" t="s">
        <v>55</v>
      </c>
      <c r="B41" t="s">
        <v>55</v>
      </c>
      <c r="C41" t="s">
        <v>56</v>
      </c>
      <c r="E41">
        <v>39</v>
      </c>
      <c r="F41" t="s">
        <v>131</v>
      </c>
      <c r="G41" t="s">
        <v>80</v>
      </c>
      <c r="H41" t="s">
        <v>40</v>
      </c>
      <c r="I41" s="4">
        <v>45730</v>
      </c>
      <c r="J41" s="4">
        <v>45887</v>
      </c>
      <c r="K41" t="s">
        <v>41</v>
      </c>
      <c r="L41" t="s">
        <v>42</v>
      </c>
      <c r="M41" t="s">
        <v>43</v>
      </c>
      <c r="N41" s="5">
        <f t="shared" si="3"/>
        <v>3737.4543941999996</v>
      </c>
      <c r="O41" s="5">
        <v>2664.74</v>
      </c>
      <c r="P41" s="5">
        <v>0</v>
      </c>
      <c r="Q41" s="5">
        <v>324.2</v>
      </c>
      <c r="R41" s="5">
        <v>289.39999999999998</v>
      </c>
      <c r="S41" s="5">
        <v>673.3443941999999</v>
      </c>
      <c r="T41" s="5">
        <v>214.23000000000002</v>
      </c>
      <c r="U41">
        <v>0</v>
      </c>
      <c r="V41">
        <v>0</v>
      </c>
      <c r="X41">
        <v>0</v>
      </c>
      <c r="Y41" t="s">
        <v>44</v>
      </c>
      <c r="AD41" t="s">
        <v>45</v>
      </c>
      <c r="AE41" t="s">
        <v>46</v>
      </c>
      <c r="AF41" s="5">
        <f t="shared" si="4"/>
        <v>3737.4543941999996</v>
      </c>
      <c r="AG41">
        <f t="shared" si="1"/>
        <v>0</v>
      </c>
      <c r="AH41" s="5">
        <f t="shared" si="2"/>
        <v>3737.4543941999996</v>
      </c>
      <c r="AJ41" t="s">
        <v>54</v>
      </c>
    </row>
    <row r="42" spans="1:36" x14ac:dyDescent="0.3">
      <c r="A42" t="s">
        <v>55</v>
      </c>
      <c r="B42" t="s">
        <v>55</v>
      </c>
      <c r="C42" t="s">
        <v>56</v>
      </c>
      <c r="D42" t="s">
        <v>129</v>
      </c>
      <c r="E42">
        <v>40</v>
      </c>
      <c r="F42" t="s">
        <v>132</v>
      </c>
      <c r="G42" t="s">
        <v>133</v>
      </c>
      <c r="H42" t="s">
        <v>60</v>
      </c>
      <c r="I42" s="4">
        <v>45730</v>
      </c>
      <c r="J42" s="4"/>
      <c r="K42" t="s">
        <v>61</v>
      </c>
      <c r="L42" t="s">
        <v>42</v>
      </c>
      <c r="M42" t="s">
        <v>43</v>
      </c>
      <c r="N42" s="5">
        <f t="shared" si="3"/>
        <v>9492.0394786999987</v>
      </c>
      <c r="O42" s="5">
        <v>4681.28</v>
      </c>
      <c r="P42" s="5">
        <v>2658.8399999999997</v>
      </c>
      <c r="Q42" s="5">
        <v>358.3</v>
      </c>
      <c r="R42" s="5">
        <v>587</v>
      </c>
      <c r="S42" s="5">
        <v>1537.1294786999999</v>
      </c>
      <c r="T42" s="5">
        <v>330.51</v>
      </c>
      <c r="U42">
        <v>1316.5599999999997</v>
      </c>
      <c r="V42">
        <v>0</v>
      </c>
      <c r="X42" t="s">
        <v>44</v>
      </c>
      <c r="Y42" t="s">
        <v>44</v>
      </c>
      <c r="AD42" t="s">
        <v>88</v>
      </c>
      <c r="AE42" t="s">
        <v>46</v>
      </c>
      <c r="AF42" s="5">
        <f t="shared" si="4"/>
        <v>10808.599478699998</v>
      </c>
      <c r="AG42">
        <f t="shared" si="1"/>
        <v>0</v>
      </c>
      <c r="AH42" s="5">
        <f t="shared" si="2"/>
        <v>10808.599478699998</v>
      </c>
      <c r="AJ42" t="s">
        <v>54</v>
      </c>
    </row>
    <row r="43" spans="1:36" x14ac:dyDescent="0.3">
      <c r="A43" t="s">
        <v>55</v>
      </c>
      <c r="B43" t="s">
        <v>55</v>
      </c>
      <c r="C43" t="s">
        <v>56</v>
      </c>
      <c r="E43">
        <v>41</v>
      </c>
      <c r="F43" t="s">
        <v>134</v>
      </c>
      <c r="G43" t="s">
        <v>135</v>
      </c>
      <c r="H43" t="s">
        <v>40</v>
      </c>
      <c r="I43" s="4">
        <v>45730</v>
      </c>
      <c r="J43" s="4">
        <v>45819</v>
      </c>
      <c r="K43" t="s">
        <v>41</v>
      </c>
      <c r="L43" t="s">
        <v>42</v>
      </c>
      <c r="M43" t="s">
        <v>43</v>
      </c>
      <c r="N43" s="5">
        <f t="shared" si="3"/>
        <v>8552.8034215999996</v>
      </c>
      <c r="O43" s="5">
        <v>6148</v>
      </c>
      <c r="P43" s="5">
        <v>0</v>
      </c>
      <c r="Q43" s="5">
        <v>339.4</v>
      </c>
      <c r="R43" s="5">
        <v>516.12</v>
      </c>
      <c r="S43" s="5">
        <v>1717.4034216000002</v>
      </c>
      <c r="T43" s="5">
        <v>168.12</v>
      </c>
      <c r="U43">
        <v>0</v>
      </c>
      <c r="V43">
        <v>0</v>
      </c>
      <c r="X43">
        <v>0</v>
      </c>
      <c r="Y43" t="s">
        <v>44</v>
      </c>
      <c r="AD43" t="s">
        <v>45</v>
      </c>
      <c r="AE43" t="s">
        <v>46</v>
      </c>
      <c r="AF43" s="5">
        <f t="shared" si="4"/>
        <v>8552.8034215999996</v>
      </c>
      <c r="AG43">
        <f t="shared" si="1"/>
        <v>0</v>
      </c>
      <c r="AH43" s="5">
        <f t="shared" si="2"/>
        <v>8552.8034215999996</v>
      </c>
      <c r="AJ43" t="s">
        <v>54</v>
      </c>
    </row>
    <row r="44" spans="1:36" x14ac:dyDescent="0.3">
      <c r="A44" t="s">
        <v>55</v>
      </c>
      <c r="B44" t="s">
        <v>55</v>
      </c>
      <c r="C44" t="s">
        <v>56</v>
      </c>
      <c r="E44">
        <v>42</v>
      </c>
      <c r="F44" t="s">
        <v>136</v>
      </c>
      <c r="G44" t="s">
        <v>82</v>
      </c>
      <c r="H44" t="s">
        <v>40</v>
      </c>
      <c r="I44" s="4">
        <v>45733</v>
      </c>
      <c r="J44" s="4">
        <v>45919</v>
      </c>
      <c r="K44" t="s">
        <v>41</v>
      </c>
      <c r="L44" t="s">
        <v>42</v>
      </c>
      <c r="M44" t="s">
        <v>43</v>
      </c>
      <c r="N44" s="5">
        <f t="shared" si="3"/>
        <v>3697.0107022999996</v>
      </c>
      <c r="O44" s="5">
        <v>2189.9699999999998</v>
      </c>
      <c r="P44" s="5">
        <v>0</v>
      </c>
      <c r="Q44" s="5">
        <v>300</v>
      </c>
      <c r="R44" s="5">
        <v>554.92999999999995</v>
      </c>
      <c r="S44" s="5">
        <v>862.26070230000005</v>
      </c>
      <c r="T44" s="5">
        <v>210.15</v>
      </c>
      <c r="U44">
        <v>0</v>
      </c>
      <c r="V44">
        <v>0</v>
      </c>
      <c r="X44">
        <v>0</v>
      </c>
      <c r="Y44" t="s">
        <v>44</v>
      </c>
      <c r="AD44" t="s">
        <v>45</v>
      </c>
      <c r="AE44" t="s">
        <v>46</v>
      </c>
      <c r="AF44" s="5">
        <f t="shared" si="4"/>
        <v>3697.0107022999996</v>
      </c>
      <c r="AG44">
        <f t="shared" si="1"/>
        <v>0</v>
      </c>
      <c r="AH44" s="5">
        <f t="shared" si="2"/>
        <v>3697.0107022999996</v>
      </c>
      <c r="AJ44" t="s">
        <v>54</v>
      </c>
    </row>
    <row r="45" spans="1:36" x14ac:dyDescent="0.3">
      <c r="A45" t="s">
        <v>55</v>
      </c>
      <c r="B45" t="s">
        <v>55</v>
      </c>
      <c r="C45" t="s">
        <v>56</v>
      </c>
      <c r="D45" t="s">
        <v>83</v>
      </c>
      <c r="E45">
        <v>43</v>
      </c>
      <c r="F45" t="s">
        <v>137</v>
      </c>
      <c r="G45" t="s">
        <v>87</v>
      </c>
      <c r="H45" t="s">
        <v>60</v>
      </c>
      <c r="I45" s="4">
        <v>45733</v>
      </c>
      <c r="J45" s="4"/>
      <c r="K45" t="s">
        <v>61</v>
      </c>
      <c r="L45" t="s">
        <v>42</v>
      </c>
      <c r="M45" t="s">
        <v>43</v>
      </c>
      <c r="N45" s="5">
        <f t="shared" si="3"/>
        <v>11452.605390100001</v>
      </c>
      <c r="O45" s="5">
        <v>4942.05</v>
      </c>
      <c r="P45" s="5">
        <v>2094.9699999999998</v>
      </c>
      <c r="Q45" s="5">
        <v>406.84</v>
      </c>
      <c r="R45" s="5">
        <v>2264.35</v>
      </c>
      <c r="S45" s="5">
        <v>2127.0653901000001</v>
      </c>
      <c r="T45" s="5">
        <v>382.67</v>
      </c>
      <c r="U45">
        <v>1354.56</v>
      </c>
      <c r="V45">
        <v>0</v>
      </c>
      <c r="X45" t="s">
        <v>44</v>
      </c>
      <c r="Y45" t="s">
        <v>44</v>
      </c>
      <c r="Z45">
        <v>15000</v>
      </c>
      <c r="AD45" t="s">
        <v>88</v>
      </c>
      <c r="AE45" t="s">
        <v>46</v>
      </c>
      <c r="AF45" s="5">
        <f t="shared" si="4"/>
        <v>12807.165390100001</v>
      </c>
      <c r="AG45">
        <f t="shared" si="1"/>
        <v>15000</v>
      </c>
      <c r="AH45" s="5">
        <f t="shared" si="2"/>
        <v>27807.165390100003</v>
      </c>
      <c r="AJ45" t="s">
        <v>54</v>
      </c>
    </row>
    <row r="46" spans="1:36" x14ac:dyDescent="0.3">
      <c r="A46" t="s">
        <v>55</v>
      </c>
      <c r="B46" t="s">
        <v>55</v>
      </c>
      <c r="C46" t="s">
        <v>56</v>
      </c>
      <c r="E46">
        <v>44</v>
      </c>
      <c r="F46" t="s">
        <v>138</v>
      </c>
      <c r="G46" t="s">
        <v>139</v>
      </c>
      <c r="H46" t="s">
        <v>40</v>
      </c>
      <c r="I46" s="4">
        <v>45733</v>
      </c>
      <c r="J46" s="4">
        <v>45887</v>
      </c>
      <c r="K46" t="s">
        <v>41</v>
      </c>
      <c r="L46" t="s">
        <v>42</v>
      </c>
      <c r="M46" t="s">
        <v>43</v>
      </c>
      <c r="N46" s="5">
        <f t="shared" si="3"/>
        <v>4851.5531732999998</v>
      </c>
      <c r="O46" s="5">
        <v>3192.39</v>
      </c>
      <c r="P46" s="5">
        <v>0</v>
      </c>
      <c r="Q46" s="5">
        <v>324.44</v>
      </c>
      <c r="R46" s="5">
        <v>363.53</v>
      </c>
      <c r="S46" s="5">
        <v>1005.9431732999999</v>
      </c>
      <c r="T46" s="5">
        <v>34.75</v>
      </c>
      <c r="U46">
        <v>0</v>
      </c>
      <c r="V46">
        <v>0</v>
      </c>
      <c r="X46">
        <v>0</v>
      </c>
      <c r="Y46" t="s">
        <v>44</v>
      </c>
      <c r="AD46" t="s">
        <v>45</v>
      </c>
      <c r="AE46" t="s">
        <v>46</v>
      </c>
      <c r="AF46" s="5">
        <f t="shared" si="4"/>
        <v>4851.5531732999998</v>
      </c>
      <c r="AG46">
        <f t="shared" si="1"/>
        <v>0</v>
      </c>
      <c r="AH46" s="5">
        <f t="shared" si="2"/>
        <v>4851.5531732999998</v>
      </c>
      <c r="AJ46" t="s">
        <v>54</v>
      </c>
    </row>
    <row r="47" spans="1:36" x14ac:dyDescent="0.3">
      <c r="A47" t="s">
        <v>55</v>
      </c>
      <c r="B47" t="s">
        <v>55</v>
      </c>
      <c r="C47" t="s">
        <v>56</v>
      </c>
      <c r="E47">
        <v>45</v>
      </c>
      <c r="F47" t="s">
        <v>140</v>
      </c>
      <c r="G47" t="s">
        <v>139</v>
      </c>
      <c r="H47" t="s">
        <v>40</v>
      </c>
      <c r="I47" s="4">
        <v>45733</v>
      </c>
      <c r="J47" s="4">
        <v>45883</v>
      </c>
      <c r="K47" t="s">
        <v>41</v>
      </c>
      <c r="L47" t="s">
        <v>42</v>
      </c>
      <c r="M47" t="s">
        <v>43</v>
      </c>
      <c r="N47" s="5">
        <f t="shared" si="3"/>
        <v>3862.6961283000001</v>
      </c>
      <c r="O47" s="5">
        <v>3192.39</v>
      </c>
      <c r="P47" s="5">
        <v>0</v>
      </c>
      <c r="Q47" s="5">
        <v>0</v>
      </c>
      <c r="R47" s="5">
        <v>0</v>
      </c>
      <c r="S47" s="5">
        <v>670.30612829999995</v>
      </c>
      <c r="T47" s="5">
        <v>0</v>
      </c>
      <c r="U47">
        <v>0</v>
      </c>
      <c r="V47">
        <v>0</v>
      </c>
      <c r="X47">
        <v>0</v>
      </c>
      <c r="Y47" t="s">
        <v>44</v>
      </c>
      <c r="AD47" t="s">
        <v>45</v>
      </c>
      <c r="AE47" t="s">
        <v>46</v>
      </c>
      <c r="AF47" s="5">
        <f t="shared" si="4"/>
        <v>3862.6961283000001</v>
      </c>
      <c r="AG47">
        <f t="shared" si="1"/>
        <v>0</v>
      </c>
      <c r="AH47" s="5">
        <f t="shared" si="2"/>
        <v>3862.6961283000001</v>
      </c>
      <c r="AJ47" t="s">
        <v>54</v>
      </c>
    </row>
    <row r="48" spans="1:36" x14ac:dyDescent="0.3">
      <c r="A48" t="s">
        <v>55</v>
      </c>
      <c r="B48" t="s">
        <v>55</v>
      </c>
      <c r="C48" t="s">
        <v>56</v>
      </c>
      <c r="E48">
        <v>46</v>
      </c>
      <c r="F48" t="s">
        <v>141</v>
      </c>
      <c r="G48" t="s">
        <v>108</v>
      </c>
      <c r="H48" t="s">
        <v>40</v>
      </c>
      <c r="I48" s="4">
        <v>45748</v>
      </c>
      <c r="J48" s="4">
        <v>45994</v>
      </c>
      <c r="K48" t="s">
        <v>41</v>
      </c>
      <c r="L48" t="s">
        <v>42</v>
      </c>
      <c r="M48" t="s">
        <v>43</v>
      </c>
      <c r="N48" s="5">
        <f t="shared" si="3"/>
        <v>4057.1746063999999</v>
      </c>
      <c r="O48" s="5">
        <v>3353.12</v>
      </c>
      <c r="P48" s="5">
        <v>0</v>
      </c>
      <c r="Q48" s="5">
        <v>0</v>
      </c>
      <c r="R48" s="5">
        <v>0</v>
      </c>
      <c r="S48" s="5">
        <v>704.05460640000013</v>
      </c>
      <c r="T48" s="5">
        <v>0</v>
      </c>
      <c r="U48">
        <v>0</v>
      </c>
      <c r="V48">
        <v>0</v>
      </c>
      <c r="X48">
        <v>0</v>
      </c>
      <c r="Y48" t="s">
        <v>44</v>
      </c>
      <c r="AD48" t="s">
        <v>45</v>
      </c>
      <c r="AE48" t="s">
        <v>46</v>
      </c>
      <c r="AF48" s="5">
        <f t="shared" si="4"/>
        <v>4057.1746063999999</v>
      </c>
      <c r="AG48">
        <f t="shared" si="1"/>
        <v>0</v>
      </c>
      <c r="AH48" s="5">
        <f t="shared" si="2"/>
        <v>4057.1746063999999</v>
      </c>
      <c r="AJ48" t="s">
        <v>54</v>
      </c>
    </row>
    <row r="49" spans="1:36" x14ac:dyDescent="0.3">
      <c r="A49" t="s">
        <v>55</v>
      </c>
      <c r="B49" t="s">
        <v>55</v>
      </c>
      <c r="C49" t="s">
        <v>56</v>
      </c>
      <c r="E49">
        <v>47</v>
      </c>
      <c r="F49" t="s">
        <v>142</v>
      </c>
      <c r="G49" t="s">
        <v>80</v>
      </c>
      <c r="H49" t="s">
        <v>40</v>
      </c>
      <c r="I49" s="4">
        <v>45748</v>
      </c>
      <c r="J49" s="4">
        <v>45975</v>
      </c>
      <c r="K49" t="s">
        <v>41</v>
      </c>
      <c r="L49" t="s">
        <v>42</v>
      </c>
      <c r="M49" t="s">
        <v>43</v>
      </c>
      <c r="N49" s="5">
        <f t="shared" si="3"/>
        <v>5728.0596962999989</v>
      </c>
      <c r="O49" s="5">
        <v>2664.74</v>
      </c>
      <c r="P49" s="5">
        <v>0</v>
      </c>
      <c r="Q49" s="5">
        <v>320</v>
      </c>
      <c r="R49" s="5">
        <v>1667.97</v>
      </c>
      <c r="S49" s="5">
        <v>1303.2396962999997</v>
      </c>
      <c r="T49" s="5">
        <v>227.89</v>
      </c>
      <c r="U49">
        <v>1276.5999999999999</v>
      </c>
      <c r="V49">
        <v>0</v>
      </c>
      <c r="X49">
        <v>0</v>
      </c>
      <c r="Y49" t="s">
        <v>44</v>
      </c>
      <c r="AD49" t="s">
        <v>45</v>
      </c>
      <c r="AE49" t="s">
        <v>46</v>
      </c>
      <c r="AF49" s="5">
        <f t="shared" si="4"/>
        <v>7004.6596962999993</v>
      </c>
      <c r="AG49">
        <f t="shared" si="1"/>
        <v>0</v>
      </c>
      <c r="AH49" s="5">
        <f t="shared" si="2"/>
        <v>7004.6596962999993</v>
      </c>
      <c r="AJ49" t="s">
        <v>54</v>
      </c>
    </row>
    <row r="50" spans="1:36" s="6" customFormat="1" x14ac:dyDescent="0.3">
      <c r="A50" s="6" t="s">
        <v>89</v>
      </c>
      <c r="B50" s="6" t="s">
        <v>143</v>
      </c>
      <c r="C50" s="6" t="s">
        <v>37</v>
      </c>
      <c r="D50" s="6" t="s">
        <v>144</v>
      </c>
      <c r="E50" s="6">
        <v>48</v>
      </c>
      <c r="F50" s="6" t="s">
        <v>145</v>
      </c>
      <c r="G50" s="6" t="s">
        <v>146</v>
      </c>
      <c r="H50" t="s">
        <v>60</v>
      </c>
      <c r="I50" s="4">
        <v>45748</v>
      </c>
      <c r="J50" s="4"/>
      <c r="K50" s="6" t="s">
        <v>61</v>
      </c>
      <c r="L50" t="s">
        <v>42</v>
      </c>
      <c r="M50" s="6" t="s">
        <v>43</v>
      </c>
      <c r="N50" s="5">
        <f t="shared" si="3"/>
        <v>8605.5504722999995</v>
      </c>
      <c r="O50" s="5">
        <v>5572.95</v>
      </c>
      <c r="P50" s="5">
        <v>851.39</v>
      </c>
      <c r="Q50" s="5">
        <v>324.2</v>
      </c>
      <c r="R50" s="5">
        <v>606.88</v>
      </c>
      <c r="S50" s="5">
        <v>1353.8004722999999</v>
      </c>
      <c r="T50" s="5">
        <v>103.67</v>
      </c>
      <c r="U50" s="6">
        <v>1231.6799999999998</v>
      </c>
      <c r="V50" s="6">
        <v>2000</v>
      </c>
      <c r="W50" s="6">
        <v>1000</v>
      </c>
      <c r="X50" s="6" t="s">
        <v>147</v>
      </c>
      <c r="Y50" s="6" t="s">
        <v>148</v>
      </c>
      <c r="AD50" s="6" t="s">
        <v>45</v>
      </c>
      <c r="AE50" s="6" t="s">
        <v>46</v>
      </c>
      <c r="AF50" s="7">
        <f t="shared" si="4"/>
        <v>10837.2304723</v>
      </c>
      <c r="AG50" s="6">
        <f t="shared" si="1"/>
        <v>2000</v>
      </c>
      <c r="AH50" s="7">
        <f t="shared" si="2"/>
        <v>12837.2304723</v>
      </c>
      <c r="AJ50" s="6" t="s">
        <v>54</v>
      </c>
    </row>
    <row r="51" spans="1:36" x14ac:dyDescent="0.3">
      <c r="A51" t="s">
        <v>55</v>
      </c>
      <c r="B51" t="s">
        <v>55</v>
      </c>
      <c r="C51" t="s">
        <v>56</v>
      </c>
      <c r="E51">
        <v>49</v>
      </c>
      <c r="F51" t="s">
        <v>149</v>
      </c>
      <c r="G51" t="s">
        <v>121</v>
      </c>
      <c r="H51" t="s">
        <v>40</v>
      </c>
      <c r="I51" s="4">
        <v>45748</v>
      </c>
      <c r="J51" s="4">
        <v>45833</v>
      </c>
      <c r="K51" t="s">
        <v>41</v>
      </c>
      <c r="L51" t="s">
        <v>42</v>
      </c>
      <c r="M51" t="s">
        <v>43</v>
      </c>
      <c r="N51" s="5">
        <f t="shared" si="3"/>
        <v>3224.2554577999999</v>
      </c>
      <c r="O51" s="5">
        <v>2664.74</v>
      </c>
      <c r="P51" s="5">
        <v>0</v>
      </c>
      <c r="Q51" s="5">
        <v>0</v>
      </c>
      <c r="R51" s="5">
        <v>0</v>
      </c>
      <c r="S51" s="5">
        <v>559.51545779999992</v>
      </c>
      <c r="T51" s="5">
        <v>0</v>
      </c>
      <c r="U51">
        <v>0</v>
      </c>
      <c r="V51">
        <v>0</v>
      </c>
      <c r="X51">
        <v>0</v>
      </c>
      <c r="Y51" t="s">
        <v>44</v>
      </c>
      <c r="AD51" t="s">
        <v>45</v>
      </c>
      <c r="AE51" t="s">
        <v>46</v>
      </c>
      <c r="AF51" s="5">
        <f t="shared" si="4"/>
        <v>3224.2554577999999</v>
      </c>
      <c r="AG51">
        <f t="shared" si="1"/>
        <v>0</v>
      </c>
      <c r="AH51" s="5">
        <f t="shared" si="2"/>
        <v>3224.2554577999999</v>
      </c>
      <c r="AJ51" t="s">
        <v>54</v>
      </c>
    </row>
    <row r="52" spans="1:36" x14ac:dyDescent="0.3">
      <c r="A52" t="s">
        <v>55</v>
      </c>
      <c r="B52" t="s">
        <v>55</v>
      </c>
      <c r="C52" t="s">
        <v>56</v>
      </c>
      <c r="E52">
        <v>50</v>
      </c>
      <c r="F52" t="s">
        <v>150</v>
      </c>
      <c r="G52" t="s">
        <v>39</v>
      </c>
      <c r="H52" t="s">
        <v>40</v>
      </c>
      <c r="I52" s="4">
        <v>45748</v>
      </c>
      <c r="J52" s="4">
        <v>45978</v>
      </c>
      <c r="K52" t="s">
        <v>41</v>
      </c>
      <c r="L52" t="s">
        <v>42</v>
      </c>
      <c r="M52" t="s">
        <v>43</v>
      </c>
      <c r="N52" s="5">
        <f t="shared" si="3"/>
        <v>5106.5856843000001</v>
      </c>
      <c r="O52" s="5">
        <v>3039.02</v>
      </c>
      <c r="P52" s="5">
        <v>0</v>
      </c>
      <c r="Q52" s="5">
        <v>500.29</v>
      </c>
      <c r="R52" s="5">
        <v>603.14</v>
      </c>
      <c r="S52" s="5">
        <v>1219.3356842999999</v>
      </c>
      <c r="T52" s="5">
        <v>255.2</v>
      </c>
      <c r="U52">
        <v>0</v>
      </c>
      <c r="V52">
        <v>0</v>
      </c>
      <c r="X52" t="s">
        <v>44</v>
      </c>
      <c r="Y52" t="s">
        <v>44</v>
      </c>
      <c r="AD52" t="s">
        <v>45</v>
      </c>
      <c r="AE52" t="s">
        <v>46</v>
      </c>
      <c r="AF52" s="5">
        <f t="shared" si="4"/>
        <v>5106.5856843000001</v>
      </c>
      <c r="AG52">
        <f t="shared" si="1"/>
        <v>0</v>
      </c>
      <c r="AH52" s="5">
        <f t="shared" si="2"/>
        <v>5106.5856843000001</v>
      </c>
      <c r="AJ52" t="s">
        <v>47</v>
      </c>
    </row>
    <row r="53" spans="1:36" x14ac:dyDescent="0.3">
      <c r="A53" t="s">
        <v>55</v>
      </c>
      <c r="B53" t="s">
        <v>151</v>
      </c>
      <c r="C53" t="s">
        <v>56</v>
      </c>
      <c r="E53">
        <v>51</v>
      </c>
      <c r="F53" t="s">
        <v>152</v>
      </c>
      <c r="G53" t="s">
        <v>139</v>
      </c>
      <c r="H53" t="s">
        <v>40</v>
      </c>
      <c r="I53" s="4">
        <v>45748</v>
      </c>
      <c r="J53" s="4">
        <v>46176</v>
      </c>
      <c r="K53" t="s">
        <v>41</v>
      </c>
      <c r="L53" t="s">
        <v>42</v>
      </c>
      <c r="M53" t="s">
        <v>43</v>
      </c>
      <c r="N53" s="5">
        <f t="shared" si="3"/>
        <v>-9046.5138716999991</v>
      </c>
      <c r="O53" s="5">
        <v>3192.39</v>
      </c>
      <c r="P53" s="5">
        <v>42.18</v>
      </c>
      <c r="Q53" s="5">
        <v>0</v>
      </c>
      <c r="R53" s="5">
        <v>0</v>
      </c>
      <c r="S53" s="5">
        <v>670.30612829999995</v>
      </c>
      <c r="T53" s="5">
        <v>12951.39</v>
      </c>
      <c r="U53">
        <v>0</v>
      </c>
      <c r="V53">
        <v>0</v>
      </c>
      <c r="X53" t="s">
        <v>44</v>
      </c>
      <c r="Y53" t="s">
        <v>44</v>
      </c>
      <c r="AD53" t="s">
        <v>65</v>
      </c>
      <c r="AE53" t="s">
        <v>46</v>
      </c>
      <c r="AF53" s="5">
        <f t="shared" si="4"/>
        <v>-9046.5138716999991</v>
      </c>
      <c r="AG53">
        <f t="shared" si="1"/>
        <v>0</v>
      </c>
      <c r="AH53" s="5">
        <f t="shared" si="2"/>
        <v>-9046.5138716999991</v>
      </c>
      <c r="AJ53" t="s">
        <v>54</v>
      </c>
    </row>
    <row r="54" spans="1:36" x14ac:dyDescent="0.3">
      <c r="A54" t="s">
        <v>55</v>
      </c>
      <c r="B54" t="s">
        <v>55</v>
      </c>
      <c r="C54" t="s">
        <v>56</v>
      </c>
      <c r="E54">
        <v>52</v>
      </c>
      <c r="F54" t="s">
        <v>153</v>
      </c>
      <c r="G54" t="s">
        <v>121</v>
      </c>
      <c r="H54" t="s">
        <v>40</v>
      </c>
      <c r="I54" s="4">
        <v>45749</v>
      </c>
      <c r="J54" s="4">
        <v>45812</v>
      </c>
      <c r="K54" t="s">
        <v>41</v>
      </c>
      <c r="L54" t="s">
        <v>42</v>
      </c>
      <c r="M54" t="s">
        <v>43</v>
      </c>
      <c r="N54" s="5">
        <f t="shared" si="3"/>
        <v>3224.2554577999999</v>
      </c>
      <c r="O54" s="5">
        <v>2664.74</v>
      </c>
      <c r="P54" s="5">
        <v>0</v>
      </c>
      <c r="Q54" s="5">
        <v>0</v>
      </c>
      <c r="R54" s="5">
        <v>0</v>
      </c>
      <c r="S54" s="5">
        <v>559.51545779999992</v>
      </c>
      <c r="T54" s="5">
        <v>0</v>
      </c>
      <c r="U54">
        <v>0</v>
      </c>
      <c r="V54">
        <v>0</v>
      </c>
      <c r="X54">
        <v>0</v>
      </c>
      <c r="Y54" t="s">
        <v>44</v>
      </c>
      <c r="AD54" t="s">
        <v>45</v>
      </c>
      <c r="AE54" t="s">
        <v>46</v>
      </c>
      <c r="AF54" s="5">
        <f t="shared" si="4"/>
        <v>3224.2554577999999</v>
      </c>
      <c r="AG54">
        <f t="shared" si="1"/>
        <v>0</v>
      </c>
      <c r="AH54" s="5">
        <f t="shared" si="2"/>
        <v>3224.2554577999999</v>
      </c>
      <c r="AJ54" t="s">
        <v>54</v>
      </c>
    </row>
    <row r="55" spans="1:36" x14ac:dyDescent="0.3">
      <c r="A55" t="s">
        <v>55</v>
      </c>
      <c r="B55" t="s">
        <v>55</v>
      </c>
      <c r="C55" t="s">
        <v>56</v>
      </c>
      <c r="D55" t="s">
        <v>57</v>
      </c>
      <c r="E55">
        <v>53</v>
      </c>
      <c r="F55" t="s">
        <v>154</v>
      </c>
      <c r="G55" t="s">
        <v>106</v>
      </c>
      <c r="H55" t="s">
        <v>60</v>
      </c>
      <c r="I55" s="4">
        <v>45763</v>
      </c>
      <c r="J55" s="4"/>
      <c r="K55" t="s">
        <v>61</v>
      </c>
      <c r="L55" t="s">
        <v>42</v>
      </c>
      <c r="M55" t="s">
        <v>43</v>
      </c>
      <c r="N55" s="5">
        <f t="shared" si="3"/>
        <v>9640.6676630000002</v>
      </c>
      <c r="O55" s="5">
        <v>5377.9</v>
      </c>
      <c r="P55" s="5">
        <v>3133.5700000000006</v>
      </c>
      <c r="Q55" s="5">
        <v>0</v>
      </c>
      <c r="R55" s="5">
        <v>0</v>
      </c>
      <c r="S55" s="5">
        <v>1129.1976629999999</v>
      </c>
      <c r="T55" s="5">
        <v>0</v>
      </c>
      <c r="U55">
        <v>1358.9999999999998</v>
      </c>
      <c r="V55">
        <v>0</v>
      </c>
      <c r="X55" t="s">
        <v>44</v>
      </c>
      <c r="Y55" t="s">
        <v>44</v>
      </c>
      <c r="AD55" t="s">
        <v>45</v>
      </c>
      <c r="AE55" t="s">
        <v>46</v>
      </c>
      <c r="AF55" s="5">
        <f t="shared" si="4"/>
        <v>10999.667663</v>
      </c>
      <c r="AG55">
        <f t="shared" si="1"/>
        <v>0</v>
      </c>
      <c r="AH55" s="5">
        <f t="shared" si="2"/>
        <v>10999.667663</v>
      </c>
      <c r="AJ55" t="s">
        <v>54</v>
      </c>
    </row>
    <row r="56" spans="1:36" x14ac:dyDescent="0.3">
      <c r="A56" t="s">
        <v>55</v>
      </c>
      <c r="B56" t="s">
        <v>155</v>
      </c>
      <c r="C56" t="s">
        <v>56</v>
      </c>
      <c r="D56" t="s">
        <v>156</v>
      </c>
      <c r="E56">
        <v>54</v>
      </c>
      <c r="F56" t="s">
        <v>157</v>
      </c>
      <c r="G56" t="s">
        <v>139</v>
      </c>
      <c r="H56" t="s">
        <v>60</v>
      </c>
      <c r="I56" s="4">
        <v>45782</v>
      </c>
      <c r="J56" s="4"/>
      <c r="K56" t="s">
        <v>61</v>
      </c>
      <c r="L56" t="s">
        <v>42</v>
      </c>
      <c r="M56" t="s">
        <v>43</v>
      </c>
      <c r="N56" s="5">
        <f t="shared" si="3"/>
        <v>5776.6672960000005</v>
      </c>
      <c r="O56" s="5">
        <v>3356.8</v>
      </c>
      <c r="P56" s="5">
        <v>1715.04</v>
      </c>
      <c r="Q56" s="5">
        <v>0</v>
      </c>
      <c r="R56" s="5">
        <v>0</v>
      </c>
      <c r="S56" s="5">
        <v>704.82729600000005</v>
      </c>
      <c r="T56" s="5">
        <v>0</v>
      </c>
      <c r="U56">
        <v>1303.2399999999998</v>
      </c>
      <c r="V56">
        <v>0</v>
      </c>
      <c r="X56" t="s">
        <v>44</v>
      </c>
      <c r="Y56" t="s">
        <v>44</v>
      </c>
      <c r="Z56">
        <v>4500</v>
      </c>
      <c r="AD56" t="s">
        <v>65</v>
      </c>
      <c r="AE56" t="s">
        <v>46</v>
      </c>
      <c r="AF56" s="5">
        <f t="shared" si="4"/>
        <v>7079.9072960000003</v>
      </c>
      <c r="AG56">
        <f t="shared" si="1"/>
        <v>4500</v>
      </c>
      <c r="AH56" s="5">
        <f t="shared" si="2"/>
        <v>11579.907296000001</v>
      </c>
      <c r="AJ56" t="s">
        <v>54</v>
      </c>
    </row>
    <row r="57" spans="1:36" s="6" customFormat="1" x14ac:dyDescent="0.3">
      <c r="A57" s="6" t="s">
        <v>55</v>
      </c>
      <c r="B57" s="6" t="s">
        <v>55</v>
      </c>
      <c r="C57" s="6" t="s">
        <v>56</v>
      </c>
      <c r="D57" s="6" t="s">
        <v>57</v>
      </c>
      <c r="E57" s="6">
        <v>55</v>
      </c>
      <c r="F57" s="6" t="s">
        <v>158</v>
      </c>
      <c r="G57" s="6" t="s">
        <v>98</v>
      </c>
      <c r="H57" t="s">
        <v>60</v>
      </c>
      <c r="I57" s="4">
        <v>45785</v>
      </c>
      <c r="J57" s="4"/>
      <c r="K57" s="6" t="s">
        <v>61</v>
      </c>
      <c r="L57" t="s">
        <v>42</v>
      </c>
      <c r="M57" s="6" t="s">
        <v>43</v>
      </c>
      <c r="N57" s="5">
        <f t="shared" si="3"/>
        <v>16010.937276100001</v>
      </c>
      <c r="O57" s="5">
        <v>7244.84</v>
      </c>
      <c r="P57" s="5">
        <v>6518.4599999999991</v>
      </c>
      <c r="Q57" s="5">
        <v>408.33</v>
      </c>
      <c r="R57" s="5">
        <v>279.37</v>
      </c>
      <c r="S57" s="5">
        <v>1749.9172761</v>
      </c>
      <c r="T57" s="5">
        <v>189.98</v>
      </c>
      <c r="U57" s="6">
        <v>1363.4399999999998</v>
      </c>
      <c r="V57" s="6">
        <v>2000</v>
      </c>
      <c r="W57" s="6">
        <v>1000</v>
      </c>
      <c r="X57" s="6" t="s">
        <v>159</v>
      </c>
      <c r="Y57" s="6" t="s">
        <v>160</v>
      </c>
      <c r="AD57" s="6" t="s">
        <v>45</v>
      </c>
      <c r="AE57" s="6" t="s">
        <v>46</v>
      </c>
      <c r="AF57" s="7">
        <f t="shared" si="4"/>
        <v>18374.3772761</v>
      </c>
      <c r="AG57" s="6">
        <f t="shared" si="1"/>
        <v>2000</v>
      </c>
      <c r="AH57" s="7">
        <f t="shared" si="2"/>
        <v>20374.3772761</v>
      </c>
      <c r="AJ57" s="6" t="s">
        <v>54</v>
      </c>
    </row>
    <row r="58" spans="1:36" x14ac:dyDescent="0.3">
      <c r="A58" t="s">
        <v>89</v>
      </c>
      <c r="B58" t="s">
        <v>161</v>
      </c>
      <c r="C58" t="s">
        <v>37</v>
      </c>
      <c r="D58" t="s">
        <v>156</v>
      </c>
      <c r="E58">
        <v>56</v>
      </c>
      <c r="F58" t="s">
        <v>162</v>
      </c>
      <c r="G58" t="s">
        <v>163</v>
      </c>
      <c r="H58" t="s">
        <v>40</v>
      </c>
      <c r="I58" s="4">
        <v>45782</v>
      </c>
      <c r="J58" s="4">
        <v>46127</v>
      </c>
      <c r="K58" t="s">
        <v>41</v>
      </c>
      <c r="L58" t="s">
        <v>42</v>
      </c>
      <c r="M58" t="s">
        <v>43</v>
      </c>
      <c r="N58" s="5">
        <f t="shared" si="3"/>
        <v>7458.6732136999999</v>
      </c>
      <c r="O58" s="5">
        <v>5300</v>
      </c>
      <c r="P58" s="5">
        <v>0</v>
      </c>
      <c r="Q58" s="5">
        <v>324.2</v>
      </c>
      <c r="R58" s="5">
        <v>428.73</v>
      </c>
      <c r="S58" s="5">
        <v>1406.0032137000001</v>
      </c>
      <c r="T58" s="5">
        <v>0.26</v>
      </c>
      <c r="U58">
        <v>0</v>
      </c>
      <c r="V58">
        <v>0</v>
      </c>
      <c r="X58">
        <v>0</v>
      </c>
      <c r="Y58" t="s">
        <v>44</v>
      </c>
      <c r="AD58" t="s">
        <v>45</v>
      </c>
      <c r="AE58" t="s">
        <v>46</v>
      </c>
      <c r="AF58" s="5">
        <f t="shared" si="4"/>
        <v>7458.6732136999999</v>
      </c>
      <c r="AG58">
        <f t="shared" si="1"/>
        <v>0</v>
      </c>
      <c r="AH58" s="5">
        <f t="shared" si="2"/>
        <v>7458.6732136999999</v>
      </c>
      <c r="AJ58" t="s">
        <v>47</v>
      </c>
    </row>
    <row r="59" spans="1:36" s="6" customFormat="1" x14ac:dyDescent="0.3">
      <c r="A59" s="6" t="s">
        <v>89</v>
      </c>
      <c r="B59" s="6" t="s">
        <v>90</v>
      </c>
      <c r="C59" s="6" t="s">
        <v>37</v>
      </c>
      <c r="E59" s="6">
        <v>57</v>
      </c>
      <c r="F59" s="6" t="s">
        <v>164</v>
      </c>
      <c r="G59" s="6" t="s">
        <v>92</v>
      </c>
      <c r="H59" t="s">
        <v>60</v>
      </c>
      <c r="I59" s="4">
        <v>45785</v>
      </c>
      <c r="J59" s="4"/>
      <c r="K59" s="6" t="s">
        <v>61</v>
      </c>
      <c r="L59" t="s">
        <v>42</v>
      </c>
      <c r="M59" s="6" t="s">
        <v>43</v>
      </c>
      <c r="N59" s="5">
        <f t="shared" si="3"/>
        <v>9811.5357555999999</v>
      </c>
      <c r="O59" s="5">
        <v>5572.95</v>
      </c>
      <c r="P59" s="5">
        <v>2415.9</v>
      </c>
      <c r="Q59" s="5">
        <v>324.2</v>
      </c>
      <c r="R59" s="5">
        <v>306.07</v>
      </c>
      <c r="S59" s="5">
        <v>1365.1157556000001</v>
      </c>
      <c r="T59" s="5">
        <v>172.7</v>
      </c>
      <c r="U59" s="6">
        <v>1265.24</v>
      </c>
      <c r="V59" s="6">
        <v>2000</v>
      </c>
      <c r="W59" s="6">
        <v>1000</v>
      </c>
      <c r="X59" s="6" t="s">
        <v>165</v>
      </c>
      <c r="Y59" s="6" t="s">
        <v>166</v>
      </c>
      <c r="AD59" s="6" t="s">
        <v>45</v>
      </c>
      <c r="AE59" s="6" t="s">
        <v>46</v>
      </c>
      <c r="AF59" s="7">
        <f t="shared" si="4"/>
        <v>12076.7757556</v>
      </c>
      <c r="AG59" s="6">
        <f t="shared" si="1"/>
        <v>2000</v>
      </c>
      <c r="AH59" s="7">
        <f t="shared" si="2"/>
        <v>14076.7757556</v>
      </c>
      <c r="AJ59" s="6" t="s">
        <v>54</v>
      </c>
    </row>
    <row r="60" spans="1:36" s="6" customFormat="1" x14ac:dyDescent="0.3">
      <c r="A60" s="6" t="s">
        <v>89</v>
      </c>
      <c r="B60" s="6" t="s">
        <v>90</v>
      </c>
      <c r="C60" s="6" t="s">
        <v>37</v>
      </c>
      <c r="E60" s="6">
        <v>58</v>
      </c>
      <c r="F60" s="6" t="s">
        <v>167</v>
      </c>
      <c r="G60" s="6" t="s">
        <v>92</v>
      </c>
      <c r="H60" t="s">
        <v>60</v>
      </c>
      <c r="I60" s="4">
        <v>45785</v>
      </c>
      <c r="J60" s="4"/>
      <c r="K60" s="6" t="s">
        <v>61</v>
      </c>
      <c r="L60" t="s">
        <v>42</v>
      </c>
      <c r="M60" s="6" t="s">
        <v>43</v>
      </c>
      <c r="N60" s="5">
        <f t="shared" si="3"/>
        <v>10227.6723115</v>
      </c>
      <c r="O60" s="5">
        <v>5572.95</v>
      </c>
      <c r="P60" s="5">
        <v>3484.5699999999997</v>
      </c>
      <c r="Q60" s="5">
        <v>0</v>
      </c>
      <c r="R60" s="5">
        <v>0</v>
      </c>
      <c r="S60" s="5">
        <v>1170.1523115</v>
      </c>
      <c r="T60" s="5">
        <v>0</v>
      </c>
      <c r="U60" s="6">
        <v>1359</v>
      </c>
      <c r="V60" s="6">
        <v>2000</v>
      </c>
      <c r="W60" s="6">
        <v>900</v>
      </c>
      <c r="X60" s="6" t="s">
        <v>168</v>
      </c>
      <c r="Y60" s="6" t="s">
        <v>169</v>
      </c>
      <c r="AD60" s="6" t="s">
        <v>45</v>
      </c>
      <c r="AE60" s="6" t="s">
        <v>46</v>
      </c>
      <c r="AF60" s="7">
        <f t="shared" si="4"/>
        <v>12486.6723115</v>
      </c>
      <c r="AG60" s="6">
        <f t="shared" si="1"/>
        <v>2000</v>
      </c>
      <c r="AH60" s="7">
        <f t="shared" si="2"/>
        <v>14486.6723115</v>
      </c>
      <c r="AJ60" s="6" t="s">
        <v>54</v>
      </c>
    </row>
    <row r="61" spans="1:36" x14ac:dyDescent="0.3">
      <c r="A61" t="s">
        <v>36</v>
      </c>
      <c r="B61" t="s">
        <v>36</v>
      </c>
      <c r="C61" t="s">
        <v>37</v>
      </c>
      <c r="E61">
        <v>59</v>
      </c>
      <c r="F61" t="s">
        <v>170</v>
      </c>
      <c r="G61" t="s">
        <v>171</v>
      </c>
      <c r="H61" t="s">
        <v>40</v>
      </c>
      <c r="I61" s="4">
        <v>45792</v>
      </c>
      <c r="J61" s="4">
        <v>45839</v>
      </c>
      <c r="K61" t="s">
        <v>41</v>
      </c>
      <c r="L61" t="s">
        <v>42</v>
      </c>
      <c r="M61" t="s">
        <v>43</v>
      </c>
      <c r="N61" s="5">
        <f t="shared" si="3"/>
        <v>5470.2743700000001</v>
      </c>
      <c r="O61" s="5">
        <v>4521</v>
      </c>
      <c r="P61" s="5">
        <v>0</v>
      </c>
      <c r="Q61" s="5">
        <v>0</v>
      </c>
      <c r="R61" s="5">
        <v>0</v>
      </c>
      <c r="S61" s="5">
        <v>949.27436999999998</v>
      </c>
      <c r="T61" s="5">
        <v>0</v>
      </c>
      <c r="U61">
        <v>0</v>
      </c>
      <c r="V61">
        <v>0</v>
      </c>
      <c r="X61">
        <v>0</v>
      </c>
      <c r="Y61" t="s">
        <v>44</v>
      </c>
      <c r="AD61" t="s">
        <v>45</v>
      </c>
      <c r="AE61" t="s">
        <v>46</v>
      </c>
      <c r="AF61" s="5">
        <f t="shared" si="4"/>
        <v>5470.2743700000001</v>
      </c>
      <c r="AG61">
        <f t="shared" si="1"/>
        <v>0</v>
      </c>
      <c r="AH61" s="5">
        <f t="shared" si="2"/>
        <v>5470.2743700000001</v>
      </c>
      <c r="AJ61" t="s">
        <v>47</v>
      </c>
    </row>
    <row r="62" spans="1:36" x14ac:dyDescent="0.3">
      <c r="A62" t="s">
        <v>55</v>
      </c>
      <c r="B62" t="s">
        <v>55</v>
      </c>
      <c r="C62" t="s">
        <v>56</v>
      </c>
      <c r="E62">
        <v>60</v>
      </c>
      <c r="F62" t="s">
        <v>172</v>
      </c>
      <c r="G62" t="s">
        <v>59</v>
      </c>
      <c r="H62" t="s">
        <v>40</v>
      </c>
      <c r="I62" s="4">
        <v>45811</v>
      </c>
      <c r="J62" s="4">
        <v>45883</v>
      </c>
      <c r="K62" t="s">
        <v>41</v>
      </c>
      <c r="L62" t="s">
        <v>42</v>
      </c>
      <c r="M62" t="s">
        <v>43</v>
      </c>
      <c r="N62" s="5">
        <f t="shared" si="3"/>
        <v>3224.2554577999999</v>
      </c>
      <c r="O62" s="5">
        <v>2664.74</v>
      </c>
      <c r="P62" s="5">
        <v>0</v>
      </c>
      <c r="Q62" s="5">
        <v>0</v>
      </c>
      <c r="R62" s="5">
        <v>0</v>
      </c>
      <c r="S62" s="5">
        <v>559.51545779999992</v>
      </c>
      <c r="T62" s="5">
        <v>0</v>
      </c>
      <c r="U62">
        <v>0</v>
      </c>
      <c r="V62">
        <v>0</v>
      </c>
      <c r="X62">
        <v>0</v>
      </c>
      <c r="Y62" t="s">
        <v>44</v>
      </c>
      <c r="AD62" t="s">
        <v>45</v>
      </c>
      <c r="AE62" t="s">
        <v>46</v>
      </c>
      <c r="AF62" s="5">
        <f t="shared" si="4"/>
        <v>3224.2554577999999</v>
      </c>
      <c r="AG62">
        <f t="shared" si="1"/>
        <v>0</v>
      </c>
      <c r="AH62" s="5">
        <f t="shared" si="2"/>
        <v>3224.2554577999999</v>
      </c>
      <c r="AJ62" t="s">
        <v>54</v>
      </c>
    </row>
    <row r="63" spans="1:36" x14ac:dyDescent="0.3">
      <c r="A63" t="s">
        <v>55</v>
      </c>
      <c r="B63" t="s">
        <v>55</v>
      </c>
      <c r="C63" t="s">
        <v>56</v>
      </c>
      <c r="E63">
        <v>61</v>
      </c>
      <c r="F63" t="s">
        <v>173</v>
      </c>
      <c r="G63" t="s">
        <v>174</v>
      </c>
      <c r="H63" t="s">
        <v>40</v>
      </c>
      <c r="I63" s="4">
        <v>45811</v>
      </c>
      <c r="J63" s="4">
        <v>46034</v>
      </c>
      <c r="K63" t="s">
        <v>41</v>
      </c>
      <c r="L63" t="s">
        <v>42</v>
      </c>
      <c r="M63" t="s">
        <v>43</v>
      </c>
      <c r="N63" s="5">
        <f t="shared" si="3"/>
        <v>4906.5273074999996</v>
      </c>
      <c r="O63" s="5">
        <v>2189.9699999999998</v>
      </c>
      <c r="P63" s="5">
        <v>0</v>
      </c>
      <c r="Q63" s="5">
        <v>282.20999999999998</v>
      </c>
      <c r="R63" s="5">
        <v>1476.47</v>
      </c>
      <c r="S63" s="5">
        <v>1121.1873074999999</v>
      </c>
      <c r="T63" s="5">
        <v>163.31</v>
      </c>
      <c r="U63">
        <v>0</v>
      </c>
      <c r="V63">
        <v>0</v>
      </c>
      <c r="X63">
        <v>0</v>
      </c>
      <c r="Y63" t="s">
        <v>44</v>
      </c>
      <c r="AD63" t="s">
        <v>45</v>
      </c>
      <c r="AE63" t="s">
        <v>46</v>
      </c>
      <c r="AF63" s="5">
        <f t="shared" si="4"/>
        <v>4906.5273074999996</v>
      </c>
      <c r="AG63">
        <f t="shared" si="1"/>
        <v>0</v>
      </c>
      <c r="AH63" s="5">
        <f t="shared" si="2"/>
        <v>4906.5273074999996</v>
      </c>
      <c r="AJ63" t="s">
        <v>54</v>
      </c>
    </row>
    <row r="64" spans="1:36" x14ac:dyDescent="0.3">
      <c r="A64" t="s">
        <v>55</v>
      </c>
      <c r="B64" t="s">
        <v>175</v>
      </c>
      <c r="C64" t="s">
        <v>56</v>
      </c>
      <c r="E64">
        <v>62</v>
      </c>
      <c r="F64" t="s">
        <v>176</v>
      </c>
      <c r="G64" t="s">
        <v>177</v>
      </c>
      <c r="H64">
        <v>0</v>
      </c>
      <c r="I64" s="4">
        <v>45811</v>
      </c>
      <c r="J64" s="4"/>
      <c r="K64" t="s">
        <v>178</v>
      </c>
      <c r="L64" t="s">
        <v>42</v>
      </c>
      <c r="M64" t="s">
        <v>43</v>
      </c>
      <c r="N64" s="5">
        <f t="shared" si="3"/>
        <v>4061.62497890745</v>
      </c>
      <c r="O64" s="5">
        <v>3356.7980849999999</v>
      </c>
      <c r="P64" s="5">
        <v>0</v>
      </c>
      <c r="Q64" s="5">
        <v>0</v>
      </c>
      <c r="R64" s="5">
        <v>0</v>
      </c>
      <c r="S64" s="5">
        <v>704.82689390745008</v>
      </c>
      <c r="T64" s="5">
        <v>0</v>
      </c>
      <c r="U64">
        <v>1162.4000000000001</v>
      </c>
      <c r="V64">
        <v>0</v>
      </c>
      <c r="X64" t="s">
        <v>44</v>
      </c>
      <c r="Y64" t="s">
        <v>44</v>
      </c>
      <c r="AD64" t="s">
        <v>65</v>
      </c>
      <c r="AE64" t="s">
        <v>46</v>
      </c>
      <c r="AF64" s="5">
        <f t="shared" si="4"/>
        <v>5224.0249789074496</v>
      </c>
      <c r="AG64">
        <f t="shared" si="1"/>
        <v>0</v>
      </c>
      <c r="AH64" s="5">
        <f t="shared" si="2"/>
        <v>5224.0249789074496</v>
      </c>
      <c r="AJ64" t="s">
        <v>54</v>
      </c>
    </row>
    <row r="65" spans="1:36" x14ac:dyDescent="0.3">
      <c r="A65" t="s">
        <v>36</v>
      </c>
      <c r="B65" t="s">
        <v>179</v>
      </c>
      <c r="C65" t="s">
        <v>37</v>
      </c>
      <c r="D65" t="s">
        <v>117</v>
      </c>
      <c r="E65">
        <v>63</v>
      </c>
      <c r="F65" t="s">
        <v>180</v>
      </c>
      <c r="G65" t="s">
        <v>181</v>
      </c>
      <c r="H65" t="s">
        <v>60</v>
      </c>
      <c r="I65" s="4">
        <v>45810</v>
      </c>
      <c r="J65" s="4"/>
      <c r="K65" t="s">
        <v>61</v>
      </c>
      <c r="L65" t="s">
        <v>42</v>
      </c>
      <c r="M65" t="s">
        <v>43</v>
      </c>
      <c r="N65" s="5">
        <f t="shared" si="3"/>
        <v>8670.1990024999996</v>
      </c>
      <c r="O65" s="5">
        <v>5783.25</v>
      </c>
      <c r="P65" s="5">
        <v>1672.6399999999999</v>
      </c>
      <c r="Q65" s="5">
        <v>0</v>
      </c>
      <c r="R65" s="5">
        <v>0</v>
      </c>
      <c r="S65" s="5">
        <v>1214.3090024999999</v>
      </c>
      <c r="T65" s="5">
        <v>0</v>
      </c>
      <c r="U65">
        <v>1184.7999999999997</v>
      </c>
      <c r="V65">
        <v>0</v>
      </c>
      <c r="X65" t="s">
        <v>44</v>
      </c>
      <c r="Y65" t="s">
        <v>44</v>
      </c>
      <c r="AD65" t="s">
        <v>45</v>
      </c>
      <c r="AE65" t="s">
        <v>46</v>
      </c>
      <c r="AF65" s="5">
        <f t="shared" si="4"/>
        <v>9854.9990024999988</v>
      </c>
      <c r="AG65">
        <f t="shared" si="1"/>
        <v>0</v>
      </c>
      <c r="AH65" s="5">
        <f t="shared" si="2"/>
        <v>9854.9990024999988</v>
      </c>
      <c r="AJ65" t="s">
        <v>47</v>
      </c>
    </row>
    <row r="66" spans="1:36" x14ac:dyDescent="0.3">
      <c r="A66" t="s">
        <v>89</v>
      </c>
      <c r="B66" t="s">
        <v>90</v>
      </c>
      <c r="C66" t="s">
        <v>37</v>
      </c>
      <c r="E66">
        <v>64</v>
      </c>
      <c r="F66" t="s">
        <v>182</v>
      </c>
      <c r="G66" t="s">
        <v>183</v>
      </c>
      <c r="H66" t="s">
        <v>60</v>
      </c>
      <c r="I66" s="4">
        <v>45811</v>
      </c>
      <c r="J66" s="4"/>
      <c r="K66" t="s">
        <v>61</v>
      </c>
      <c r="L66" t="s">
        <v>42</v>
      </c>
      <c r="M66" t="s">
        <v>43</v>
      </c>
      <c r="N66" s="5">
        <f t="shared" si="3"/>
        <v>7465.7614899</v>
      </c>
      <c r="O66" s="5">
        <v>3195.53</v>
      </c>
      <c r="P66" s="5">
        <v>2267.88</v>
      </c>
      <c r="Q66" s="5">
        <v>769.28</v>
      </c>
      <c r="R66" s="5">
        <v>447.53</v>
      </c>
      <c r="S66" s="5">
        <v>1044.3214899</v>
      </c>
      <c r="T66" s="5">
        <v>258.78000000000003</v>
      </c>
      <c r="U66">
        <v>1354.56</v>
      </c>
      <c r="V66">
        <v>0</v>
      </c>
      <c r="X66" t="s">
        <v>44</v>
      </c>
      <c r="Y66" t="s">
        <v>44</v>
      </c>
      <c r="AD66" t="s">
        <v>45</v>
      </c>
      <c r="AE66" t="s">
        <v>46</v>
      </c>
      <c r="AF66" s="5">
        <f t="shared" si="4"/>
        <v>8820.3214898999995</v>
      </c>
      <c r="AG66">
        <f t="shared" si="1"/>
        <v>0</v>
      </c>
      <c r="AH66" s="5">
        <f t="shared" si="2"/>
        <v>8820.3214898999995</v>
      </c>
      <c r="AJ66" t="s">
        <v>47</v>
      </c>
    </row>
    <row r="67" spans="1:36" x14ac:dyDescent="0.3">
      <c r="A67" t="s">
        <v>55</v>
      </c>
      <c r="B67" t="s">
        <v>55</v>
      </c>
      <c r="C67" t="s">
        <v>56</v>
      </c>
      <c r="D67" t="s">
        <v>93</v>
      </c>
      <c r="E67">
        <v>65</v>
      </c>
      <c r="F67" t="s">
        <v>184</v>
      </c>
      <c r="G67" t="s">
        <v>59</v>
      </c>
      <c r="H67" t="s">
        <v>60</v>
      </c>
      <c r="I67" s="4">
        <v>45811</v>
      </c>
      <c r="J67" s="4"/>
      <c r="K67" t="s">
        <v>61</v>
      </c>
      <c r="L67" t="s">
        <v>42</v>
      </c>
      <c r="M67" t="s">
        <v>43</v>
      </c>
      <c r="N67" s="5">
        <f t="shared" si="3"/>
        <v>4250.9396409000001</v>
      </c>
      <c r="O67" s="5">
        <v>2801.97</v>
      </c>
      <c r="P67" s="5">
        <v>860.6400000000001</v>
      </c>
      <c r="Q67" s="5">
        <v>0</v>
      </c>
      <c r="R67" s="5">
        <v>0</v>
      </c>
      <c r="S67" s="5">
        <v>588.32964089999996</v>
      </c>
      <c r="T67" s="5">
        <v>0</v>
      </c>
      <c r="U67">
        <v>1222.7999999999997</v>
      </c>
      <c r="V67">
        <v>0</v>
      </c>
      <c r="X67" t="s">
        <v>44</v>
      </c>
      <c r="Y67" t="s">
        <v>44</v>
      </c>
      <c r="AD67" t="s">
        <v>45</v>
      </c>
      <c r="AE67" t="s">
        <v>46</v>
      </c>
      <c r="AF67" s="5">
        <f t="shared" si="4"/>
        <v>5473.7396408999994</v>
      </c>
      <c r="AG67">
        <f t="shared" ref="AG67:AG130" si="5">V67+Z67</f>
        <v>0</v>
      </c>
      <c r="AH67" s="5">
        <f t="shared" ref="AH67:AH130" si="6">AG67+AF67</f>
        <v>5473.7396408999994</v>
      </c>
      <c r="AJ67" t="s">
        <v>54</v>
      </c>
    </row>
    <row r="68" spans="1:36" x14ac:dyDescent="0.3">
      <c r="A68" t="s">
        <v>89</v>
      </c>
      <c r="B68" t="s">
        <v>161</v>
      </c>
      <c r="C68" t="s">
        <v>56</v>
      </c>
      <c r="D68" t="s">
        <v>185</v>
      </c>
      <c r="E68">
        <v>66</v>
      </c>
      <c r="F68" t="s">
        <v>186</v>
      </c>
      <c r="G68" t="s">
        <v>139</v>
      </c>
      <c r="H68" t="s">
        <v>60</v>
      </c>
      <c r="I68" s="4">
        <v>45812</v>
      </c>
      <c r="J68" s="4"/>
      <c r="K68" t="s">
        <v>61</v>
      </c>
      <c r="L68" t="s">
        <v>42</v>
      </c>
      <c r="M68" t="s">
        <v>43</v>
      </c>
      <c r="N68" s="5">
        <f t="shared" ref="N68:N131" si="7">O68+P68+Q68+R68-T68+S68</f>
        <v>6713.5390645999996</v>
      </c>
      <c r="O68" s="5">
        <v>3356.8</v>
      </c>
      <c r="P68" s="5">
        <v>1144.1400000000001</v>
      </c>
      <c r="Q68" s="5">
        <v>759.53</v>
      </c>
      <c r="R68" s="5">
        <v>376.62</v>
      </c>
      <c r="S68" s="5">
        <v>1110.9890645999999</v>
      </c>
      <c r="T68" s="5">
        <v>34.54</v>
      </c>
      <c r="U68">
        <v>1307.6799999999998</v>
      </c>
      <c r="V68">
        <v>0</v>
      </c>
      <c r="X68" t="s">
        <v>44</v>
      </c>
      <c r="Y68" t="s">
        <v>44</v>
      </c>
      <c r="Z68">
        <v>5000</v>
      </c>
      <c r="AD68" t="s">
        <v>65</v>
      </c>
      <c r="AE68" t="s">
        <v>46</v>
      </c>
      <c r="AF68" s="5">
        <f t="shared" ref="AF68:AF131" si="8">N68+U68+W68</f>
        <v>8021.2190645999999</v>
      </c>
      <c r="AG68">
        <f t="shared" si="5"/>
        <v>5000</v>
      </c>
      <c r="AH68" s="5">
        <f t="shared" si="6"/>
        <v>13021.2190646</v>
      </c>
      <c r="AJ68" t="s">
        <v>54</v>
      </c>
    </row>
    <row r="69" spans="1:36" x14ac:dyDescent="0.3">
      <c r="A69" t="s">
        <v>55</v>
      </c>
      <c r="B69" t="s">
        <v>55</v>
      </c>
      <c r="C69" t="s">
        <v>56</v>
      </c>
      <c r="D69" t="s">
        <v>187</v>
      </c>
      <c r="E69">
        <v>67</v>
      </c>
      <c r="F69" t="s">
        <v>188</v>
      </c>
      <c r="G69" t="s">
        <v>59</v>
      </c>
      <c r="H69" t="s">
        <v>68</v>
      </c>
      <c r="I69" s="4">
        <v>45811</v>
      </c>
      <c r="J69" s="4"/>
      <c r="K69" t="s">
        <v>61</v>
      </c>
      <c r="L69" t="s">
        <v>42</v>
      </c>
      <c r="M69" t="s">
        <v>43</v>
      </c>
      <c r="N69" s="5">
        <f t="shared" si="7"/>
        <v>6821.0388139000006</v>
      </c>
      <c r="O69" s="5">
        <v>2801.97</v>
      </c>
      <c r="P69" s="5">
        <v>2333.3200000000002</v>
      </c>
      <c r="Q69" s="5">
        <v>556.20000000000005</v>
      </c>
      <c r="R69" s="5">
        <v>429.38</v>
      </c>
      <c r="S69" s="5">
        <v>937.0688138999999</v>
      </c>
      <c r="T69" s="5">
        <v>236.9</v>
      </c>
      <c r="U69">
        <v>1312.12</v>
      </c>
      <c r="V69">
        <v>0</v>
      </c>
      <c r="X69" t="s">
        <v>44</v>
      </c>
      <c r="Y69" t="s">
        <v>44</v>
      </c>
      <c r="AD69" t="s">
        <v>45</v>
      </c>
      <c r="AE69" t="s">
        <v>46</v>
      </c>
      <c r="AF69" s="5">
        <f t="shared" si="8"/>
        <v>8133.1588139000005</v>
      </c>
      <c r="AG69">
        <f t="shared" si="5"/>
        <v>0</v>
      </c>
      <c r="AH69" s="5">
        <f t="shared" si="6"/>
        <v>8133.1588139000005</v>
      </c>
      <c r="AJ69" t="s">
        <v>54</v>
      </c>
    </row>
    <row r="70" spans="1:36" x14ac:dyDescent="0.3">
      <c r="A70" t="s">
        <v>55</v>
      </c>
      <c r="B70" t="s">
        <v>55</v>
      </c>
      <c r="C70" t="s">
        <v>56</v>
      </c>
      <c r="E70">
        <v>68</v>
      </c>
      <c r="F70" t="s">
        <v>189</v>
      </c>
      <c r="G70" t="s">
        <v>174</v>
      </c>
      <c r="H70" t="s">
        <v>40</v>
      </c>
      <c r="I70" s="4">
        <v>45810</v>
      </c>
      <c r="J70" s="4">
        <v>46034</v>
      </c>
      <c r="K70" t="s">
        <v>41</v>
      </c>
      <c r="L70" t="s">
        <v>42</v>
      </c>
      <c r="M70" t="s">
        <v>43</v>
      </c>
      <c r="N70" s="5">
        <f t="shared" si="7"/>
        <v>4216.6092103000001</v>
      </c>
      <c r="O70" s="5">
        <v>2189.9699999999998</v>
      </c>
      <c r="P70" s="5">
        <v>0</v>
      </c>
      <c r="Q70" s="5">
        <v>564.20000000000005</v>
      </c>
      <c r="R70" s="5">
        <v>534.54</v>
      </c>
      <c r="S70" s="5">
        <v>970.6892102999999</v>
      </c>
      <c r="T70" s="5">
        <v>42.79</v>
      </c>
      <c r="U70">
        <v>0</v>
      </c>
      <c r="V70">
        <v>0</v>
      </c>
      <c r="X70">
        <v>0</v>
      </c>
      <c r="Y70" t="s">
        <v>44</v>
      </c>
      <c r="AD70" t="s">
        <v>45</v>
      </c>
      <c r="AE70" t="s">
        <v>46</v>
      </c>
      <c r="AF70" s="5">
        <f t="shared" si="8"/>
        <v>4216.6092103000001</v>
      </c>
      <c r="AG70">
        <f t="shared" si="5"/>
        <v>0</v>
      </c>
      <c r="AH70" s="5">
        <f t="shared" si="6"/>
        <v>4216.6092103000001</v>
      </c>
      <c r="AJ70" t="s">
        <v>54</v>
      </c>
    </row>
    <row r="71" spans="1:36" x14ac:dyDescent="0.3">
      <c r="A71" t="s">
        <v>55</v>
      </c>
      <c r="B71" t="s">
        <v>55</v>
      </c>
      <c r="C71" t="s">
        <v>56</v>
      </c>
      <c r="D71" t="s">
        <v>93</v>
      </c>
      <c r="E71">
        <v>70</v>
      </c>
      <c r="F71" t="s">
        <v>190</v>
      </c>
      <c r="G71" t="s">
        <v>139</v>
      </c>
      <c r="H71" t="s">
        <v>60</v>
      </c>
      <c r="I71" s="4">
        <v>45812</v>
      </c>
      <c r="J71" s="4"/>
      <c r="K71" t="s">
        <v>61</v>
      </c>
      <c r="L71" t="s">
        <v>42</v>
      </c>
      <c r="M71" t="s">
        <v>43</v>
      </c>
      <c r="N71" s="5">
        <f t="shared" si="7"/>
        <v>6822.1169655000012</v>
      </c>
      <c r="O71" s="5">
        <v>3356.8</v>
      </c>
      <c r="P71" s="5">
        <v>1244.4800000000002</v>
      </c>
      <c r="Q71" s="5">
        <v>610.94000000000005</v>
      </c>
      <c r="R71" s="5">
        <v>556.66999999999996</v>
      </c>
      <c r="S71" s="5">
        <v>1291.5569655000002</v>
      </c>
      <c r="T71" s="5">
        <v>238.32999999999998</v>
      </c>
      <c r="U71">
        <v>1269.6799999999998</v>
      </c>
      <c r="V71">
        <v>0</v>
      </c>
      <c r="X71" t="s">
        <v>44</v>
      </c>
      <c r="Y71" t="s">
        <v>44</v>
      </c>
      <c r="Z71">
        <v>15000</v>
      </c>
      <c r="AD71" t="s">
        <v>65</v>
      </c>
      <c r="AE71" t="s">
        <v>46</v>
      </c>
      <c r="AF71" s="5">
        <f t="shared" si="8"/>
        <v>8091.7969655000015</v>
      </c>
      <c r="AG71">
        <f t="shared" si="5"/>
        <v>15000</v>
      </c>
      <c r="AH71" s="5">
        <f t="shared" si="6"/>
        <v>23091.796965500002</v>
      </c>
      <c r="AJ71" t="s">
        <v>54</v>
      </c>
    </row>
    <row r="72" spans="1:36" x14ac:dyDescent="0.3">
      <c r="A72" t="s">
        <v>55</v>
      </c>
      <c r="B72" t="s">
        <v>55</v>
      </c>
      <c r="C72" t="s">
        <v>56</v>
      </c>
      <c r="E72">
        <v>71</v>
      </c>
      <c r="F72" t="s">
        <v>191</v>
      </c>
      <c r="G72" t="s">
        <v>82</v>
      </c>
      <c r="H72" t="s">
        <v>40</v>
      </c>
      <c r="I72" s="4">
        <v>45811</v>
      </c>
      <c r="J72" s="4">
        <v>45945</v>
      </c>
      <c r="K72" t="s">
        <v>41</v>
      </c>
      <c r="L72" t="s">
        <v>42</v>
      </c>
      <c r="M72" t="s">
        <v>43</v>
      </c>
      <c r="N72" s="5">
        <f t="shared" si="7"/>
        <v>2779.0632663999995</v>
      </c>
      <c r="O72" s="5">
        <v>2189.9699999999998</v>
      </c>
      <c r="P72" s="5">
        <v>0</v>
      </c>
      <c r="Q72" s="5">
        <v>0</v>
      </c>
      <c r="R72" s="5">
        <v>383.41999999999996</v>
      </c>
      <c r="S72" s="5">
        <v>573.45326639999996</v>
      </c>
      <c r="T72" s="5">
        <v>367.78</v>
      </c>
      <c r="U72">
        <v>0</v>
      </c>
      <c r="V72">
        <v>0</v>
      </c>
      <c r="X72">
        <v>0</v>
      </c>
      <c r="Y72" t="s">
        <v>44</v>
      </c>
      <c r="AD72" t="s">
        <v>45</v>
      </c>
      <c r="AE72" t="s">
        <v>46</v>
      </c>
      <c r="AF72" s="5">
        <f t="shared" si="8"/>
        <v>2779.0632663999995</v>
      </c>
      <c r="AG72">
        <f t="shared" si="5"/>
        <v>0</v>
      </c>
      <c r="AH72" s="5">
        <f t="shared" si="6"/>
        <v>2779.0632663999995</v>
      </c>
      <c r="AJ72" t="s">
        <v>54</v>
      </c>
    </row>
    <row r="73" spans="1:36" x14ac:dyDescent="0.3">
      <c r="A73" t="s">
        <v>55</v>
      </c>
      <c r="B73" t="s">
        <v>55</v>
      </c>
      <c r="C73" t="s">
        <v>56</v>
      </c>
      <c r="D73" t="s">
        <v>192</v>
      </c>
      <c r="E73">
        <v>72</v>
      </c>
      <c r="F73" t="s">
        <v>193</v>
      </c>
      <c r="G73" t="s">
        <v>82</v>
      </c>
      <c r="H73" t="s">
        <v>68</v>
      </c>
      <c r="I73" s="4">
        <v>45811</v>
      </c>
      <c r="J73" s="4">
        <v>46190</v>
      </c>
      <c r="K73" t="s">
        <v>41</v>
      </c>
      <c r="L73" t="s">
        <v>42</v>
      </c>
      <c r="M73" t="s">
        <v>43</v>
      </c>
      <c r="N73" s="5">
        <f t="shared" si="7"/>
        <v>-8843.8515825000013</v>
      </c>
      <c r="O73" s="5">
        <v>2302.75</v>
      </c>
      <c r="P73" s="5">
        <v>724.24</v>
      </c>
      <c r="Q73" s="5">
        <v>0</v>
      </c>
      <c r="R73" s="5">
        <v>0</v>
      </c>
      <c r="S73" s="5">
        <v>483.50841750000001</v>
      </c>
      <c r="T73" s="5">
        <v>12354.35</v>
      </c>
      <c r="U73">
        <v>0</v>
      </c>
      <c r="V73">
        <v>0</v>
      </c>
      <c r="X73" t="s">
        <v>44</v>
      </c>
      <c r="Y73" t="s">
        <v>44</v>
      </c>
      <c r="AD73" t="s">
        <v>45</v>
      </c>
      <c r="AE73" t="s">
        <v>46</v>
      </c>
      <c r="AF73" s="5">
        <f t="shared" si="8"/>
        <v>-8843.8515825000013</v>
      </c>
      <c r="AG73">
        <f t="shared" si="5"/>
        <v>0</v>
      </c>
      <c r="AH73" s="5">
        <f t="shared" si="6"/>
        <v>-8843.8515825000013</v>
      </c>
      <c r="AJ73" t="s">
        <v>54</v>
      </c>
    </row>
    <row r="74" spans="1:36" x14ac:dyDescent="0.3">
      <c r="A74" t="s">
        <v>55</v>
      </c>
      <c r="B74" t="s">
        <v>55</v>
      </c>
      <c r="C74" t="s">
        <v>56</v>
      </c>
      <c r="E74">
        <v>73</v>
      </c>
      <c r="F74" t="s">
        <v>194</v>
      </c>
      <c r="G74" t="s">
        <v>106</v>
      </c>
      <c r="H74" t="s">
        <v>40</v>
      </c>
      <c r="I74" s="4">
        <v>45811</v>
      </c>
      <c r="J74" s="4">
        <v>45952</v>
      </c>
      <c r="K74" t="s">
        <v>41</v>
      </c>
      <c r="L74" t="s">
        <v>42</v>
      </c>
      <c r="M74" t="s">
        <v>43</v>
      </c>
      <c r="N74" s="5">
        <f t="shared" si="7"/>
        <v>6188.3915649999999</v>
      </c>
      <c r="O74" s="5">
        <v>5114.5</v>
      </c>
      <c r="P74" s="5">
        <v>0</v>
      </c>
      <c r="Q74" s="5">
        <v>0</v>
      </c>
      <c r="R74" s="5">
        <v>0</v>
      </c>
      <c r="S74" s="5">
        <v>1073.8915649999997</v>
      </c>
      <c r="T74" s="5">
        <v>0</v>
      </c>
      <c r="U74">
        <v>0</v>
      </c>
      <c r="V74">
        <v>0</v>
      </c>
      <c r="X74" t="s">
        <v>44</v>
      </c>
      <c r="Y74" t="s">
        <v>44</v>
      </c>
      <c r="AD74" t="s">
        <v>45</v>
      </c>
      <c r="AE74" t="s">
        <v>46</v>
      </c>
      <c r="AF74" s="5">
        <f t="shared" si="8"/>
        <v>6188.3915649999999</v>
      </c>
      <c r="AG74">
        <f t="shared" si="5"/>
        <v>0</v>
      </c>
      <c r="AH74" s="5">
        <f t="shared" si="6"/>
        <v>6188.3915649999999</v>
      </c>
      <c r="AJ74" t="s">
        <v>54</v>
      </c>
    </row>
    <row r="75" spans="1:36" x14ac:dyDescent="0.3">
      <c r="A75" t="s">
        <v>55</v>
      </c>
      <c r="B75" t="s">
        <v>55</v>
      </c>
      <c r="C75" t="s">
        <v>56</v>
      </c>
      <c r="E75">
        <v>74</v>
      </c>
      <c r="F75" t="s">
        <v>195</v>
      </c>
      <c r="G75" t="s">
        <v>82</v>
      </c>
      <c r="H75" t="s">
        <v>40</v>
      </c>
      <c r="I75" s="4">
        <v>45811</v>
      </c>
      <c r="J75" s="4">
        <v>45936</v>
      </c>
      <c r="K75" t="s">
        <v>41</v>
      </c>
      <c r="L75" t="s">
        <v>42</v>
      </c>
      <c r="M75" t="s">
        <v>43</v>
      </c>
      <c r="N75" s="5">
        <f t="shared" si="7"/>
        <v>5624.3343940000004</v>
      </c>
      <c r="O75" s="5">
        <v>2189.9699999999998</v>
      </c>
      <c r="P75" s="5">
        <v>0</v>
      </c>
      <c r="Q75" s="5">
        <v>400</v>
      </c>
      <c r="R75" s="5">
        <v>1855.21</v>
      </c>
      <c r="S75" s="5">
        <v>1243.064394</v>
      </c>
      <c r="T75" s="5">
        <v>63.91</v>
      </c>
      <c r="U75">
        <v>0</v>
      </c>
      <c r="V75">
        <v>0</v>
      </c>
      <c r="X75">
        <v>0</v>
      </c>
      <c r="Y75" t="s">
        <v>44</v>
      </c>
      <c r="AD75" t="s">
        <v>45</v>
      </c>
      <c r="AE75" t="s">
        <v>46</v>
      </c>
      <c r="AF75" s="5">
        <f t="shared" si="8"/>
        <v>5624.3343940000004</v>
      </c>
      <c r="AG75">
        <f t="shared" si="5"/>
        <v>0</v>
      </c>
      <c r="AH75" s="5">
        <f t="shared" si="6"/>
        <v>5624.3343940000004</v>
      </c>
      <c r="AJ75" t="s">
        <v>54</v>
      </c>
    </row>
    <row r="76" spans="1:36" x14ac:dyDescent="0.3">
      <c r="A76" t="s">
        <v>55</v>
      </c>
      <c r="B76" t="s">
        <v>55</v>
      </c>
      <c r="C76" t="s">
        <v>56</v>
      </c>
      <c r="E76">
        <v>75</v>
      </c>
      <c r="F76" t="s">
        <v>196</v>
      </c>
      <c r="G76" t="s">
        <v>106</v>
      </c>
      <c r="H76" t="s">
        <v>40</v>
      </c>
      <c r="I76" s="4">
        <v>45811</v>
      </c>
      <c r="J76" s="4">
        <v>45947</v>
      </c>
      <c r="K76" t="s">
        <v>41</v>
      </c>
      <c r="L76" t="s">
        <v>42</v>
      </c>
      <c r="M76" t="s">
        <v>43</v>
      </c>
      <c r="N76" s="5">
        <f t="shared" si="7"/>
        <v>7324.5903878999998</v>
      </c>
      <c r="O76" s="5">
        <v>5114.5</v>
      </c>
      <c r="P76" s="5">
        <v>0</v>
      </c>
      <c r="Q76" s="5">
        <v>324.61</v>
      </c>
      <c r="R76" s="5">
        <v>488.22</v>
      </c>
      <c r="S76" s="5">
        <v>1569.9603879000001</v>
      </c>
      <c r="T76" s="5">
        <v>172.7</v>
      </c>
      <c r="U76">
        <v>0</v>
      </c>
      <c r="V76">
        <v>0</v>
      </c>
      <c r="X76">
        <v>0</v>
      </c>
      <c r="Y76" t="s">
        <v>44</v>
      </c>
      <c r="AD76" t="s">
        <v>45</v>
      </c>
      <c r="AE76" t="s">
        <v>46</v>
      </c>
      <c r="AF76" s="5">
        <f t="shared" si="8"/>
        <v>7324.5903878999998</v>
      </c>
      <c r="AG76">
        <f t="shared" si="5"/>
        <v>0</v>
      </c>
      <c r="AH76" s="5">
        <f t="shared" si="6"/>
        <v>7324.5903878999998</v>
      </c>
      <c r="AJ76" t="s">
        <v>54</v>
      </c>
    </row>
    <row r="77" spans="1:36" x14ac:dyDescent="0.3">
      <c r="A77" t="s">
        <v>55</v>
      </c>
      <c r="B77" t="s">
        <v>55</v>
      </c>
      <c r="C77" t="s">
        <v>56</v>
      </c>
      <c r="D77" t="s">
        <v>57</v>
      </c>
      <c r="E77">
        <v>76</v>
      </c>
      <c r="F77" t="s">
        <v>197</v>
      </c>
      <c r="G77" t="s">
        <v>106</v>
      </c>
      <c r="H77" t="s">
        <v>60</v>
      </c>
      <c r="I77" s="4">
        <v>45812</v>
      </c>
      <c r="J77" s="4"/>
      <c r="K77" t="s">
        <v>61</v>
      </c>
      <c r="L77" t="s">
        <v>42</v>
      </c>
      <c r="M77" t="s">
        <v>43</v>
      </c>
      <c r="N77" s="5">
        <f t="shared" si="7"/>
        <v>9465.8376629999984</v>
      </c>
      <c r="O77" s="5">
        <v>5377.9</v>
      </c>
      <c r="P77" s="5">
        <v>2958.74</v>
      </c>
      <c r="Q77" s="5">
        <v>0</v>
      </c>
      <c r="R77" s="5">
        <v>0</v>
      </c>
      <c r="S77" s="5">
        <v>1129.1976629999999</v>
      </c>
      <c r="T77" s="5">
        <v>0</v>
      </c>
      <c r="U77">
        <v>1283</v>
      </c>
      <c r="V77">
        <v>0</v>
      </c>
      <c r="X77" t="s">
        <v>44</v>
      </c>
      <c r="Y77" t="s">
        <v>44</v>
      </c>
      <c r="AD77" t="s">
        <v>45</v>
      </c>
      <c r="AE77" t="s">
        <v>46</v>
      </c>
      <c r="AF77" s="5">
        <f t="shared" si="8"/>
        <v>10748.837662999998</v>
      </c>
      <c r="AG77">
        <f t="shared" si="5"/>
        <v>0</v>
      </c>
      <c r="AH77" s="5">
        <f t="shared" si="6"/>
        <v>10748.837662999998</v>
      </c>
      <c r="AJ77" t="s">
        <v>54</v>
      </c>
    </row>
    <row r="78" spans="1:36" x14ac:dyDescent="0.3">
      <c r="A78" t="s">
        <v>55</v>
      </c>
      <c r="B78" t="s">
        <v>55</v>
      </c>
      <c r="C78" t="s">
        <v>56</v>
      </c>
      <c r="E78">
        <v>77</v>
      </c>
      <c r="F78" t="s">
        <v>198</v>
      </c>
      <c r="G78" t="s">
        <v>133</v>
      </c>
      <c r="H78" t="s">
        <v>40</v>
      </c>
      <c r="I78" s="4">
        <v>45811</v>
      </c>
      <c r="J78" s="4">
        <v>45873</v>
      </c>
      <c r="K78" t="s">
        <v>41</v>
      </c>
      <c r="L78" t="s">
        <v>42</v>
      </c>
      <c r="M78" t="s">
        <v>43</v>
      </c>
      <c r="N78" s="5">
        <f t="shared" si="7"/>
        <v>5386.7864399999999</v>
      </c>
      <c r="O78" s="5">
        <v>4452</v>
      </c>
      <c r="P78" s="5">
        <v>0</v>
      </c>
      <c r="Q78" s="5">
        <v>0</v>
      </c>
      <c r="R78" s="5">
        <v>0</v>
      </c>
      <c r="S78" s="5">
        <v>934.78643999999997</v>
      </c>
      <c r="T78" s="5">
        <v>0</v>
      </c>
      <c r="U78">
        <v>0</v>
      </c>
      <c r="V78">
        <v>0</v>
      </c>
      <c r="X78">
        <v>0</v>
      </c>
      <c r="Y78" t="s">
        <v>44</v>
      </c>
      <c r="AD78" t="s">
        <v>45</v>
      </c>
      <c r="AE78" t="s">
        <v>46</v>
      </c>
      <c r="AF78" s="5">
        <f t="shared" si="8"/>
        <v>5386.7864399999999</v>
      </c>
      <c r="AG78">
        <f t="shared" si="5"/>
        <v>0</v>
      </c>
      <c r="AH78" s="5">
        <f t="shared" si="6"/>
        <v>5386.7864399999999</v>
      </c>
      <c r="AJ78" t="s">
        <v>54</v>
      </c>
    </row>
    <row r="79" spans="1:36" x14ac:dyDescent="0.3">
      <c r="A79" t="s">
        <v>55</v>
      </c>
      <c r="B79" t="s">
        <v>55</v>
      </c>
      <c r="C79" t="s">
        <v>56</v>
      </c>
      <c r="D79" t="s">
        <v>199</v>
      </c>
      <c r="E79">
        <v>78</v>
      </c>
      <c r="F79" t="s">
        <v>200</v>
      </c>
      <c r="G79" t="s">
        <v>133</v>
      </c>
      <c r="H79" t="s">
        <v>68</v>
      </c>
      <c r="I79" s="4">
        <v>45811</v>
      </c>
      <c r="J79" s="4"/>
      <c r="K79" t="s">
        <v>61</v>
      </c>
      <c r="L79" t="s">
        <v>42</v>
      </c>
      <c r="M79" t="s">
        <v>43</v>
      </c>
      <c r="N79" s="5">
        <f t="shared" si="7"/>
        <v>7633.5983615999994</v>
      </c>
      <c r="O79" s="5">
        <v>4681.28</v>
      </c>
      <c r="P79" s="5">
        <v>1969.39</v>
      </c>
      <c r="Q79" s="5">
        <v>0</v>
      </c>
      <c r="R79" s="5">
        <v>0</v>
      </c>
      <c r="S79" s="5">
        <v>982.92836159999979</v>
      </c>
      <c r="T79" s="5">
        <v>0</v>
      </c>
      <c r="U79">
        <v>1222.8</v>
      </c>
      <c r="V79">
        <v>0</v>
      </c>
      <c r="X79" t="s">
        <v>44</v>
      </c>
      <c r="Y79" t="s">
        <v>44</v>
      </c>
      <c r="Z79">
        <v>15000</v>
      </c>
      <c r="AD79" t="s">
        <v>88</v>
      </c>
      <c r="AE79" t="s">
        <v>46</v>
      </c>
      <c r="AF79" s="5">
        <f t="shared" si="8"/>
        <v>8856.3983615999987</v>
      </c>
      <c r="AG79">
        <f t="shared" si="5"/>
        <v>15000</v>
      </c>
      <c r="AH79" s="5">
        <f t="shared" si="6"/>
        <v>23856.398361599997</v>
      </c>
      <c r="AJ79" t="s">
        <v>54</v>
      </c>
    </row>
    <row r="80" spans="1:36" x14ac:dyDescent="0.3">
      <c r="A80" t="s">
        <v>55</v>
      </c>
      <c r="B80" t="s">
        <v>201</v>
      </c>
      <c r="C80" t="s">
        <v>56</v>
      </c>
      <c r="E80">
        <v>79</v>
      </c>
      <c r="F80" t="s">
        <v>202</v>
      </c>
      <c r="G80" t="s">
        <v>203</v>
      </c>
      <c r="H80" t="s">
        <v>40</v>
      </c>
      <c r="I80" s="4">
        <v>45812</v>
      </c>
      <c r="J80" s="4">
        <v>46121</v>
      </c>
      <c r="K80" t="s">
        <v>41</v>
      </c>
      <c r="L80" t="s">
        <v>42</v>
      </c>
      <c r="M80" t="s">
        <v>43</v>
      </c>
      <c r="N80" s="5">
        <f t="shared" si="7"/>
        <v>5081.8739999999998</v>
      </c>
      <c r="O80" s="5">
        <v>4200</v>
      </c>
      <c r="P80" s="5">
        <v>0</v>
      </c>
      <c r="Q80" s="5">
        <v>0</v>
      </c>
      <c r="R80" s="5">
        <v>0</v>
      </c>
      <c r="S80" s="5">
        <v>881.87399999999991</v>
      </c>
      <c r="T80" s="5">
        <v>0</v>
      </c>
      <c r="U80">
        <v>0</v>
      </c>
      <c r="V80">
        <v>0</v>
      </c>
      <c r="X80">
        <v>0</v>
      </c>
      <c r="Y80" t="s">
        <v>44</v>
      </c>
      <c r="AD80" t="s">
        <v>88</v>
      </c>
      <c r="AE80" t="s">
        <v>46</v>
      </c>
      <c r="AF80" s="5">
        <f t="shared" si="8"/>
        <v>5081.8739999999998</v>
      </c>
      <c r="AG80">
        <f t="shared" si="5"/>
        <v>0</v>
      </c>
      <c r="AH80" s="5">
        <f t="shared" si="6"/>
        <v>5081.8739999999998</v>
      </c>
      <c r="AJ80" t="s">
        <v>54</v>
      </c>
    </row>
    <row r="81" spans="1:36" x14ac:dyDescent="0.3">
      <c r="A81" t="s">
        <v>55</v>
      </c>
      <c r="B81" t="s">
        <v>55</v>
      </c>
      <c r="C81" t="s">
        <v>56</v>
      </c>
      <c r="E81">
        <v>80</v>
      </c>
      <c r="F81" t="s">
        <v>204</v>
      </c>
      <c r="G81" t="s">
        <v>139</v>
      </c>
      <c r="H81" t="s">
        <v>40</v>
      </c>
      <c r="I81" s="4">
        <v>45811</v>
      </c>
      <c r="J81" s="4">
        <v>45841</v>
      </c>
      <c r="K81" t="s">
        <v>41</v>
      </c>
      <c r="L81" t="s">
        <v>42</v>
      </c>
      <c r="M81" t="s">
        <v>43</v>
      </c>
      <c r="N81" s="5">
        <f t="shared" si="7"/>
        <v>3862.6961283000001</v>
      </c>
      <c r="O81" s="5">
        <v>3192.39</v>
      </c>
      <c r="P81" s="5">
        <v>0</v>
      </c>
      <c r="Q81" s="5">
        <v>0</v>
      </c>
      <c r="R81" s="5">
        <v>0</v>
      </c>
      <c r="S81" s="5">
        <v>670.30612829999995</v>
      </c>
      <c r="T81" s="5">
        <v>0</v>
      </c>
      <c r="U81">
        <v>0</v>
      </c>
      <c r="V81">
        <v>0</v>
      </c>
      <c r="X81">
        <v>0</v>
      </c>
      <c r="Y81" t="s">
        <v>44</v>
      </c>
      <c r="AD81" t="s">
        <v>45</v>
      </c>
      <c r="AE81" t="s">
        <v>46</v>
      </c>
      <c r="AF81" s="5">
        <f t="shared" si="8"/>
        <v>3862.6961283000001</v>
      </c>
      <c r="AG81">
        <f t="shared" si="5"/>
        <v>0</v>
      </c>
      <c r="AH81" s="5">
        <f t="shared" si="6"/>
        <v>3862.6961283000001</v>
      </c>
      <c r="AJ81" t="s">
        <v>54</v>
      </c>
    </row>
    <row r="82" spans="1:36" x14ac:dyDescent="0.3">
      <c r="A82" t="s">
        <v>55</v>
      </c>
      <c r="B82" t="s">
        <v>55</v>
      </c>
      <c r="C82" t="s">
        <v>56</v>
      </c>
      <c r="E82">
        <v>81</v>
      </c>
      <c r="F82" t="s">
        <v>205</v>
      </c>
      <c r="G82" t="s">
        <v>177</v>
      </c>
      <c r="H82" t="s">
        <v>40</v>
      </c>
      <c r="I82" s="4">
        <v>45812</v>
      </c>
      <c r="J82" s="4">
        <v>45870</v>
      </c>
      <c r="K82" t="s">
        <v>41</v>
      </c>
      <c r="L82" t="s">
        <v>42</v>
      </c>
      <c r="M82" t="s">
        <v>43</v>
      </c>
      <c r="N82" s="5">
        <f t="shared" si="7"/>
        <v>5879.8368704999993</v>
      </c>
      <c r="O82" s="5">
        <v>3192.39</v>
      </c>
      <c r="P82" s="5">
        <v>0</v>
      </c>
      <c r="Q82" s="5">
        <v>0.54</v>
      </c>
      <c r="R82" s="5">
        <v>1489.68</v>
      </c>
      <c r="S82" s="5">
        <v>1257.2268704999999</v>
      </c>
      <c r="T82" s="5">
        <v>60</v>
      </c>
      <c r="U82">
        <v>0</v>
      </c>
      <c r="V82">
        <v>0</v>
      </c>
      <c r="X82">
        <v>0</v>
      </c>
      <c r="Y82" t="s">
        <v>44</v>
      </c>
      <c r="AD82" t="s">
        <v>45</v>
      </c>
      <c r="AE82" t="s">
        <v>46</v>
      </c>
      <c r="AF82" s="5">
        <f t="shared" si="8"/>
        <v>5879.8368704999993</v>
      </c>
      <c r="AG82">
        <f t="shared" si="5"/>
        <v>0</v>
      </c>
      <c r="AH82" s="5">
        <f t="shared" si="6"/>
        <v>5879.8368704999993</v>
      </c>
      <c r="AJ82" t="s">
        <v>54</v>
      </c>
    </row>
    <row r="83" spans="1:36" x14ac:dyDescent="0.3">
      <c r="A83" t="s">
        <v>55</v>
      </c>
      <c r="B83" t="s">
        <v>55</v>
      </c>
      <c r="C83" t="s">
        <v>56</v>
      </c>
      <c r="D83" t="s">
        <v>57</v>
      </c>
      <c r="E83">
        <v>82</v>
      </c>
      <c r="F83" t="s">
        <v>206</v>
      </c>
      <c r="G83" t="s">
        <v>207</v>
      </c>
      <c r="H83" t="s">
        <v>68</v>
      </c>
      <c r="I83" s="4">
        <v>45811</v>
      </c>
      <c r="J83" s="4"/>
      <c r="K83" t="s">
        <v>61</v>
      </c>
      <c r="L83" t="s">
        <v>42</v>
      </c>
      <c r="M83" t="s">
        <v>43</v>
      </c>
      <c r="N83" s="5">
        <f t="shared" si="7"/>
        <v>9729.1476629999997</v>
      </c>
      <c r="O83" s="5">
        <v>5377.9</v>
      </c>
      <c r="P83" s="5">
        <v>3222.05</v>
      </c>
      <c r="Q83" s="5">
        <v>0</v>
      </c>
      <c r="R83" s="5">
        <v>0</v>
      </c>
      <c r="S83" s="5">
        <v>1129.1976629999999</v>
      </c>
      <c r="T83" s="5">
        <v>0</v>
      </c>
      <c r="U83">
        <v>1376.7599999999998</v>
      </c>
      <c r="V83">
        <v>0</v>
      </c>
      <c r="X83" t="s">
        <v>44</v>
      </c>
      <c r="Y83" t="s">
        <v>44</v>
      </c>
      <c r="AD83" t="s">
        <v>45</v>
      </c>
      <c r="AE83" t="s">
        <v>46</v>
      </c>
      <c r="AF83" s="5">
        <f t="shared" si="8"/>
        <v>11105.907663</v>
      </c>
      <c r="AG83">
        <f t="shared" si="5"/>
        <v>0</v>
      </c>
      <c r="AH83" s="5">
        <f t="shared" si="6"/>
        <v>11105.907663</v>
      </c>
      <c r="AJ83" t="s">
        <v>54</v>
      </c>
    </row>
    <row r="84" spans="1:36" x14ac:dyDescent="0.3">
      <c r="A84" t="s">
        <v>55</v>
      </c>
      <c r="B84" t="s">
        <v>55</v>
      </c>
      <c r="C84" t="s">
        <v>56</v>
      </c>
      <c r="D84" t="s">
        <v>93</v>
      </c>
      <c r="E84">
        <v>83</v>
      </c>
      <c r="F84" t="s">
        <v>208</v>
      </c>
      <c r="G84" t="s">
        <v>209</v>
      </c>
      <c r="H84" t="s">
        <v>60</v>
      </c>
      <c r="I84" s="4">
        <v>45817</v>
      </c>
      <c r="J84" s="4"/>
      <c r="K84" t="s">
        <v>61</v>
      </c>
      <c r="L84" t="s">
        <v>42</v>
      </c>
      <c r="M84" t="s">
        <v>43</v>
      </c>
      <c r="N84" s="5">
        <f t="shared" si="7"/>
        <v>4644.9796408999991</v>
      </c>
      <c r="O84" s="5">
        <v>2801.97</v>
      </c>
      <c r="P84" s="5">
        <v>1254.6799999999998</v>
      </c>
      <c r="Q84" s="5">
        <v>0</v>
      </c>
      <c r="R84" s="5">
        <v>0</v>
      </c>
      <c r="S84" s="5">
        <v>588.32964089999996</v>
      </c>
      <c r="T84" s="5">
        <v>0</v>
      </c>
      <c r="U84">
        <v>1312.12</v>
      </c>
      <c r="V84">
        <v>0</v>
      </c>
      <c r="X84" t="s">
        <v>44</v>
      </c>
      <c r="Y84" t="s">
        <v>44</v>
      </c>
      <c r="AD84" t="s">
        <v>45</v>
      </c>
      <c r="AE84" t="s">
        <v>46</v>
      </c>
      <c r="AF84" s="5">
        <f t="shared" si="8"/>
        <v>5957.099640899999</v>
      </c>
      <c r="AG84">
        <f t="shared" si="5"/>
        <v>0</v>
      </c>
      <c r="AH84" s="5">
        <f t="shared" si="6"/>
        <v>5957.099640899999</v>
      </c>
      <c r="AJ84" t="s">
        <v>54</v>
      </c>
    </row>
    <row r="85" spans="1:36" x14ac:dyDescent="0.3">
      <c r="A85" t="s">
        <v>55</v>
      </c>
      <c r="B85" t="s">
        <v>55</v>
      </c>
      <c r="C85" t="s">
        <v>56</v>
      </c>
      <c r="E85">
        <v>84</v>
      </c>
      <c r="F85" t="s">
        <v>210</v>
      </c>
      <c r="G85" t="s">
        <v>209</v>
      </c>
      <c r="H85" t="s">
        <v>40</v>
      </c>
      <c r="I85" s="4">
        <v>45817</v>
      </c>
      <c r="J85" s="4">
        <v>45852</v>
      </c>
      <c r="K85" t="s">
        <v>41</v>
      </c>
      <c r="L85" t="s">
        <v>42</v>
      </c>
      <c r="M85" t="s">
        <v>43</v>
      </c>
      <c r="N85" s="5">
        <f t="shared" si="7"/>
        <v>3331.3292957999997</v>
      </c>
      <c r="O85" s="5">
        <v>2664.74</v>
      </c>
      <c r="P85" s="5">
        <v>0</v>
      </c>
      <c r="Q85" s="5">
        <v>0</v>
      </c>
      <c r="R85" s="5">
        <v>451.4</v>
      </c>
      <c r="S85" s="5">
        <v>560.6492958</v>
      </c>
      <c r="T85" s="5">
        <v>345.46000000000004</v>
      </c>
      <c r="U85">
        <v>0</v>
      </c>
      <c r="V85">
        <v>0</v>
      </c>
      <c r="X85">
        <v>0</v>
      </c>
      <c r="Y85" t="s">
        <v>44</v>
      </c>
      <c r="AD85" t="s">
        <v>45</v>
      </c>
      <c r="AE85" t="s">
        <v>46</v>
      </c>
      <c r="AF85" s="5">
        <f t="shared" si="8"/>
        <v>3331.3292957999997</v>
      </c>
      <c r="AG85">
        <f t="shared" si="5"/>
        <v>0</v>
      </c>
      <c r="AH85" s="5">
        <f t="shared" si="6"/>
        <v>3331.3292957999997</v>
      </c>
      <c r="AJ85" t="s">
        <v>54</v>
      </c>
    </row>
    <row r="86" spans="1:36" x14ac:dyDescent="0.3">
      <c r="A86" t="s">
        <v>55</v>
      </c>
      <c r="B86" t="s">
        <v>55</v>
      </c>
      <c r="C86" t="s">
        <v>56</v>
      </c>
      <c r="D86" t="s">
        <v>57</v>
      </c>
      <c r="E86">
        <v>85</v>
      </c>
      <c r="F86" t="s">
        <v>211</v>
      </c>
      <c r="G86" t="s">
        <v>207</v>
      </c>
      <c r="H86" t="s">
        <v>60</v>
      </c>
      <c r="I86" s="4">
        <v>45817</v>
      </c>
      <c r="J86" s="4"/>
      <c r="K86" t="s">
        <v>61</v>
      </c>
      <c r="L86" t="s">
        <v>42</v>
      </c>
      <c r="M86" t="s">
        <v>43</v>
      </c>
      <c r="N86" s="5">
        <f t="shared" si="7"/>
        <v>10671.219837799999</v>
      </c>
      <c r="O86" s="5">
        <v>5377.9</v>
      </c>
      <c r="P86" s="5">
        <v>3164.35</v>
      </c>
      <c r="Q86" s="5">
        <v>25.14</v>
      </c>
      <c r="R86" s="5">
        <v>570.86</v>
      </c>
      <c r="S86" s="5">
        <v>1578.7098377999998</v>
      </c>
      <c r="T86" s="5">
        <v>45.74</v>
      </c>
      <c r="U86">
        <v>1358.9999999999998</v>
      </c>
      <c r="V86">
        <v>0</v>
      </c>
      <c r="X86" t="s">
        <v>44</v>
      </c>
      <c r="Y86" t="s">
        <v>44</v>
      </c>
      <c r="AD86" t="s">
        <v>45</v>
      </c>
      <c r="AE86" t="s">
        <v>46</v>
      </c>
      <c r="AF86" s="5">
        <f t="shared" si="8"/>
        <v>12030.219837799999</v>
      </c>
      <c r="AG86">
        <f t="shared" si="5"/>
        <v>0</v>
      </c>
      <c r="AH86" s="5">
        <f t="shared" si="6"/>
        <v>12030.219837799999</v>
      </c>
      <c r="AJ86" t="s">
        <v>54</v>
      </c>
    </row>
    <row r="87" spans="1:36" x14ac:dyDescent="0.3">
      <c r="A87" t="s">
        <v>55</v>
      </c>
      <c r="B87" t="s">
        <v>55</v>
      </c>
      <c r="C87" t="s">
        <v>56</v>
      </c>
      <c r="E87">
        <v>86</v>
      </c>
      <c r="F87" t="s">
        <v>212</v>
      </c>
      <c r="G87" t="s">
        <v>82</v>
      </c>
      <c r="H87" t="s">
        <v>40</v>
      </c>
      <c r="I87" s="4">
        <v>45817</v>
      </c>
      <c r="J87" s="4">
        <v>45873</v>
      </c>
      <c r="K87" t="s">
        <v>41</v>
      </c>
      <c r="L87" t="s">
        <v>42</v>
      </c>
      <c r="M87" t="s">
        <v>43</v>
      </c>
      <c r="N87" s="5">
        <f t="shared" si="7"/>
        <v>2649.7980008999998</v>
      </c>
      <c r="O87" s="5">
        <v>2189.9699999999998</v>
      </c>
      <c r="P87" s="5">
        <v>0</v>
      </c>
      <c r="Q87" s="5">
        <v>0</v>
      </c>
      <c r="R87" s="5">
        <v>0</v>
      </c>
      <c r="S87" s="5">
        <v>459.82800089999995</v>
      </c>
      <c r="T87" s="5">
        <v>0</v>
      </c>
      <c r="U87">
        <v>0</v>
      </c>
      <c r="V87">
        <v>0</v>
      </c>
      <c r="X87">
        <v>0</v>
      </c>
      <c r="Y87" t="s">
        <v>44</v>
      </c>
      <c r="AD87" t="s">
        <v>45</v>
      </c>
      <c r="AE87" t="s">
        <v>46</v>
      </c>
      <c r="AF87" s="5">
        <f t="shared" si="8"/>
        <v>2649.7980008999998</v>
      </c>
      <c r="AG87">
        <f t="shared" si="5"/>
        <v>0</v>
      </c>
      <c r="AH87" s="5">
        <f t="shared" si="6"/>
        <v>2649.7980008999998</v>
      </c>
      <c r="AJ87" t="s">
        <v>54</v>
      </c>
    </row>
    <row r="88" spans="1:36" x14ac:dyDescent="0.3">
      <c r="A88" t="s">
        <v>36</v>
      </c>
      <c r="B88" t="s">
        <v>76</v>
      </c>
      <c r="C88" t="s">
        <v>37</v>
      </c>
      <c r="D88" t="s">
        <v>213</v>
      </c>
      <c r="E88">
        <v>87</v>
      </c>
      <c r="F88" t="s">
        <v>214</v>
      </c>
      <c r="G88" t="s">
        <v>78</v>
      </c>
      <c r="H88" t="s">
        <v>60</v>
      </c>
      <c r="I88" s="4">
        <v>45819</v>
      </c>
      <c r="J88" s="4"/>
      <c r="K88" t="s">
        <v>61</v>
      </c>
      <c r="L88" t="s">
        <v>42</v>
      </c>
      <c r="M88" t="s">
        <v>43</v>
      </c>
      <c r="N88" s="5">
        <f t="shared" si="7"/>
        <v>4708.4896408999994</v>
      </c>
      <c r="O88" s="5">
        <v>2801.97</v>
      </c>
      <c r="P88" s="5">
        <v>1318.19</v>
      </c>
      <c r="Q88" s="5">
        <v>0</v>
      </c>
      <c r="R88" s="5">
        <v>0</v>
      </c>
      <c r="S88" s="5">
        <v>588.32964089999996</v>
      </c>
      <c r="T88" s="5">
        <v>0</v>
      </c>
      <c r="U88">
        <v>1345.6799999999998</v>
      </c>
      <c r="V88">
        <v>0</v>
      </c>
      <c r="X88" t="s">
        <v>44</v>
      </c>
      <c r="Y88" t="s">
        <v>44</v>
      </c>
      <c r="AD88" t="s">
        <v>45</v>
      </c>
      <c r="AE88" t="s">
        <v>46</v>
      </c>
      <c r="AF88" s="5">
        <f t="shared" si="8"/>
        <v>6054.1696408999996</v>
      </c>
      <c r="AG88">
        <f t="shared" si="5"/>
        <v>0</v>
      </c>
      <c r="AH88" s="5">
        <f t="shared" si="6"/>
        <v>6054.1696408999996</v>
      </c>
      <c r="AJ88" t="s">
        <v>54</v>
      </c>
    </row>
    <row r="89" spans="1:36" x14ac:dyDescent="0.3">
      <c r="A89" t="s">
        <v>55</v>
      </c>
      <c r="B89" t="s">
        <v>55</v>
      </c>
      <c r="C89" t="s">
        <v>56</v>
      </c>
      <c r="D89" t="s">
        <v>57</v>
      </c>
      <c r="E89">
        <v>88</v>
      </c>
      <c r="F89" t="s">
        <v>215</v>
      </c>
      <c r="G89" t="s">
        <v>106</v>
      </c>
      <c r="H89" t="s">
        <v>60</v>
      </c>
      <c r="I89" s="4">
        <v>45819</v>
      </c>
      <c r="J89" s="4"/>
      <c r="K89" t="s">
        <v>61</v>
      </c>
      <c r="L89" t="s">
        <v>42</v>
      </c>
      <c r="M89" t="s">
        <v>43</v>
      </c>
      <c r="N89" s="5">
        <f t="shared" si="7"/>
        <v>9465.9548811000004</v>
      </c>
      <c r="O89" s="5">
        <v>5377.9</v>
      </c>
      <c r="P89" s="5">
        <v>1837.6</v>
      </c>
      <c r="Q89" s="5">
        <v>327.26</v>
      </c>
      <c r="R89" s="5">
        <v>433.25</v>
      </c>
      <c r="S89" s="5">
        <v>1591.7048811</v>
      </c>
      <c r="T89" s="5">
        <v>101.75999999999999</v>
      </c>
      <c r="U89">
        <v>1312.12</v>
      </c>
      <c r="V89">
        <v>0</v>
      </c>
      <c r="W89">
        <v>300</v>
      </c>
      <c r="X89" t="s">
        <v>44</v>
      </c>
      <c r="Y89" t="s">
        <v>44</v>
      </c>
      <c r="AD89" t="s">
        <v>45</v>
      </c>
      <c r="AE89" t="s">
        <v>46</v>
      </c>
      <c r="AF89" s="5">
        <f t="shared" si="8"/>
        <v>11078.074881100001</v>
      </c>
      <c r="AG89">
        <f t="shared" si="5"/>
        <v>0</v>
      </c>
      <c r="AH89" s="5">
        <f t="shared" si="6"/>
        <v>11078.074881100001</v>
      </c>
      <c r="AJ89" t="s">
        <v>54</v>
      </c>
    </row>
    <row r="90" spans="1:36" x14ac:dyDescent="0.3">
      <c r="A90" t="s">
        <v>55</v>
      </c>
      <c r="B90" t="s">
        <v>55</v>
      </c>
      <c r="C90" t="s">
        <v>56</v>
      </c>
      <c r="D90" t="s">
        <v>129</v>
      </c>
      <c r="E90">
        <v>89</v>
      </c>
      <c r="F90" t="s">
        <v>216</v>
      </c>
      <c r="G90" t="s">
        <v>139</v>
      </c>
      <c r="H90" t="s">
        <v>60</v>
      </c>
      <c r="I90" s="4">
        <v>45819</v>
      </c>
      <c r="J90" s="4"/>
      <c r="K90" t="s">
        <v>61</v>
      </c>
      <c r="L90" t="s">
        <v>42</v>
      </c>
      <c r="M90" t="s">
        <v>43</v>
      </c>
      <c r="N90" s="5">
        <f t="shared" si="7"/>
        <v>5873.1972960000003</v>
      </c>
      <c r="O90" s="5">
        <v>3356.8</v>
      </c>
      <c r="P90" s="5">
        <v>1811.57</v>
      </c>
      <c r="Q90" s="5">
        <v>0</v>
      </c>
      <c r="R90" s="5">
        <v>0</v>
      </c>
      <c r="S90" s="5">
        <v>704.82729600000005</v>
      </c>
      <c r="T90" s="5">
        <v>0</v>
      </c>
      <c r="U90">
        <v>1265.2399999999998</v>
      </c>
      <c r="V90">
        <v>0</v>
      </c>
      <c r="X90" t="s">
        <v>44</v>
      </c>
      <c r="Y90" t="s">
        <v>44</v>
      </c>
      <c r="Z90">
        <v>15000</v>
      </c>
      <c r="AD90" t="s">
        <v>65</v>
      </c>
      <c r="AE90" t="s">
        <v>46</v>
      </c>
      <c r="AF90" s="5">
        <f t="shared" si="8"/>
        <v>7138.4372960000001</v>
      </c>
      <c r="AG90">
        <f t="shared" si="5"/>
        <v>15000</v>
      </c>
      <c r="AH90" s="5">
        <f t="shared" si="6"/>
        <v>22138.437296</v>
      </c>
      <c r="AJ90" t="s">
        <v>54</v>
      </c>
    </row>
    <row r="91" spans="1:36" x14ac:dyDescent="0.3">
      <c r="A91" t="s">
        <v>55</v>
      </c>
      <c r="B91" t="s">
        <v>55</v>
      </c>
      <c r="C91" t="s">
        <v>56</v>
      </c>
      <c r="E91">
        <v>90</v>
      </c>
      <c r="F91" t="s">
        <v>217</v>
      </c>
      <c r="G91" t="s">
        <v>133</v>
      </c>
      <c r="H91" t="s">
        <v>40</v>
      </c>
      <c r="I91" s="4">
        <v>45831</v>
      </c>
      <c r="J91" s="4">
        <v>45887</v>
      </c>
      <c r="K91" t="s">
        <v>41</v>
      </c>
      <c r="L91" t="s">
        <v>42</v>
      </c>
      <c r="M91" t="s">
        <v>43</v>
      </c>
      <c r="N91" s="5">
        <f t="shared" si="7"/>
        <v>5386.7864399999999</v>
      </c>
      <c r="O91" s="5">
        <v>4452</v>
      </c>
      <c r="P91" s="5">
        <v>0</v>
      </c>
      <c r="Q91" s="5">
        <v>0</v>
      </c>
      <c r="R91" s="5">
        <v>0</v>
      </c>
      <c r="S91" s="5">
        <v>934.78643999999997</v>
      </c>
      <c r="T91" s="5">
        <v>0</v>
      </c>
      <c r="U91">
        <v>0</v>
      </c>
      <c r="V91">
        <v>0</v>
      </c>
      <c r="X91">
        <v>0</v>
      </c>
      <c r="Y91" t="s">
        <v>44</v>
      </c>
      <c r="AD91" t="s">
        <v>45</v>
      </c>
      <c r="AE91" t="s">
        <v>46</v>
      </c>
      <c r="AF91" s="5">
        <f t="shared" si="8"/>
        <v>5386.7864399999999</v>
      </c>
      <c r="AG91">
        <f t="shared" si="5"/>
        <v>0</v>
      </c>
      <c r="AH91" s="5">
        <f t="shared" si="6"/>
        <v>5386.7864399999999</v>
      </c>
      <c r="AJ91" t="s">
        <v>54</v>
      </c>
    </row>
    <row r="92" spans="1:36" x14ac:dyDescent="0.3">
      <c r="A92" t="s">
        <v>55</v>
      </c>
      <c r="B92" t="s">
        <v>55</v>
      </c>
      <c r="C92" t="s">
        <v>56</v>
      </c>
      <c r="D92" t="s">
        <v>57</v>
      </c>
      <c r="E92">
        <v>91</v>
      </c>
      <c r="F92" t="s">
        <v>218</v>
      </c>
      <c r="G92" t="s">
        <v>219</v>
      </c>
      <c r="H92" t="s">
        <v>68</v>
      </c>
      <c r="I92" s="4">
        <v>45840</v>
      </c>
      <c r="J92" s="4"/>
      <c r="K92" t="s">
        <v>61</v>
      </c>
      <c r="L92" t="s">
        <v>42</v>
      </c>
      <c r="M92" t="s">
        <v>43</v>
      </c>
      <c r="N92" s="5">
        <f t="shared" si="7"/>
        <v>6885.3678073999999</v>
      </c>
      <c r="O92" s="5">
        <v>3364.8</v>
      </c>
      <c r="P92" s="5">
        <v>1239.3699999999999</v>
      </c>
      <c r="Q92" s="5">
        <v>832.85</v>
      </c>
      <c r="R92" s="5">
        <v>390.69</v>
      </c>
      <c r="S92" s="5">
        <v>1122.5878074</v>
      </c>
      <c r="T92" s="5">
        <v>64.930000000000007</v>
      </c>
      <c r="U92">
        <v>1320.9999999999998</v>
      </c>
      <c r="V92">
        <v>0</v>
      </c>
      <c r="X92" t="s">
        <v>44</v>
      </c>
      <c r="Y92" t="s">
        <v>44</v>
      </c>
      <c r="AD92" t="s">
        <v>45</v>
      </c>
      <c r="AE92" t="s">
        <v>46</v>
      </c>
      <c r="AF92" s="5">
        <f t="shared" si="8"/>
        <v>8206.3678073999999</v>
      </c>
      <c r="AG92">
        <f t="shared" si="5"/>
        <v>0</v>
      </c>
      <c r="AH92" s="5">
        <f t="shared" si="6"/>
        <v>8206.3678073999999</v>
      </c>
      <c r="AJ92" t="s">
        <v>54</v>
      </c>
    </row>
    <row r="93" spans="1:36" x14ac:dyDescent="0.3">
      <c r="A93" t="s">
        <v>55</v>
      </c>
      <c r="B93" t="s">
        <v>55</v>
      </c>
      <c r="C93" t="s">
        <v>56</v>
      </c>
      <c r="E93">
        <v>92</v>
      </c>
      <c r="F93" t="s">
        <v>220</v>
      </c>
      <c r="G93" t="s">
        <v>139</v>
      </c>
      <c r="H93" t="s">
        <v>40</v>
      </c>
      <c r="I93" s="4">
        <v>45840</v>
      </c>
      <c r="J93" s="4">
        <v>45908</v>
      </c>
      <c r="K93" t="s">
        <v>41</v>
      </c>
      <c r="L93" t="s">
        <v>42</v>
      </c>
      <c r="M93" t="s">
        <v>43</v>
      </c>
      <c r="N93" s="5">
        <f t="shared" si="7"/>
        <v>5074.4960392999992</v>
      </c>
      <c r="O93" s="5">
        <v>3192.39</v>
      </c>
      <c r="P93" s="5">
        <v>0</v>
      </c>
      <c r="Q93" s="5">
        <v>564.20000000000005</v>
      </c>
      <c r="R93" s="5">
        <v>391.49</v>
      </c>
      <c r="S93" s="5">
        <v>971.88603929999988</v>
      </c>
      <c r="T93" s="5">
        <v>45.47</v>
      </c>
      <c r="U93">
        <v>0</v>
      </c>
      <c r="V93">
        <v>0</v>
      </c>
      <c r="X93">
        <v>0</v>
      </c>
      <c r="Y93" t="s">
        <v>44</v>
      </c>
      <c r="AD93" t="s">
        <v>45</v>
      </c>
      <c r="AE93" t="s">
        <v>46</v>
      </c>
      <c r="AF93" s="5">
        <f t="shared" si="8"/>
        <v>5074.4960392999992</v>
      </c>
      <c r="AG93">
        <f t="shared" si="5"/>
        <v>0</v>
      </c>
      <c r="AH93" s="5">
        <f t="shared" si="6"/>
        <v>5074.4960392999992</v>
      </c>
      <c r="AJ93" t="s">
        <v>54</v>
      </c>
    </row>
    <row r="94" spans="1:36" s="6" customFormat="1" x14ac:dyDescent="0.3">
      <c r="A94" s="6" t="s">
        <v>89</v>
      </c>
      <c r="B94" s="6" t="s">
        <v>90</v>
      </c>
      <c r="C94" s="6" t="s">
        <v>37</v>
      </c>
      <c r="E94" s="6">
        <v>93</v>
      </c>
      <c r="F94" s="6" t="s">
        <v>221</v>
      </c>
      <c r="G94" s="6" t="s">
        <v>222</v>
      </c>
      <c r="H94" t="s">
        <v>60</v>
      </c>
      <c r="I94" s="4">
        <v>45840</v>
      </c>
      <c r="J94" s="4"/>
      <c r="K94" s="6" t="s">
        <v>61</v>
      </c>
      <c r="L94" t="s">
        <v>42</v>
      </c>
      <c r="M94" s="6" t="s">
        <v>43</v>
      </c>
      <c r="N94" s="5">
        <f t="shared" si="7"/>
        <v>15431.6029203</v>
      </c>
      <c r="O94" s="5">
        <v>8022.95</v>
      </c>
      <c r="P94" s="5">
        <v>3323.0799999999995</v>
      </c>
      <c r="Q94" s="5">
        <v>484.2</v>
      </c>
      <c r="R94" s="5">
        <v>1320.25</v>
      </c>
      <c r="S94" s="5">
        <v>2344.5229202999999</v>
      </c>
      <c r="T94" s="5">
        <v>63.4</v>
      </c>
      <c r="U94" s="6">
        <v>1312.12</v>
      </c>
      <c r="V94" s="6">
        <v>2000</v>
      </c>
      <c r="W94" s="6">
        <v>900</v>
      </c>
      <c r="X94" s="6" t="s">
        <v>223</v>
      </c>
      <c r="Y94" s="6" t="s">
        <v>224</v>
      </c>
      <c r="AA94" s="6" t="s">
        <v>225</v>
      </c>
      <c r="AD94" s="6" t="s">
        <v>45</v>
      </c>
      <c r="AE94" s="6" t="s">
        <v>46</v>
      </c>
      <c r="AF94" s="7">
        <f t="shared" si="8"/>
        <v>17643.722920299999</v>
      </c>
      <c r="AG94" s="6">
        <f t="shared" si="5"/>
        <v>2000</v>
      </c>
      <c r="AH94" s="7">
        <f t="shared" si="6"/>
        <v>19643.722920299999</v>
      </c>
      <c r="AJ94" s="6" t="s">
        <v>47</v>
      </c>
    </row>
    <row r="95" spans="1:36" x14ac:dyDescent="0.3">
      <c r="A95" t="s">
        <v>55</v>
      </c>
      <c r="B95" t="s">
        <v>55</v>
      </c>
      <c r="C95" t="s">
        <v>56</v>
      </c>
      <c r="E95">
        <v>94</v>
      </c>
      <c r="F95" t="s">
        <v>226</v>
      </c>
      <c r="G95" t="s">
        <v>135</v>
      </c>
      <c r="H95" t="s">
        <v>40</v>
      </c>
      <c r="I95" s="4">
        <v>45840</v>
      </c>
      <c r="J95" s="4">
        <v>45887</v>
      </c>
      <c r="K95" t="s">
        <v>41</v>
      </c>
      <c r="L95" t="s">
        <v>42</v>
      </c>
      <c r="M95" t="s">
        <v>43</v>
      </c>
      <c r="N95" s="5">
        <f t="shared" si="7"/>
        <v>8399.6553306999995</v>
      </c>
      <c r="O95" s="5">
        <v>6148</v>
      </c>
      <c r="P95" s="5">
        <v>0</v>
      </c>
      <c r="Q95" s="5">
        <v>336.97999999999996</v>
      </c>
      <c r="R95" s="5">
        <v>409.23</v>
      </c>
      <c r="S95" s="5">
        <v>1678.1453306999999</v>
      </c>
      <c r="T95" s="5">
        <v>172.7</v>
      </c>
      <c r="U95">
        <v>0</v>
      </c>
      <c r="V95">
        <v>0</v>
      </c>
      <c r="X95">
        <v>0</v>
      </c>
      <c r="Y95" t="s">
        <v>44</v>
      </c>
      <c r="AD95" t="s">
        <v>45</v>
      </c>
      <c r="AE95" t="s">
        <v>46</v>
      </c>
      <c r="AF95" s="5">
        <f t="shared" si="8"/>
        <v>8399.6553306999995</v>
      </c>
      <c r="AG95">
        <f t="shared" si="5"/>
        <v>0</v>
      </c>
      <c r="AH95" s="5">
        <f t="shared" si="6"/>
        <v>8399.6553306999995</v>
      </c>
      <c r="AJ95" t="s">
        <v>54</v>
      </c>
    </row>
    <row r="96" spans="1:36" x14ac:dyDescent="0.3">
      <c r="A96" t="s">
        <v>55</v>
      </c>
      <c r="B96" t="s">
        <v>55</v>
      </c>
      <c r="C96" t="s">
        <v>56</v>
      </c>
      <c r="D96" t="s">
        <v>227</v>
      </c>
      <c r="E96">
        <v>95</v>
      </c>
      <c r="F96" t="s">
        <v>228</v>
      </c>
      <c r="G96" t="s">
        <v>209</v>
      </c>
      <c r="H96" t="s">
        <v>60</v>
      </c>
      <c r="I96" s="4">
        <v>45859</v>
      </c>
      <c r="J96" s="4"/>
      <c r="K96" t="s">
        <v>61</v>
      </c>
      <c r="L96" t="s">
        <v>42</v>
      </c>
      <c r="M96" t="s">
        <v>43</v>
      </c>
      <c r="N96" s="5">
        <f t="shared" si="7"/>
        <v>5986.0646589999997</v>
      </c>
      <c r="O96" s="5">
        <v>2801.97</v>
      </c>
      <c r="P96" s="5">
        <v>1868.82</v>
      </c>
      <c r="Q96" s="5">
        <v>206.76</v>
      </c>
      <c r="R96" s="5">
        <v>368.12</v>
      </c>
      <c r="S96" s="5">
        <v>786.27465900000004</v>
      </c>
      <c r="T96" s="5">
        <v>45.88</v>
      </c>
      <c r="U96">
        <v>1350.12</v>
      </c>
      <c r="V96">
        <v>0</v>
      </c>
      <c r="X96" t="s">
        <v>44</v>
      </c>
      <c r="Y96" t="s">
        <v>44</v>
      </c>
      <c r="AD96" t="s">
        <v>45</v>
      </c>
      <c r="AE96" t="s">
        <v>46</v>
      </c>
      <c r="AF96" s="5">
        <f t="shared" si="8"/>
        <v>7336.1846589999996</v>
      </c>
      <c r="AG96">
        <f t="shared" si="5"/>
        <v>0</v>
      </c>
      <c r="AH96" s="5">
        <f t="shared" si="6"/>
        <v>7336.1846589999996</v>
      </c>
      <c r="AJ96" t="s">
        <v>54</v>
      </c>
    </row>
    <row r="97" spans="1:36" x14ac:dyDescent="0.3">
      <c r="A97" t="s">
        <v>55</v>
      </c>
      <c r="B97" t="s">
        <v>55</v>
      </c>
      <c r="C97" t="s">
        <v>56</v>
      </c>
      <c r="E97">
        <v>96</v>
      </c>
      <c r="F97" t="s">
        <v>229</v>
      </c>
      <c r="G97" t="s">
        <v>139</v>
      </c>
      <c r="H97" t="s">
        <v>40</v>
      </c>
      <c r="I97" s="4">
        <v>45861</v>
      </c>
      <c r="J97" s="4">
        <v>45953</v>
      </c>
      <c r="K97" t="s">
        <v>41</v>
      </c>
      <c r="L97" t="s">
        <v>42</v>
      </c>
      <c r="M97" t="s">
        <v>43</v>
      </c>
      <c r="N97" s="5">
        <f t="shared" si="7"/>
        <v>7245.4812358999998</v>
      </c>
      <c r="O97" s="5">
        <v>3192.39</v>
      </c>
      <c r="P97" s="5">
        <v>0</v>
      </c>
      <c r="Q97" s="5">
        <v>400</v>
      </c>
      <c r="R97" s="5">
        <v>2307</v>
      </c>
      <c r="S97" s="5">
        <v>1452.0412358999999</v>
      </c>
      <c r="T97" s="5">
        <v>105.95</v>
      </c>
      <c r="U97">
        <v>0</v>
      </c>
      <c r="V97">
        <v>0</v>
      </c>
      <c r="X97">
        <v>0</v>
      </c>
      <c r="Y97" t="s">
        <v>44</v>
      </c>
      <c r="AD97" t="s">
        <v>45</v>
      </c>
      <c r="AE97" t="s">
        <v>46</v>
      </c>
      <c r="AF97" s="5">
        <f t="shared" si="8"/>
        <v>7245.4812358999998</v>
      </c>
      <c r="AG97">
        <f t="shared" si="5"/>
        <v>0</v>
      </c>
      <c r="AH97" s="5">
        <f t="shared" si="6"/>
        <v>7245.4812358999998</v>
      </c>
      <c r="AJ97" t="s">
        <v>54</v>
      </c>
    </row>
    <row r="98" spans="1:36" x14ac:dyDescent="0.3">
      <c r="A98" t="s">
        <v>55</v>
      </c>
      <c r="B98" t="s">
        <v>230</v>
      </c>
      <c r="C98" t="s">
        <v>56</v>
      </c>
      <c r="E98">
        <v>97</v>
      </c>
      <c r="F98" t="s">
        <v>231</v>
      </c>
      <c r="G98" t="s">
        <v>139</v>
      </c>
      <c r="H98" t="s">
        <v>60</v>
      </c>
      <c r="I98" s="4">
        <v>45861</v>
      </c>
      <c r="J98" s="4">
        <v>46195</v>
      </c>
      <c r="K98" t="s">
        <v>41</v>
      </c>
      <c r="L98" t="s">
        <v>42</v>
      </c>
      <c r="M98" t="s">
        <v>43</v>
      </c>
      <c r="N98" s="5">
        <f t="shared" si="7"/>
        <v>-8244.9927040000002</v>
      </c>
      <c r="O98" s="5">
        <v>3356.8</v>
      </c>
      <c r="P98" s="5">
        <v>275.89</v>
      </c>
      <c r="Q98" s="5">
        <v>0</v>
      </c>
      <c r="R98" s="5">
        <v>0</v>
      </c>
      <c r="S98" s="5">
        <v>704.82729600000005</v>
      </c>
      <c r="T98" s="5">
        <v>12582.51</v>
      </c>
      <c r="U98">
        <v>0</v>
      </c>
      <c r="V98">
        <v>0</v>
      </c>
      <c r="X98" t="s">
        <v>44</v>
      </c>
      <c r="Y98" t="s">
        <v>44</v>
      </c>
      <c r="AD98" t="s">
        <v>65</v>
      </c>
      <c r="AE98" t="s">
        <v>46</v>
      </c>
      <c r="AF98" s="5">
        <f t="shared" si="8"/>
        <v>-8244.9927040000002</v>
      </c>
      <c r="AG98">
        <f t="shared" si="5"/>
        <v>0</v>
      </c>
      <c r="AH98" s="5">
        <f t="shared" si="6"/>
        <v>-8244.9927040000002</v>
      </c>
      <c r="AJ98" t="s">
        <v>54</v>
      </c>
    </row>
    <row r="99" spans="1:36" x14ac:dyDescent="0.3">
      <c r="A99" t="s">
        <v>55</v>
      </c>
      <c r="B99" t="s">
        <v>55</v>
      </c>
      <c r="C99" t="s">
        <v>56</v>
      </c>
      <c r="E99">
        <v>98</v>
      </c>
      <c r="F99" t="s">
        <v>232</v>
      </c>
      <c r="G99" t="s">
        <v>106</v>
      </c>
      <c r="H99" t="s">
        <v>40</v>
      </c>
      <c r="I99" s="4">
        <v>45859</v>
      </c>
      <c r="J99" s="4">
        <v>45940</v>
      </c>
      <c r="K99" t="s">
        <v>41</v>
      </c>
      <c r="L99" t="s">
        <v>42</v>
      </c>
      <c r="M99" t="s">
        <v>43</v>
      </c>
      <c r="N99" s="5">
        <f t="shared" si="7"/>
        <v>7140.2093642</v>
      </c>
      <c r="O99" s="5">
        <v>5114.5</v>
      </c>
      <c r="P99" s="5">
        <v>0</v>
      </c>
      <c r="Q99" s="5">
        <v>160</v>
      </c>
      <c r="R99" s="5">
        <v>507.61</v>
      </c>
      <c r="S99" s="5">
        <v>1408.4493642000002</v>
      </c>
      <c r="T99" s="5">
        <v>50.35</v>
      </c>
      <c r="U99">
        <v>0</v>
      </c>
      <c r="V99">
        <v>0</v>
      </c>
      <c r="X99">
        <v>0</v>
      </c>
      <c r="Y99" t="s">
        <v>44</v>
      </c>
      <c r="AD99" t="s">
        <v>45</v>
      </c>
      <c r="AE99" t="s">
        <v>46</v>
      </c>
      <c r="AF99" s="5">
        <f t="shared" si="8"/>
        <v>7140.2093642</v>
      </c>
      <c r="AG99">
        <f t="shared" si="5"/>
        <v>0</v>
      </c>
      <c r="AH99" s="5">
        <f t="shared" si="6"/>
        <v>7140.2093642</v>
      </c>
      <c r="AJ99" t="s">
        <v>54</v>
      </c>
    </row>
    <row r="100" spans="1:36" x14ac:dyDescent="0.3">
      <c r="A100" t="s">
        <v>55</v>
      </c>
      <c r="B100" t="s">
        <v>55</v>
      </c>
      <c r="C100" t="s">
        <v>56</v>
      </c>
      <c r="D100" t="s">
        <v>57</v>
      </c>
      <c r="E100">
        <v>99</v>
      </c>
      <c r="F100" t="s">
        <v>233</v>
      </c>
      <c r="G100" t="s">
        <v>106</v>
      </c>
      <c r="H100" t="s">
        <v>60</v>
      </c>
      <c r="I100" s="4">
        <v>45859</v>
      </c>
      <c r="J100" s="4"/>
      <c r="K100" t="s">
        <v>61</v>
      </c>
      <c r="L100" t="s">
        <v>42</v>
      </c>
      <c r="M100" t="s">
        <v>43</v>
      </c>
      <c r="N100" s="5">
        <f t="shared" si="7"/>
        <v>9837.327663</v>
      </c>
      <c r="O100" s="5">
        <v>5377.9</v>
      </c>
      <c r="P100" s="5">
        <v>3330.23</v>
      </c>
      <c r="Q100" s="5">
        <v>0</v>
      </c>
      <c r="R100" s="5">
        <v>0</v>
      </c>
      <c r="S100" s="5">
        <v>1129.1976629999999</v>
      </c>
      <c r="T100" s="5">
        <v>0</v>
      </c>
      <c r="U100">
        <v>1363.4399999999998</v>
      </c>
      <c r="V100">
        <v>0</v>
      </c>
      <c r="X100" t="s">
        <v>44</v>
      </c>
      <c r="Y100" t="s">
        <v>44</v>
      </c>
      <c r="AD100" t="s">
        <v>45</v>
      </c>
      <c r="AE100" t="s">
        <v>46</v>
      </c>
      <c r="AF100" s="5">
        <f t="shared" si="8"/>
        <v>11200.767663000001</v>
      </c>
      <c r="AG100">
        <f t="shared" si="5"/>
        <v>0</v>
      </c>
      <c r="AH100" s="5">
        <f t="shared" si="6"/>
        <v>11200.767663000001</v>
      </c>
      <c r="AJ100" t="s">
        <v>54</v>
      </c>
    </row>
    <row r="101" spans="1:36" x14ac:dyDescent="0.3">
      <c r="A101" t="s">
        <v>55</v>
      </c>
      <c r="B101" t="s">
        <v>234</v>
      </c>
      <c r="C101" t="s">
        <v>56</v>
      </c>
      <c r="E101">
        <v>100</v>
      </c>
      <c r="F101" t="s">
        <v>235</v>
      </c>
      <c r="G101" t="s">
        <v>133</v>
      </c>
      <c r="H101">
        <v>0</v>
      </c>
      <c r="I101" s="4">
        <v>45861</v>
      </c>
      <c r="J101" s="4"/>
      <c r="K101" t="s">
        <v>61</v>
      </c>
      <c r="L101" t="s">
        <v>42</v>
      </c>
      <c r="M101" t="s">
        <v>43</v>
      </c>
      <c r="N101" s="5">
        <f t="shared" si="7"/>
        <v>8280.5583615999985</v>
      </c>
      <c r="O101" s="5">
        <v>4681.28</v>
      </c>
      <c r="P101" s="5">
        <v>2616.35</v>
      </c>
      <c r="Q101" s="5">
        <v>0</v>
      </c>
      <c r="R101" s="5">
        <v>0</v>
      </c>
      <c r="S101" s="5">
        <v>982.92836159999979</v>
      </c>
      <c r="T101" s="5">
        <v>0</v>
      </c>
      <c r="U101">
        <v>1345.6799999999998</v>
      </c>
      <c r="V101">
        <v>0</v>
      </c>
      <c r="X101" t="s">
        <v>44</v>
      </c>
      <c r="Y101" t="s">
        <v>44</v>
      </c>
      <c r="Z101">
        <v>14000</v>
      </c>
      <c r="AD101" t="s">
        <v>88</v>
      </c>
      <c r="AE101" t="s">
        <v>46</v>
      </c>
      <c r="AF101" s="5">
        <f t="shared" si="8"/>
        <v>9626.2383615999988</v>
      </c>
      <c r="AG101">
        <f t="shared" si="5"/>
        <v>14000</v>
      </c>
      <c r="AH101" s="5">
        <f t="shared" si="6"/>
        <v>23626.238361600001</v>
      </c>
      <c r="AJ101" t="s">
        <v>54</v>
      </c>
    </row>
    <row r="102" spans="1:36" x14ac:dyDescent="0.3">
      <c r="A102" t="s">
        <v>55</v>
      </c>
      <c r="B102" t="s">
        <v>55</v>
      </c>
      <c r="C102" t="s">
        <v>56</v>
      </c>
      <c r="D102" t="s">
        <v>227</v>
      </c>
      <c r="E102">
        <v>101</v>
      </c>
      <c r="F102" t="s">
        <v>236</v>
      </c>
      <c r="G102" t="s">
        <v>133</v>
      </c>
      <c r="H102" t="s">
        <v>60</v>
      </c>
      <c r="I102" s="4">
        <v>45861</v>
      </c>
      <c r="J102" s="4"/>
      <c r="K102" t="s">
        <v>61</v>
      </c>
      <c r="L102" t="s">
        <v>42</v>
      </c>
      <c r="M102" t="s">
        <v>43</v>
      </c>
      <c r="N102" s="5">
        <f t="shared" si="7"/>
        <v>8111.2883615999999</v>
      </c>
      <c r="O102" s="5">
        <v>4681.28</v>
      </c>
      <c r="P102" s="5">
        <v>2447.08</v>
      </c>
      <c r="Q102" s="5">
        <v>0</v>
      </c>
      <c r="R102" s="5">
        <v>0</v>
      </c>
      <c r="S102" s="5">
        <v>982.92836159999979</v>
      </c>
      <c r="T102" s="5">
        <v>0</v>
      </c>
      <c r="U102">
        <v>1312.12</v>
      </c>
      <c r="V102">
        <v>0</v>
      </c>
      <c r="X102" t="s">
        <v>44</v>
      </c>
      <c r="Y102" t="s">
        <v>44</v>
      </c>
      <c r="Z102">
        <v>14000</v>
      </c>
      <c r="AD102" t="s">
        <v>88</v>
      </c>
      <c r="AE102" t="s">
        <v>46</v>
      </c>
      <c r="AF102" s="5">
        <f t="shared" si="8"/>
        <v>9423.4083615999989</v>
      </c>
      <c r="AG102">
        <f t="shared" si="5"/>
        <v>14000</v>
      </c>
      <c r="AH102" s="5">
        <f t="shared" si="6"/>
        <v>23423.408361599999</v>
      </c>
      <c r="AJ102" t="s">
        <v>54</v>
      </c>
    </row>
    <row r="103" spans="1:36" x14ac:dyDescent="0.3">
      <c r="A103" t="s">
        <v>55</v>
      </c>
      <c r="B103" t="s">
        <v>55</v>
      </c>
      <c r="C103" t="s">
        <v>56</v>
      </c>
      <c r="E103">
        <v>103</v>
      </c>
      <c r="F103" t="s">
        <v>237</v>
      </c>
      <c r="G103" t="s">
        <v>174</v>
      </c>
      <c r="H103" t="s">
        <v>40</v>
      </c>
      <c r="I103" s="4">
        <v>45859</v>
      </c>
      <c r="J103" s="4">
        <v>45937</v>
      </c>
      <c r="K103" t="s">
        <v>41</v>
      </c>
      <c r="L103" t="s">
        <v>42</v>
      </c>
      <c r="M103" t="s">
        <v>43</v>
      </c>
      <c r="N103" s="5">
        <f t="shared" si="7"/>
        <v>2649.7980008999998</v>
      </c>
      <c r="O103" s="5">
        <v>2189.9699999999998</v>
      </c>
      <c r="P103" s="5">
        <v>0</v>
      </c>
      <c r="Q103" s="5">
        <v>0</v>
      </c>
      <c r="R103" s="5">
        <v>0</v>
      </c>
      <c r="S103" s="5">
        <v>459.82800089999995</v>
      </c>
      <c r="T103" s="5">
        <v>0</v>
      </c>
      <c r="U103">
        <v>0</v>
      </c>
      <c r="V103">
        <v>0</v>
      </c>
      <c r="X103">
        <v>0</v>
      </c>
      <c r="Y103" t="s">
        <v>44</v>
      </c>
      <c r="AD103" t="s">
        <v>45</v>
      </c>
      <c r="AE103" t="s">
        <v>46</v>
      </c>
      <c r="AF103" s="5">
        <f t="shared" si="8"/>
        <v>2649.7980008999998</v>
      </c>
      <c r="AG103">
        <f t="shared" si="5"/>
        <v>0</v>
      </c>
      <c r="AH103" s="5">
        <f t="shared" si="6"/>
        <v>2649.7980008999998</v>
      </c>
      <c r="AJ103" t="s">
        <v>54</v>
      </c>
    </row>
    <row r="104" spans="1:36" x14ac:dyDescent="0.3">
      <c r="A104" t="s">
        <v>55</v>
      </c>
      <c r="B104" t="s">
        <v>238</v>
      </c>
      <c r="C104" t="s">
        <v>56</v>
      </c>
      <c r="D104" t="s">
        <v>187</v>
      </c>
      <c r="E104">
        <v>104</v>
      </c>
      <c r="F104" t="s">
        <v>239</v>
      </c>
      <c r="G104" t="s">
        <v>87</v>
      </c>
      <c r="H104" t="s">
        <v>68</v>
      </c>
      <c r="I104" s="4">
        <v>45861</v>
      </c>
      <c r="J104" s="4"/>
      <c r="K104" t="s">
        <v>61</v>
      </c>
      <c r="L104" t="s">
        <v>42</v>
      </c>
      <c r="M104" t="s">
        <v>43</v>
      </c>
      <c r="N104" s="5">
        <f t="shared" si="7"/>
        <v>10626.412238499999</v>
      </c>
      <c r="O104" s="5">
        <v>4942.05</v>
      </c>
      <c r="P104" s="5">
        <v>4646.68</v>
      </c>
      <c r="Q104" s="5">
        <v>0</v>
      </c>
      <c r="R104" s="5">
        <v>0</v>
      </c>
      <c r="S104" s="5">
        <v>1037.6822385</v>
      </c>
      <c r="T104" s="5">
        <v>0</v>
      </c>
      <c r="U104">
        <v>1405.8799999999999</v>
      </c>
      <c r="V104">
        <v>0</v>
      </c>
      <c r="X104" t="s">
        <v>44</v>
      </c>
      <c r="Y104" t="s">
        <v>44</v>
      </c>
      <c r="Z104">
        <v>14000</v>
      </c>
      <c r="AD104" t="s">
        <v>88</v>
      </c>
      <c r="AE104" t="s">
        <v>46</v>
      </c>
      <c r="AF104" s="5">
        <f t="shared" si="8"/>
        <v>12032.292238499998</v>
      </c>
      <c r="AG104">
        <f t="shared" si="5"/>
        <v>14000</v>
      </c>
      <c r="AH104" s="5">
        <f t="shared" si="6"/>
        <v>26032.292238499998</v>
      </c>
      <c r="AJ104" t="s">
        <v>54</v>
      </c>
    </row>
    <row r="105" spans="1:36" x14ac:dyDescent="0.3">
      <c r="A105" t="s">
        <v>55</v>
      </c>
      <c r="B105" t="s">
        <v>55</v>
      </c>
      <c r="C105" t="s">
        <v>56</v>
      </c>
      <c r="D105" t="s">
        <v>185</v>
      </c>
      <c r="E105">
        <v>105</v>
      </c>
      <c r="F105" t="s">
        <v>240</v>
      </c>
      <c r="G105" t="s">
        <v>82</v>
      </c>
      <c r="H105" t="s">
        <v>40</v>
      </c>
      <c r="I105" s="4">
        <v>46121</v>
      </c>
      <c r="J105" s="4">
        <v>46149</v>
      </c>
      <c r="K105" t="s">
        <v>41</v>
      </c>
      <c r="L105" t="s">
        <v>42</v>
      </c>
      <c r="M105" t="s">
        <v>43</v>
      </c>
      <c r="N105" s="5">
        <f t="shared" si="7"/>
        <v>3899.4829000999998</v>
      </c>
      <c r="O105" s="5">
        <v>2189.9699999999998</v>
      </c>
      <c r="P105" s="5">
        <v>0</v>
      </c>
      <c r="Q105" s="5">
        <v>609.16000000000008</v>
      </c>
      <c r="R105" s="5">
        <v>399.68</v>
      </c>
      <c r="S105" s="5">
        <v>884.67290010000011</v>
      </c>
      <c r="T105" s="5">
        <v>184</v>
      </c>
      <c r="U105">
        <v>0</v>
      </c>
      <c r="V105">
        <v>0</v>
      </c>
      <c r="X105">
        <v>0</v>
      </c>
      <c r="Y105" t="s">
        <v>44</v>
      </c>
      <c r="AD105" t="s">
        <v>45</v>
      </c>
      <c r="AE105" t="s">
        <v>46</v>
      </c>
      <c r="AF105" s="5">
        <f t="shared" si="8"/>
        <v>3899.4829000999998</v>
      </c>
      <c r="AG105">
        <f t="shared" si="5"/>
        <v>0</v>
      </c>
      <c r="AH105" s="5">
        <f t="shared" si="6"/>
        <v>3899.4829000999998</v>
      </c>
      <c r="AJ105" t="s">
        <v>54</v>
      </c>
    </row>
    <row r="106" spans="1:36" x14ac:dyDescent="0.3">
      <c r="A106" t="s">
        <v>55</v>
      </c>
      <c r="B106" t="s">
        <v>55</v>
      </c>
      <c r="C106" t="s">
        <v>56</v>
      </c>
      <c r="E106">
        <v>106</v>
      </c>
      <c r="F106" t="s">
        <v>241</v>
      </c>
      <c r="G106" t="s">
        <v>59</v>
      </c>
      <c r="H106" t="s">
        <v>40</v>
      </c>
      <c r="I106" s="4">
        <v>45859</v>
      </c>
      <c r="J106" s="4">
        <v>45911</v>
      </c>
      <c r="K106" t="s">
        <v>41</v>
      </c>
      <c r="L106" t="s">
        <v>42</v>
      </c>
      <c r="M106" t="s">
        <v>43</v>
      </c>
      <c r="N106" s="5">
        <f t="shared" si="7"/>
        <v>4044.3579492999997</v>
      </c>
      <c r="O106" s="5">
        <v>2664.74</v>
      </c>
      <c r="P106" s="5">
        <v>0</v>
      </c>
      <c r="Q106" s="5">
        <v>331.87</v>
      </c>
      <c r="R106" s="5">
        <v>204.96</v>
      </c>
      <c r="S106" s="5">
        <v>888.52794929999993</v>
      </c>
      <c r="T106" s="5">
        <v>45.74</v>
      </c>
      <c r="U106">
        <v>0</v>
      </c>
      <c r="V106">
        <v>0</v>
      </c>
      <c r="X106">
        <v>0</v>
      </c>
      <c r="Y106" t="s">
        <v>44</v>
      </c>
      <c r="AD106" t="s">
        <v>45</v>
      </c>
      <c r="AE106" t="s">
        <v>46</v>
      </c>
      <c r="AF106" s="5">
        <f t="shared" si="8"/>
        <v>4044.3579492999997</v>
      </c>
      <c r="AG106">
        <f t="shared" si="5"/>
        <v>0</v>
      </c>
      <c r="AH106" s="5">
        <f t="shared" si="6"/>
        <v>4044.3579492999997</v>
      </c>
      <c r="AJ106" t="s">
        <v>54</v>
      </c>
    </row>
    <row r="107" spans="1:36" x14ac:dyDescent="0.3">
      <c r="A107" t="s">
        <v>55</v>
      </c>
      <c r="B107" t="s">
        <v>55</v>
      </c>
      <c r="C107" t="s">
        <v>56</v>
      </c>
      <c r="D107" t="s">
        <v>185</v>
      </c>
      <c r="E107">
        <v>107</v>
      </c>
      <c r="F107" t="s">
        <v>242</v>
      </c>
      <c r="G107" t="s">
        <v>82</v>
      </c>
      <c r="H107" t="s">
        <v>60</v>
      </c>
      <c r="I107" s="4">
        <v>45859</v>
      </c>
      <c r="J107" s="4"/>
      <c r="K107" t="s">
        <v>61</v>
      </c>
      <c r="L107" t="s">
        <v>42</v>
      </c>
      <c r="M107" t="s">
        <v>43</v>
      </c>
      <c r="N107" s="5">
        <f t="shared" si="7"/>
        <v>4249.2884174999999</v>
      </c>
      <c r="O107" s="5">
        <v>2302.75</v>
      </c>
      <c r="P107" s="5">
        <v>1463.03</v>
      </c>
      <c r="Q107" s="5">
        <v>0</v>
      </c>
      <c r="R107" s="5">
        <v>0</v>
      </c>
      <c r="S107" s="5">
        <v>483.50841750000001</v>
      </c>
      <c r="T107" s="5">
        <v>0</v>
      </c>
      <c r="U107">
        <v>1307.6799999999998</v>
      </c>
      <c r="V107">
        <v>0</v>
      </c>
      <c r="X107" t="s">
        <v>44</v>
      </c>
      <c r="Y107" t="s">
        <v>44</v>
      </c>
      <c r="AD107" t="s">
        <v>45</v>
      </c>
      <c r="AE107" t="s">
        <v>46</v>
      </c>
      <c r="AF107" s="5">
        <f t="shared" si="8"/>
        <v>5556.9684175000002</v>
      </c>
      <c r="AG107">
        <f t="shared" si="5"/>
        <v>0</v>
      </c>
      <c r="AH107" s="5">
        <f t="shared" si="6"/>
        <v>5556.9684175000002</v>
      </c>
      <c r="AJ107" t="s">
        <v>54</v>
      </c>
    </row>
    <row r="108" spans="1:36" x14ac:dyDescent="0.3">
      <c r="A108" t="s">
        <v>55</v>
      </c>
      <c r="B108" t="s">
        <v>55</v>
      </c>
      <c r="C108" t="s">
        <v>56</v>
      </c>
      <c r="E108">
        <v>108</v>
      </c>
      <c r="F108" t="s">
        <v>243</v>
      </c>
      <c r="G108" t="s">
        <v>82</v>
      </c>
      <c r="H108" t="s">
        <v>40</v>
      </c>
      <c r="I108" s="4">
        <v>45859</v>
      </c>
      <c r="J108" s="4">
        <v>45999</v>
      </c>
      <c r="K108" t="s">
        <v>41</v>
      </c>
      <c r="L108" t="s">
        <v>42</v>
      </c>
      <c r="M108" t="s">
        <v>43</v>
      </c>
      <c r="N108" s="5">
        <f t="shared" si="7"/>
        <v>2649.7980008999998</v>
      </c>
      <c r="O108" s="5">
        <v>2189.9699999999998</v>
      </c>
      <c r="P108" s="5">
        <v>0</v>
      </c>
      <c r="Q108" s="5">
        <v>0</v>
      </c>
      <c r="R108" s="5">
        <v>0</v>
      </c>
      <c r="S108" s="5">
        <v>459.82800089999995</v>
      </c>
      <c r="T108" s="5">
        <v>0</v>
      </c>
      <c r="U108">
        <v>0</v>
      </c>
      <c r="V108">
        <v>0</v>
      </c>
      <c r="X108">
        <v>0</v>
      </c>
      <c r="Y108" t="s">
        <v>44</v>
      </c>
      <c r="AD108" t="s">
        <v>45</v>
      </c>
      <c r="AE108" t="s">
        <v>46</v>
      </c>
      <c r="AF108" s="5">
        <f t="shared" si="8"/>
        <v>2649.7980008999998</v>
      </c>
      <c r="AG108">
        <f t="shared" si="5"/>
        <v>0</v>
      </c>
      <c r="AH108" s="5">
        <f t="shared" si="6"/>
        <v>2649.7980008999998</v>
      </c>
      <c r="AJ108" t="s">
        <v>54</v>
      </c>
    </row>
    <row r="109" spans="1:36" x14ac:dyDescent="0.3">
      <c r="A109" t="s">
        <v>55</v>
      </c>
      <c r="B109" t="s">
        <v>55</v>
      </c>
      <c r="C109" t="s">
        <v>56</v>
      </c>
      <c r="E109">
        <v>109</v>
      </c>
      <c r="F109" t="s">
        <v>244</v>
      </c>
      <c r="G109" t="s">
        <v>59</v>
      </c>
      <c r="H109">
        <v>0</v>
      </c>
      <c r="I109" s="4">
        <v>45859</v>
      </c>
      <c r="J109" s="4"/>
      <c r="K109" t="s">
        <v>178</v>
      </c>
      <c r="L109" t="s">
        <v>42</v>
      </c>
      <c r="M109" t="s">
        <v>43</v>
      </c>
      <c r="N109" s="5">
        <f t="shared" si="7"/>
        <v>6585.4964241766993</v>
      </c>
      <c r="O109" s="5">
        <v>2801.9741099999997</v>
      </c>
      <c r="P109" s="5">
        <v>0</v>
      </c>
      <c r="Q109" s="5">
        <v>416.26</v>
      </c>
      <c r="R109" s="5">
        <v>1965.5500000000002</v>
      </c>
      <c r="S109" s="5">
        <v>1470.8323141766998</v>
      </c>
      <c r="T109" s="5">
        <v>69.12</v>
      </c>
      <c r="U109">
        <v>1162.4000000000001</v>
      </c>
      <c r="V109">
        <v>0</v>
      </c>
      <c r="X109" t="s">
        <v>44</v>
      </c>
      <c r="Y109" t="s">
        <v>44</v>
      </c>
      <c r="AD109" t="s">
        <v>45</v>
      </c>
      <c r="AE109" t="s">
        <v>46</v>
      </c>
      <c r="AF109" s="5">
        <f t="shared" si="8"/>
        <v>7747.8964241766989</v>
      </c>
      <c r="AG109">
        <f t="shared" si="5"/>
        <v>0</v>
      </c>
      <c r="AH109" s="5">
        <f t="shared" si="6"/>
        <v>7747.8964241766989</v>
      </c>
      <c r="AJ109" t="s">
        <v>54</v>
      </c>
    </row>
    <row r="110" spans="1:36" x14ac:dyDescent="0.3">
      <c r="A110" t="s">
        <v>55</v>
      </c>
      <c r="B110" t="s">
        <v>55</v>
      </c>
      <c r="C110" t="s">
        <v>56</v>
      </c>
      <c r="D110" t="s">
        <v>227</v>
      </c>
      <c r="E110">
        <v>110</v>
      </c>
      <c r="F110" t="s">
        <v>245</v>
      </c>
      <c r="G110" t="s">
        <v>82</v>
      </c>
      <c r="H110" t="s">
        <v>60</v>
      </c>
      <c r="I110" s="4">
        <v>45859</v>
      </c>
      <c r="J110" s="4"/>
      <c r="K110" t="s">
        <v>61</v>
      </c>
      <c r="L110" t="s">
        <v>42</v>
      </c>
      <c r="M110" t="s">
        <v>43</v>
      </c>
      <c r="N110" s="5">
        <f t="shared" si="7"/>
        <v>6030.5349629000002</v>
      </c>
      <c r="O110" s="5">
        <v>2302.75</v>
      </c>
      <c r="P110" s="5">
        <v>1641.4599999999998</v>
      </c>
      <c r="Q110" s="5">
        <v>564.20000000000005</v>
      </c>
      <c r="R110" s="5">
        <v>551.14</v>
      </c>
      <c r="S110" s="5">
        <v>1013.0149629</v>
      </c>
      <c r="T110" s="5">
        <v>42.03</v>
      </c>
      <c r="U110">
        <v>1358.9999999999998</v>
      </c>
      <c r="V110">
        <v>0</v>
      </c>
      <c r="X110" t="s">
        <v>44</v>
      </c>
      <c r="Y110" t="s">
        <v>44</v>
      </c>
      <c r="AD110" t="s">
        <v>45</v>
      </c>
      <c r="AE110" t="s">
        <v>46</v>
      </c>
      <c r="AF110" s="5">
        <f t="shared" si="8"/>
        <v>7389.5349629000002</v>
      </c>
      <c r="AG110">
        <f t="shared" si="5"/>
        <v>0</v>
      </c>
      <c r="AH110" s="5">
        <f t="shared" si="6"/>
        <v>7389.5349629000002</v>
      </c>
      <c r="AJ110" t="s">
        <v>54</v>
      </c>
    </row>
    <row r="111" spans="1:36" x14ac:dyDescent="0.3">
      <c r="A111" t="s">
        <v>55</v>
      </c>
      <c r="B111" t="s">
        <v>55</v>
      </c>
      <c r="C111" t="s">
        <v>56</v>
      </c>
      <c r="E111">
        <v>111</v>
      </c>
      <c r="F111" t="s">
        <v>246</v>
      </c>
      <c r="G111" t="s">
        <v>139</v>
      </c>
      <c r="H111" t="s">
        <v>40</v>
      </c>
      <c r="I111" s="4">
        <v>45861</v>
      </c>
      <c r="J111" s="4">
        <v>45876</v>
      </c>
      <c r="K111" t="s">
        <v>41</v>
      </c>
      <c r="L111" t="s">
        <v>42</v>
      </c>
      <c r="M111" t="s">
        <v>43</v>
      </c>
      <c r="N111" s="5">
        <f t="shared" si="7"/>
        <v>4999.737161</v>
      </c>
      <c r="O111" s="5">
        <v>3192.39</v>
      </c>
      <c r="P111" s="5">
        <v>0</v>
      </c>
      <c r="Q111" s="5">
        <v>324.2</v>
      </c>
      <c r="R111" s="5">
        <v>462.42</v>
      </c>
      <c r="S111" s="5">
        <v>1020.727161</v>
      </c>
      <c r="T111" s="5">
        <v>0</v>
      </c>
      <c r="U111">
        <v>0</v>
      </c>
      <c r="V111">
        <v>0</v>
      </c>
      <c r="X111">
        <v>0</v>
      </c>
      <c r="Y111" t="s">
        <v>44</v>
      </c>
      <c r="AD111" t="s">
        <v>45</v>
      </c>
      <c r="AE111" t="s">
        <v>46</v>
      </c>
      <c r="AF111" s="5">
        <f t="shared" si="8"/>
        <v>4999.737161</v>
      </c>
      <c r="AG111">
        <f t="shared" si="5"/>
        <v>0</v>
      </c>
      <c r="AH111" s="5">
        <f t="shared" si="6"/>
        <v>4999.737161</v>
      </c>
      <c r="AJ111" t="s">
        <v>54</v>
      </c>
    </row>
    <row r="112" spans="1:36" x14ac:dyDescent="0.3">
      <c r="A112" t="s">
        <v>55</v>
      </c>
      <c r="B112" t="s">
        <v>55</v>
      </c>
      <c r="C112" t="s">
        <v>56</v>
      </c>
      <c r="D112" t="s">
        <v>227</v>
      </c>
      <c r="E112">
        <v>112</v>
      </c>
      <c r="F112" t="s">
        <v>247</v>
      </c>
      <c r="G112" t="s">
        <v>209</v>
      </c>
      <c r="H112" t="s">
        <v>60</v>
      </c>
      <c r="I112" s="4">
        <v>45859</v>
      </c>
      <c r="J112" s="4"/>
      <c r="K112" t="s">
        <v>61</v>
      </c>
      <c r="L112" t="s">
        <v>42</v>
      </c>
      <c r="M112" t="s">
        <v>43</v>
      </c>
      <c r="N112" s="5">
        <f t="shared" si="7"/>
        <v>5975.1813809000005</v>
      </c>
      <c r="O112" s="5">
        <v>2801.97</v>
      </c>
      <c r="P112" s="5">
        <v>1957.6200000000001</v>
      </c>
      <c r="Q112" s="5">
        <v>324.2</v>
      </c>
      <c r="R112" s="5">
        <v>277.97000000000003</v>
      </c>
      <c r="S112" s="5">
        <v>786.12138089999985</v>
      </c>
      <c r="T112" s="5">
        <v>172.7</v>
      </c>
      <c r="U112">
        <v>1327.9199999999998</v>
      </c>
      <c r="V112">
        <v>0</v>
      </c>
      <c r="X112" t="s">
        <v>44</v>
      </c>
      <c r="Y112" t="s">
        <v>44</v>
      </c>
      <c r="AD112" t="s">
        <v>45</v>
      </c>
      <c r="AE112" t="s">
        <v>46</v>
      </c>
      <c r="AF112" s="5">
        <f t="shared" si="8"/>
        <v>7303.1013809000005</v>
      </c>
      <c r="AG112">
        <f t="shared" si="5"/>
        <v>0</v>
      </c>
      <c r="AH112" s="5">
        <f t="shared" si="6"/>
        <v>7303.1013809000005</v>
      </c>
      <c r="AJ112" t="s">
        <v>54</v>
      </c>
    </row>
    <row r="113" spans="1:36" x14ac:dyDescent="0.3">
      <c r="A113" t="s">
        <v>55</v>
      </c>
      <c r="B113" t="s">
        <v>55</v>
      </c>
      <c r="C113" t="s">
        <v>56</v>
      </c>
      <c r="D113" t="s">
        <v>192</v>
      </c>
      <c r="E113">
        <v>113</v>
      </c>
      <c r="F113" t="s">
        <v>248</v>
      </c>
      <c r="G113" t="s">
        <v>139</v>
      </c>
      <c r="H113" t="s">
        <v>68</v>
      </c>
      <c r="I113" s="4">
        <v>45861</v>
      </c>
      <c r="J113" s="4"/>
      <c r="K113" t="s">
        <v>61</v>
      </c>
      <c r="L113" t="s">
        <v>42</v>
      </c>
      <c r="M113" t="s">
        <v>43</v>
      </c>
      <c r="N113" s="5">
        <f t="shared" si="7"/>
        <v>7430.7648551000002</v>
      </c>
      <c r="O113" s="5">
        <v>3356.8</v>
      </c>
      <c r="P113" s="5">
        <v>2109</v>
      </c>
      <c r="Q113" s="5">
        <v>578.05000000000007</v>
      </c>
      <c r="R113" s="5">
        <v>481.11</v>
      </c>
      <c r="S113" s="5">
        <v>1115.9548551</v>
      </c>
      <c r="T113" s="5">
        <v>210.15</v>
      </c>
      <c r="U113">
        <v>1372.3199999999997</v>
      </c>
      <c r="V113">
        <v>0</v>
      </c>
      <c r="X113" t="s">
        <v>44</v>
      </c>
      <c r="Y113" t="s">
        <v>44</v>
      </c>
      <c r="Z113">
        <v>13000</v>
      </c>
      <c r="AD113" t="s">
        <v>65</v>
      </c>
      <c r="AE113" t="s">
        <v>46</v>
      </c>
      <c r="AF113" s="5">
        <f t="shared" si="8"/>
        <v>8803.0848550999999</v>
      </c>
      <c r="AG113">
        <f t="shared" si="5"/>
        <v>13000</v>
      </c>
      <c r="AH113" s="5">
        <f t="shared" si="6"/>
        <v>21803.084855100002</v>
      </c>
      <c r="AJ113" t="s">
        <v>54</v>
      </c>
    </row>
    <row r="114" spans="1:36" x14ac:dyDescent="0.3">
      <c r="A114" t="s">
        <v>55</v>
      </c>
      <c r="B114" t="s">
        <v>55</v>
      </c>
      <c r="C114" t="s">
        <v>56</v>
      </c>
      <c r="E114">
        <v>114</v>
      </c>
      <c r="F114" t="s">
        <v>249</v>
      </c>
      <c r="G114" t="s">
        <v>82</v>
      </c>
      <c r="H114" t="s">
        <v>40</v>
      </c>
      <c r="I114" s="4">
        <v>45859</v>
      </c>
      <c r="J114" s="4">
        <v>45964</v>
      </c>
      <c r="K114" t="s">
        <v>41</v>
      </c>
      <c r="L114" t="s">
        <v>42</v>
      </c>
      <c r="M114" t="s">
        <v>43</v>
      </c>
      <c r="N114" s="5">
        <f t="shared" si="7"/>
        <v>3823.8411470999999</v>
      </c>
      <c r="O114" s="5">
        <v>2189.9699999999998</v>
      </c>
      <c r="P114" s="5">
        <v>0</v>
      </c>
      <c r="Q114" s="5">
        <v>324.2</v>
      </c>
      <c r="R114" s="5">
        <v>535.57000000000005</v>
      </c>
      <c r="S114" s="5">
        <v>973.93114709999998</v>
      </c>
      <c r="T114" s="5">
        <v>199.82999999999998</v>
      </c>
      <c r="U114">
        <v>0</v>
      </c>
      <c r="V114">
        <v>0</v>
      </c>
      <c r="X114">
        <v>0</v>
      </c>
      <c r="Y114" t="s">
        <v>44</v>
      </c>
      <c r="AD114" t="s">
        <v>45</v>
      </c>
      <c r="AE114" t="s">
        <v>46</v>
      </c>
      <c r="AF114" s="5">
        <f t="shared" si="8"/>
        <v>3823.8411470999999</v>
      </c>
      <c r="AG114">
        <f t="shared" si="5"/>
        <v>0</v>
      </c>
      <c r="AH114" s="5">
        <f t="shared" si="6"/>
        <v>3823.8411470999999</v>
      </c>
      <c r="AJ114" t="s">
        <v>54</v>
      </c>
    </row>
    <row r="115" spans="1:36" x14ac:dyDescent="0.3">
      <c r="A115" t="s">
        <v>55</v>
      </c>
      <c r="B115" t="s">
        <v>55</v>
      </c>
      <c r="C115" t="s">
        <v>56</v>
      </c>
      <c r="D115" t="s">
        <v>199</v>
      </c>
      <c r="E115">
        <v>115</v>
      </c>
      <c r="F115" t="s">
        <v>250</v>
      </c>
      <c r="G115" t="s">
        <v>82</v>
      </c>
      <c r="H115" t="s">
        <v>68</v>
      </c>
      <c r="I115" s="4">
        <v>45859</v>
      </c>
      <c r="J115" s="4"/>
      <c r="K115" t="s">
        <v>61</v>
      </c>
      <c r="L115" t="s">
        <v>42</v>
      </c>
      <c r="M115" t="s">
        <v>43</v>
      </c>
      <c r="N115" s="5">
        <f t="shared" si="7"/>
        <v>4534.1384175000003</v>
      </c>
      <c r="O115" s="5">
        <v>2302.75</v>
      </c>
      <c r="P115" s="5">
        <v>1747.88</v>
      </c>
      <c r="Q115" s="5">
        <v>0</v>
      </c>
      <c r="R115" s="5">
        <v>0</v>
      </c>
      <c r="S115" s="5">
        <v>483.50841750000001</v>
      </c>
      <c r="T115" s="5">
        <v>0</v>
      </c>
      <c r="U115">
        <v>1312.1199999999997</v>
      </c>
      <c r="V115">
        <v>0</v>
      </c>
      <c r="X115" t="s">
        <v>44</v>
      </c>
      <c r="Y115" t="s">
        <v>44</v>
      </c>
      <c r="AD115" t="s">
        <v>45</v>
      </c>
      <c r="AE115" t="s">
        <v>46</v>
      </c>
      <c r="AF115" s="5">
        <f t="shared" si="8"/>
        <v>5846.2584175000002</v>
      </c>
      <c r="AG115">
        <f t="shared" si="5"/>
        <v>0</v>
      </c>
      <c r="AH115" s="5">
        <f t="shared" si="6"/>
        <v>5846.2584175000002</v>
      </c>
      <c r="AJ115" t="s">
        <v>54</v>
      </c>
    </row>
    <row r="116" spans="1:36" x14ac:dyDescent="0.3">
      <c r="A116" t="s">
        <v>55</v>
      </c>
      <c r="B116" t="s">
        <v>55</v>
      </c>
      <c r="C116" t="s">
        <v>56</v>
      </c>
      <c r="D116" t="s">
        <v>57</v>
      </c>
      <c r="E116">
        <v>116</v>
      </c>
      <c r="F116" t="s">
        <v>251</v>
      </c>
      <c r="G116" t="s">
        <v>174</v>
      </c>
      <c r="H116" t="s">
        <v>40</v>
      </c>
      <c r="I116" s="4">
        <v>45859</v>
      </c>
      <c r="J116" s="4">
        <v>46120</v>
      </c>
      <c r="K116" t="s">
        <v>41</v>
      </c>
      <c r="L116" t="s">
        <v>42</v>
      </c>
      <c r="M116" t="s">
        <v>43</v>
      </c>
      <c r="N116" s="5">
        <f t="shared" si="7"/>
        <v>4407.6859986999989</v>
      </c>
      <c r="O116" s="5">
        <v>2189.9699999999998</v>
      </c>
      <c r="P116" s="5">
        <v>0</v>
      </c>
      <c r="Q116" s="5">
        <v>288</v>
      </c>
      <c r="R116" s="5">
        <v>1297.22</v>
      </c>
      <c r="S116" s="5">
        <v>1141.5459986999999</v>
      </c>
      <c r="T116" s="5">
        <v>509.05</v>
      </c>
      <c r="U116">
        <v>0</v>
      </c>
      <c r="V116">
        <v>0</v>
      </c>
      <c r="X116">
        <v>0</v>
      </c>
      <c r="Y116" t="s">
        <v>44</v>
      </c>
      <c r="AD116" t="s">
        <v>45</v>
      </c>
      <c r="AE116" t="s">
        <v>46</v>
      </c>
      <c r="AF116" s="5">
        <f t="shared" si="8"/>
        <v>4407.6859986999989</v>
      </c>
      <c r="AG116">
        <f t="shared" si="5"/>
        <v>0</v>
      </c>
      <c r="AH116" s="5">
        <f t="shared" si="6"/>
        <v>4407.6859986999989</v>
      </c>
      <c r="AJ116" t="s">
        <v>54</v>
      </c>
    </row>
    <row r="117" spans="1:36" x14ac:dyDescent="0.3">
      <c r="A117" t="s">
        <v>55</v>
      </c>
      <c r="B117" t="s">
        <v>55</v>
      </c>
      <c r="C117" t="s">
        <v>56</v>
      </c>
      <c r="E117">
        <v>117</v>
      </c>
      <c r="F117" t="s">
        <v>252</v>
      </c>
      <c r="G117" t="s">
        <v>174</v>
      </c>
      <c r="H117">
        <v>0</v>
      </c>
      <c r="I117" s="4">
        <v>45861</v>
      </c>
      <c r="J117" s="4"/>
      <c r="K117" t="s">
        <v>178</v>
      </c>
      <c r="L117" t="s">
        <v>42</v>
      </c>
      <c r="M117" t="s">
        <v>43</v>
      </c>
      <c r="N117" s="5">
        <f t="shared" si="7"/>
        <v>3015.85735704635</v>
      </c>
      <c r="O117" s="5">
        <v>2302.753455</v>
      </c>
      <c r="P117" s="5">
        <v>0</v>
      </c>
      <c r="Q117" s="5">
        <v>0</v>
      </c>
      <c r="R117" s="5">
        <v>283.58999999999997</v>
      </c>
      <c r="S117" s="5">
        <v>634.27390204634992</v>
      </c>
      <c r="T117" s="5">
        <v>204.76</v>
      </c>
      <c r="U117">
        <v>0</v>
      </c>
      <c r="V117">
        <v>0</v>
      </c>
      <c r="X117" t="s">
        <v>44</v>
      </c>
      <c r="Y117" t="s">
        <v>44</v>
      </c>
      <c r="AD117" t="s">
        <v>45</v>
      </c>
      <c r="AE117" t="s">
        <v>46</v>
      </c>
      <c r="AF117" s="5">
        <f t="shared" si="8"/>
        <v>3015.85735704635</v>
      </c>
      <c r="AG117">
        <f t="shared" si="5"/>
        <v>0</v>
      </c>
      <c r="AH117" s="5">
        <f t="shared" si="6"/>
        <v>3015.85735704635</v>
      </c>
      <c r="AJ117" t="s">
        <v>54</v>
      </c>
    </row>
    <row r="118" spans="1:36" x14ac:dyDescent="0.3">
      <c r="A118" t="s">
        <v>36</v>
      </c>
      <c r="B118" t="s">
        <v>36</v>
      </c>
      <c r="C118" t="s">
        <v>37</v>
      </c>
      <c r="D118" t="s">
        <v>117</v>
      </c>
      <c r="E118">
        <v>118</v>
      </c>
      <c r="F118" t="s">
        <v>253</v>
      </c>
      <c r="G118" t="s">
        <v>254</v>
      </c>
      <c r="H118" t="s">
        <v>60</v>
      </c>
      <c r="I118" s="4">
        <v>45873</v>
      </c>
      <c r="J118" s="4"/>
      <c r="K118" t="s">
        <v>61</v>
      </c>
      <c r="L118" t="s">
        <v>42</v>
      </c>
      <c r="M118" t="s">
        <v>43</v>
      </c>
      <c r="N118" s="5">
        <f t="shared" si="7"/>
        <v>8033.2812764999999</v>
      </c>
      <c r="O118" s="5">
        <v>5783.25</v>
      </c>
      <c r="P118" s="5">
        <v>495.5</v>
      </c>
      <c r="Q118" s="5">
        <v>324.2</v>
      </c>
      <c r="R118" s="5">
        <v>182.49</v>
      </c>
      <c r="S118" s="5">
        <v>1282.3812765</v>
      </c>
      <c r="T118" s="5">
        <v>34.54</v>
      </c>
      <c r="U118">
        <v>1213.9199999999998</v>
      </c>
      <c r="V118">
        <v>0</v>
      </c>
      <c r="W118">
        <v>1000</v>
      </c>
      <c r="X118" t="s">
        <v>44</v>
      </c>
      <c r="Y118" t="s">
        <v>44</v>
      </c>
      <c r="AD118" t="s">
        <v>45</v>
      </c>
      <c r="AE118" t="s">
        <v>46</v>
      </c>
      <c r="AF118" s="5">
        <f t="shared" si="8"/>
        <v>10247.2012765</v>
      </c>
      <c r="AG118">
        <f t="shared" si="5"/>
        <v>0</v>
      </c>
      <c r="AH118" s="5">
        <f t="shared" si="6"/>
        <v>10247.2012765</v>
      </c>
      <c r="AJ118" t="s">
        <v>54</v>
      </c>
    </row>
    <row r="119" spans="1:36" x14ac:dyDescent="0.3">
      <c r="A119" t="s">
        <v>55</v>
      </c>
      <c r="B119" t="s">
        <v>55</v>
      </c>
      <c r="C119" t="s">
        <v>56</v>
      </c>
      <c r="E119">
        <v>119</v>
      </c>
      <c r="F119" t="s">
        <v>255</v>
      </c>
      <c r="G119" t="s">
        <v>256</v>
      </c>
      <c r="H119" t="s">
        <v>40</v>
      </c>
      <c r="I119" s="4">
        <v>45873</v>
      </c>
      <c r="J119" s="4">
        <v>46069</v>
      </c>
      <c r="K119" t="s">
        <v>41</v>
      </c>
      <c r="L119" t="s">
        <v>42</v>
      </c>
      <c r="M119" t="s">
        <v>43</v>
      </c>
      <c r="N119" s="5">
        <f t="shared" si="7"/>
        <v>7265.3149544999997</v>
      </c>
      <c r="O119" s="5">
        <v>5114.5</v>
      </c>
      <c r="P119" s="5">
        <v>0</v>
      </c>
      <c r="Q119" s="5">
        <v>504.2</v>
      </c>
      <c r="R119" s="5">
        <v>433.55</v>
      </c>
      <c r="S119" s="5">
        <v>1424.6149544999998</v>
      </c>
      <c r="T119" s="5">
        <v>211.55</v>
      </c>
      <c r="U119">
        <v>0</v>
      </c>
      <c r="V119">
        <v>0</v>
      </c>
      <c r="X119">
        <v>0</v>
      </c>
      <c r="Y119" t="s">
        <v>44</v>
      </c>
      <c r="AD119" t="s">
        <v>45</v>
      </c>
      <c r="AE119" t="s">
        <v>46</v>
      </c>
      <c r="AF119" s="5">
        <f t="shared" si="8"/>
        <v>7265.3149544999997</v>
      </c>
      <c r="AG119">
        <f t="shared" si="5"/>
        <v>0</v>
      </c>
      <c r="AH119" s="5">
        <f t="shared" si="6"/>
        <v>7265.3149544999997</v>
      </c>
      <c r="AJ119" t="s">
        <v>54</v>
      </c>
    </row>
    <row r="120" spans="1:36" x14ac:dyDescent="0.3">
      <c r="A120" t="s">
        <v>55</v>
      </c>
      <c r="B120" t="s">
        <v>55</v>
      </c>
      <c r="C120" t="s">
        <v>56</v>
      </c>
      <c r="E120">
        <v>121</v>
      </c>
      <c r="F120" t="s">
        <v>257</v>
      </c>
      <c r="G120" t="s">
        <v>59</v>
      </c>
      <c r="H120" t="s">
        <v>40</v>
      </c>
      <c r="I120" s="4">
        <v>45873</v>
      </c>
      <c r="J120" s="4">
        <v>46038</v>
      </c>
      <c r="K120" t="s">
        <v>41</v>
      </c>
      <c r="L120" t="s">
        <v>42</v>
      </c>
      <c r="M120" t="s">
        <v>43</v>
      </c>
      <c r="N120" s="5">
        <f t="shared" si="7"/>
        <v>3636.2277317999992</v>
      </c>
      <c r="O120" s="5">
        <v>2664.74</v>
      </c>
      <c r="P120" s="5">
        <v>0</v>
      </c>
      <c r="Q120" s="5">
        <v>324.2</v>
      </c>
      <c r="R120" s="5">
        <v>19.7</v>
      </c>
      <c r="S120" s="5">
        <v>627.5877317999998</v>
      </c>
      <c r="T120" s="5">
        <v>0</v>
      </c>
      <c r="U120">
        <v>0</v>
      </c>
      <c r="V120">
        <v>0</v>
      </c>
      <c r="X120">
        <v>0</v>
      </c>
      <c r="Y120" t="s">
        <v>44</v>
      </c>
      <c r="AD120" t="s">
        <v>45</v>
      </c>
      <c r="AE120" t="s">
        <v>46</v>
      </c>
      <c r="AF120" s="5">
        <f t="shared" si="8"/>
        <v>3636.2277317999992</v>
      </c>
      <c r="AG120">
        <f t="shared" si="5"/>
        <v>0</v>
      </c>
      <c r="AH120" s="5">
        <f t="shared" si="6"/>
        <v>3636.2277317999992</v>
      </c>
      <c r="AJ120" t="s">
        <v>54</v>
      </c>
    </row>
    <row r="121" spans="1:36" x14ac:dyDescent="0.3">
      <c r="A121" t="s">
        <v>55</v>
      </c>
      <c r="B121" t="s">
        <v>125</v>
      </c>
      <c r="C121" t="s">
        <v>56</v>
      </c>
      <c r="D121" t="s">
        <v>126</v>
      </c>
      <c r="E121">
        <v>122</v>
      </c>
      <c r="F121" t="s">
        <v>258</v>
      </c>
      <c r="G121" t="s">
        <v>59</v>
      </c>
      <c r="H121" t="s">
        <v>60</v>
      </c>
      <c r="I121" s="4">
        <v>45873</v>
      </c>
      <c r="J121" s="4"/>
      <c r="K121" t="s">
        <v>61</v>
      </c>
      <c r="L121" t="s">
        <v>42</v>
      </c>
      <c r="M121" t="s">
        <v>43</v>
      </c>
      <c r="N121" s="5">
        <f t="shared" si="7"/>
        <v>4262.3996408999992</v>
      </c>
      <c r="O121" s="5">
        <v>2801.97</v>
      </c>
      <c r="P121" s="5">
        <v>872.1</v>
      </c>
      <c r="Q121" s="5">
        <v>0</v>
      </c>
      <c r="R121" s="5">
        <v>0</v>
      </c>
      <c r="S121" s="5">
        <v>588.32964089999996</v>
      </c>
      <c r="T121" s="5">
        <v>0</v>
      </c>
      <c r="U121">
        <v>1234.1600000000001</v>
      </c>
      <c r="V121">
        <v>0</v>
      </c>
      <c r="X121" t="s">
        <v>44</v>
      </c>
      <c r="Y121" t="s">
        <v>44</v>
      </c>
      <c r="AD121" t="s">
        <v>45</v>
      </c>
      <c r="AE121" t="s">
        <v>46</v>
      </c>
      <c r="AF121" s="5">
        <f t="shared" si="8"/>
        <v>5496.5596408999991</v>
      </c>
      <c r="AG121">
        <f t="shared" si="5"/>
        <v>0</v>
      </c>
      <c r="AH121" s="5">
        <f t="shared" si="6"/>
        <v>5496.5596408999991</v>
      </c>
      <c r="AJ121" t="s">
        <v>54</v>
      </c>
    </row>
    <row r="122" spans="1:36" x14ac:dyDescent="0.3">
      <c r="A122" t="s">
        <v>55</v>
      </c>
      <c r="B122" t="s">
        <v>125</v>
      </c>
      <c r="C122" t="s">
        <v>56</v>
      </c>
      <c r="E122">
        <v>123</v>
      </c>
      <c r="F122" t="s">
        <v>259</v>
      </c>
      <c r="G122" t="s">
        <v>59</v>
      </c>
      <c r="H122" t="s">
        <v>40</v>
      </c>
      <c r="I122" s="4">
        <v>45873</v>
      </c>
      <c r="J122" s="4">
        <v>45888</v>
      </c>
      <c r="K122" t="s">
        <v>41</v>
      </c>
      <c r="L122" t="s">
        <v>42</v>
      </c>
      <c r="M122" t="s">
        <v>43</v>
      </c>
      <c r="N122" s="5">
        <f t="shared" si="7"/>
        <v>3224.2554577999999</v>
      </c>
      <c r="O122" s="5">
        <v>2664.74</v>
      </c>
      <c r="P122" s="5">
        <v>0</v>
      </c>
      <c r="Q122" s="5">
        <v>0</v>
      </c>
      <c r="R122" s="5">
        <v>0</v>
      </c>
      <c r="S122" s="5">
        <v>559.51545779999992</v>
      </c>
      <c r="T122" s="5">
        <v>0</v>
      </c>
      <c r="U122">
        <v>0</v>
      </c>
      <c r="V122">
        <v>0</v>
      </c>
      <c r="X122">
        <v>0</v>
      </c>
      <c r="Y122" t="s">
        <v>44</v>
      </c>
      <c r="AD122" t="s">
        <v>45</v>
      </c>
      <c r="AE122" t="s">
        <v>46</v>
      </c>
      <c r="AF122" s="5">
        <f t="shared" si="8"/>
        <v>3224.2554577999999</v>
      </c>
      <c r="AG122">
        <f t="shared" si="5"/>
        <v>0</v>
      </c>
      <c r="AH122" s="5">
        <f t="shared" si="6"/>
        <v>3224.2554577999999</v>
      </c>
      <c r="AJ122" t="s">
        <v>54</v>
      </c>
    </row>
    <row r="123" spans="1:36" x14ac:dyDescent="0.3">
      <c r="A123" t="s">
        <v>55</v>
      </c>
      <c r="B123" t="s">
        <v>55</v>
      </c>
      <c r="C123" t="s">
        <v>56</v>
      </c>
      <c r="E123">
        <v>124</v>
      </c>
      <c r="F123" t="s">
        <v>260</v>
      </c>
      <c r="G123" t="s">
        <v>82</v>
      </c>
      <c r="H123" t="s">
        <v>60</v>
      </c>
      <c r="I123" s="4">
        <v>45882</v>
      </c>
      <c r="J123" s="4"/>
      <c r="K123" t="s">
        <v>61</v>
      </c>
      <c r="L123" t="s">
        <v>42</v>
      </c>
      <c r="M123" t="s">
        <v>43</v>
      </c>
      <c r="N123" s="5">
        <f t="shared" si="7"/>
        <v>5675.6110300999999</v>
      </c>
      <c r="O123" s="5">
        <v>2302.75</v>
      </c>
      <c r="P123" s="5">
        <v>1161.67</v>
      </c>
      <c r="Q123" s="5">
        <v>915.33999999999992</v>
      </c>
      <c r="R123" s="5">
        <v>503.34999999999997</v>
      </c>
      <c r="S123" s="5">
        <v>827.77103009999996</v>
      </c>
      <c r="T123" s="5">
        <v>35.269999999999996</v>
      </c>
      <c r="U123">
        <v>1053.5599999999997</v>
      </c>
      <c r="V123">
        <v>0</v>
      </c>
      <c r="X123" t="s">
        <v>44</v>
      </c>
      <c r="Y123" t="s">
        <v>44</v>
      </c>
      <c r="AD123" t="s">
        <v>45</v>
      </c>
      <c r="AE123" t="s">
        <v>46</v>
      </c>
      <c r="AF123" s="5">
        <f t="shared" si="8"/>
        <v>6729.1710300999994</v>
      </c>
      <c r="AG123">
        <f t="shared" si="5"/>
        <v>0</v>
      </c>
      <c r="AH123" s="5">
        <f t="shared" si="6"/>
        <v>6729.1710300999994</v>
      </c>
      <c r="AJ123" t="s">
        <v>54</v>
      </c>
    </row>
    <row r="124" spans="1:36" x14ac:dyDescent="0.3">
      <c r="A124" t="s">
        <v>55</v>
      </c>
      <c r="B124" t="s">
        <v>55</v>
      </c>
      <c r="C124" t="s">
        <v>56</v>
      </c>
      <c r="D124" t="s">
        <v>261</v>
      </c>
      <c r="E124">
        <v>125</v>
      </c>
      <c r="F124" t="s">
        <v>262</v>
      </c>
      <c r="G124" t="s">
        <v>82</v>
      </c>
      <c r="H124" t="s">
        <v>60</v>
      </c>
      <c r="I124" s="4">
        <v>45882</v>
      </c>
      <c r="J124" s="4"/>
      <c r="K124" t="s">
        <v>61</v>
      </c>
      <c r="L124" t="s">
        <v>42</v>
      </c>
      <c r="M124" t="s">
        <v>43</v>
      </c>
      <c r="N124" s="5">
        <f t="shared" si="7"/>
        <v>6833.6443748000002</v>
      </c>
      <c r="O124" s="5">
        <v>2302.75</v>
      </c>
      <c r="P124" s="5">
        <v>1260.02</v>
      </c>
      <c r="Q124" s="5">
        <v>1003.1200000000001</v>
      </c>
      <c r="R124" s="5">
        <v>1193.74</v>
      </c>
      <c r="S124" s="5">
        <v>1134.0143747999998</v>
      </c>
      <c r="T124" s="5">
        <v>60</v>
      </c>
      <c r="U124">
        <v>1171.4799999999998</v>
      </c>
      <c r="V124">
        <v>0</v>
      </c>
      <c r="X124" t="s">
        <v>44</v>
      </c>
      <c r="Y124" t="s">
        <v>44</v>
      </c>
      <c r="AD124" t="s">
        <v>45</v>
      </c>
      <c r="AE124" t="s">
        <v>46</v>
      </c>
      <c r="AF124" s="5">
        <f t="shared" si="8"/>
        <v>8005.1243747999997</v>
      </c>
      <c r="AG124">
        <f t="shared" si="5"/>
        <v>0</v>
      </c>
      <c r="AH124" s="5">
        <f t="shared" si="6"/>
        <v>8005.1243747999997</v>
      </c>
      <c r="AJ124" t="s">
        <v>54</v>
      </c>
    </row>
    <row r="125" spans="1:36" x14ac:dyDescent="0.3">
      <c r="A125" t="s">
        <v>55</v>
      </c>
      <c r="B125" t="s">
        <v>55</v>
      </c>
      <c r="C125" t="s">
        <v>56</v>
      </c>
      <c r="D125" t="s">
        <v>83</v>
      </c>
      <c r="E125">
        <v>126</v>
      </c>
      <c r="F125" t="s">
        <v>263</v>
      </c>
      <c r="G125" t="s">
        <v>139</v>
      </c>
      <c r="H125" t="s">
        <v>60</v>
      </c>
      <c r="I125" s="4">
        <v>45882</v>
      </c>
      <c r="J125" s="4"/>
      <c r="K125" t="s">
        <v>61</v>
      </c>
      <c r="L125" t="s">
        <v>42</v>
      </c>
      <c r="M125" t="s">
        <v>43</v>
      </c>
      <c r="N125" s="5">
        <f t="shared" si="7"/>
        <v>6584.7538270000005</v>
      </c>
      <c r="O125" s="5">
        <v>3356.8</v>
      </c>
      <c r="P125" s="5">
        <v>1106.6500000000001</v>
      </c>
      <c r="Q125" s="5">
        <v>160</v>
      </c>
      <c r="R125" s="5">
        <v>703.16</v>
      </c>
      <c r="S125" s="5">
        <v>1310.0238270000002</v>
      </c>
      <c r="T125" s="5">
        <v>51.88</v>
      </c>
      <c r="U125">
        <v>1307.6799999999998</v>
      </c>
      <c r="V125">
        <v>0</v>
      </c>
      <c r="X125" t="s">
        <v>44</v>
      </c>
      <c r="Y125" t="s">
        <v>44</v>
      </c>
      <c r="Z125">
        <v>15000</v>
      </c>
      <c r="AD125" t="s">
        <v>65</v>
      </c>
      <c r="AE125" t="s">
        <v>46</v>
      </c>
      <c r="AF125" s="5">
        <f t="shared" si="8"/>
        <v>7892.4338270000007</v>
      </c>
      <c r="AG125">
        <f t="shared" si="5"/>
        <v>15000</v>
      </c>
      <c r="AH125" s="5">
        <f t="shared" si="6"/>
        <v>22892.433827000001</v>
      </c>
      <c r="AJ125" t="s">
        <v>54</v>
      </c>
    </row>
    <row r="126" spans="1:36" x14ac:dyDescent="0.3">
      <c r="A126" t="s">
        <v>55</v>
      </c>
      <c r="B126" t="s">
        <v>55</v>
      </c>
      <c r="C126" t="s">
        <v>56</v>
      </c>
      <c r="E126">
        <v>127</v>
      </c>
      <c r="F126" t="s">
        <v>264</v>
      </c>
      <c r="G126" t="s">
        <v>209</v>
      </c>
      <c r="H126" t="s">
        <v>40</v>
      </c>
      <c r="I126" s="4">
        <v>45882</v>
      </c>
      <c r="J126" s="4">
        <v>45908</v>
      </c>
      <c r="K126" t="s">
        <v>41</v>
      </c>
      <c r="L126" t="s">
        <v>42</v>
      </c>
      <c r="M126" t="s">
        <v>43</v>
      </c>
      <c r="N126" s="5">
        <f t="shared" si="7"/>
        <v>3224.2554577999999</v>
      </c>
      <c r="O126" s="5">
        <v>2664.74</v>
      </c>
      <c r="P126" s="5">
        <v>0</v>
      </c>
      <c r="Q126" s="5">
        <v>0</v>
      </c>
      <c r="R126" s="5">
        <v>0</v>
      </c>
      <c r="S126" s="5">
        <v>559.51545779999992</v>
      </c>
      <c r="T126" s="5">
        <v>0</v>
      </c>
      <c r="U126">
        <v>0</v>
      </c>
      <c r="V126">
        <v>0</v>
      </c>
      <c r="X126">
        <v>0</v>
      </c>
      <c r="Y126" t="s">
        <v>44</v>
      </c>
      <c r="AD126" t="s">
        <v>45</v>
      </c>
      <c r="AE126" t="s">
        <v>46</v>
      </c>
      <c r="AF126" s="5">
        <f t="shared" si="8"/>
        <v>3224.2554577999999</v>
      </c>
      <c r="AG126">
        <f t="shared" si="5"/>
        <v>0</v>
      </c>
      <c r="AH126" s="5">
        <f t="shared" si="6"/>
        <v>3224.2554577999999</v>
      </c>
      <c r="AJ126" t="s">
        <v>54</v>
      </c>
    </row>
    <row r="127" spans="1:36" x14ac:dyDescent="0.3">
      <c r="A127" t="s">
        <v>55</v>
      </c>
      <c r="B127" t="s">
        <v>55</v>
      </c>
      <c r="C127" t="s">
        <v>56</v>
      </c>
      <c r="E127">
        <v>128</v>
      </c>
      <c r="F127" t="s">
        <v>265</v>
      </c>
      <c r="G127" t="s">
        <v>82</v>
      </c>
      <c r="H127" t="s">
        <v>40</v>
      </c>
      <c r="I127" s="4">
        <v>45882</v>
      </c>
      <c r="J127" s="4">
        <v>45931</v>
      </c>
      <c r="K127" t="s">
        <v>41</v>
      </c>
      <c r="L127" t="s">
        <v>42</v>
      </c>
      <c r="M127" t="s">
        <v>43</v>
      </c>
      <c r="N127" s="5">
        <f t="shared" si="7"/>
        <v>3414.4492478999996</v>
      </c>
      <c r="O127" s="5">
        <v>2189.9699999999998</v>
      </c>
      <c r="P127" s="5">
        <v>0</v>
      </c>
      <c r="Q127" s="5">
        <v>324.2</v>
      </c>
      <c r="R127" s="5">
        <v>330.32</v>
      </c>
      <c r="S127" s="5">
        <v>738.05924789999983</v>
      </c>
      <c r="T127" s="5">
        <v>168.1</v>
      </c>
      <c r="U127">
        <v>0</v>
      </c>
      <c r="V127">
        <v>0</v>
      </c>
      <c r="X127">
        <v>0</v>
      </c>
      <c r="Y127" t="s">
        <v>44</v>
      </c>
      <c r="AD127" t="s">
        <v>45</v>
      </c>
      <c r="AE127" t="s">
        <v>46</v>
      </c>
      <c r="AF127" s="5">
        <f t="shared" si="8"/>
        <v>3414.4492478999996</v>
      </c>
      <c r="AG127">
        <f t="shared" si="5"/>
        <v>0</v>
      </c>
      <c r="AH127" s="5">
        <f t="shared" si="6"/>
        <v>3414.4492478999996</v>
      </c>
      <c r="AJ127" t="s">
        <v>54</v>
      </c>
    </row>
    <row r="128" spans="1:36" x14ac:dyDescent="0.3">
      <c r="A128" t="s">
        <v>55</v>
      </c>
      <c r="B128" t="s">
        <v>55</v>
      </c>
      <c r="C128" t="s">
        <v>56</v>
      </c>
      <c r="E128">
        <v>129</v>
      </c>
      <c r="F128" t="s">
        <v>266</v>
      </c>
      <c r="G128" t="s">
        <v>256</v>
      </c>
      <c r="H128" t="s">
        <v>40</v>
      </c>
      <c r="I128" s="4">
        <v>45882</v>
      </c>
      <c r="J128" s="4">
        <v>46034</v>
      </c>
      <c r="K128" t="s">
        <v>41</v>
      </c>
      <c r="L128" t="s">
        <v>42</v>
      </c>
      <c r="M128" t="s">
        <v>43</v>
      </c>
      <c r="N128" s="5">
        <f t="shared" si="7"/>
        <v>7059.9324372000001</v>
      </c>
      <c r="O128" s="5">
        <v>5114.5</v>
      </c>
      <c r="P128" s="5">
        <v>0</v>
      </c>
      <c r="Q128" s="5">
        <v>484.2</v>
      </c>
      <c r="R128" s="5">
        <v>361.43</v>
      </c>
      <c r="S128" s="5">
        <v>1309.9524371999998</v>
      </c>
      <c r="T128" s="5">
        <v>210.15</v>
      </c>
      <c r="U128">
        <v>0</v>
      </c>
      <c r="V128">
        <v>0</v>
      </c>
      <c r="X128">
        <v>0</v>
      </c>
      <c r="Y128" t="s">
        <v>44</v>
      </c>
      <c r="AD128" t="s">
        <v>45</v>
      </c>
      <c r="AE128" t="s">
        <v>46</v>
      </c>
      <c r="AF128" s="5">
        <f t="shared" si="8"/>
        <v>7059.9324372000001</v>
      </c>
      <c r="AG128">
        <f t="shared" si="5"/>
        <v>0</v>
      </c>
      <c r="AH128" s="5">
        <f t="shared" si="6"/>
        <v>7059.9324372000001</v>
      </c>
      <c r="AJ128" t="s">
        <v>54</v>
      </c>
    </row>
    <row r="129" spans="1:36" s="6" customFormat="1" x14ac:dyDescent="0.3">
      <c r="A129" s="6" t="s">
        <v>89</v>
      </c>
      <c r="B129" s="6" t="s">
        <v>90</v>
      </c>
      <c r="C129" s="6" t="s">
        <v>37</v>
      </c>
      <c r="E129" s="6">
        <v>130</v>
      </c>
      <c r="F129" s="6" t="s">
        <v>267</v>
      </c>
      <c r="G129" s="6" t="s">
        <v>92</v>
      </c>
      <c r="H129" t="s">
        <v>68</v>
      </c>
      <c r="I129" s="4">
        <v>45882</v>
      </c>
      <c r="J129" s="4"/>
      <c r="K129" s="6" t="s">
        <v>61</v>
      </c>
      <c r="L129" t="s">
        <v>42</v>
      </c>
      <c r="M129" s="6" t="s">
        <v>43</v>
      </c>
      <c r="N129" s="5">
        <f t="shared" si="7"/>
        <v>10420.032311500001</v>
      </c>
      <c r="O129" s="5">
        <v>5572.95</v>
      </c>
      <c r="P129" s="5">
        <v>3676.9300000000003</v>
      </c>
      <c r="Q129" s="5">
        <v>0</v>
      </c>
      <c r="R129" s="5">
        <v>0</v>
      </c>
      <c r="S129" s="5">
        <v>1170.1523115</v>
      </c>
      <c r="T129" s="5">
        <v>0</v>
      </c>
      <c r="U129" s="6">
        <v>1363.4399999999998</v>
      </c>
      <c r="V129" s="6">
        <v>2000</v>
      </c>
      <c r="W129" s="6">
        <v>1000</v>
      </c>
      <c r="X129" s="6" t="s">
        <v>268</v>
      </c>
      <c r="Y129" s="6" t="s">
        <v>269</v>
      </c>
      <c r="AD129" s="6" t="s">
        <v>45</v>
      </c>
      <c r="AE129" s="6" t="s">
        <v>46</v>
      </c>
      <c r="AF129" s="7">
        <f t="shared" si="8"/>
        <v>12783.472311500002</v>
      </c>
      <c r="AG129" s="6">
        <f t="shared" si="5"/>
        <v>2000</v>
      </c>
      <c r="AH129" s="7">
        <f t="shared" si="6"/>
        <v>14783.472311500002</v>
      </c>
      <c r="AJ129" s="6" t="s">
        <v>54</v>
      </c>
    </row>
    <row r="130" spans="1:36" x14ac:dyDescent="0.3">
      <c r="A130" t="s">
        <v>55</v>
      </c>
      <c r="B130" t="s">
        <v>55</v>
      </c>
      <c r="C130" t="s">
        <v>56</v>
      </c>
      <c r="E130">
        <v>131</v>
      </c>
      <c r="F130" t="s">
        <v>270</v>
      </c>
      <c r="G130" t="s">
        <v>135</v>
      </c>
      <c r="H130" t="s">
        <v>40</v>
      </c>
      <c r="I130" s="4">
        <v>45882</v>
      </c>
      <c r="J130" s="4">
        <v>45946</v>
      </c>
      <c r="K130" t="s">
        <v>41</v>
      </c>
      <c r="L130" t="s">
        <v>42</v>
      </c>
      <c r="M130" t="s">
        <v>43</v>
      </c>
      <c r="N130" s="5">
        <f t="shared" si="7"/>
        <v>8065.8878340000001</v>
      </c>
      <c r="O130" s="5">
        <v>6148</v>
      </c>
      <c r="P130" s="5">
        <v>0</v>
      </c>
      <c r="Q130" s="5">
        <v>324.2</v>
      </c>
      <c r="R130" s="5">
        <v>348.56</v>
      </c>
      <c r="S130" s="5">
        <v>1358.967834</v>
      </c>
      <c r="T130" s="5">
        <v>113.84</v>
      </c>
      <c r="U130">
        <v>0</v>
      </c>
      <c r="V130">
        <v>0</v>
      </c>
      <c r="X130">
        <v>0</v>
      </c>
      <c r="Y130" t="s">
        <v>44</v>
      </c>
      <c r="AD130" t="s">
        <v>45</v>
      </c>
      <c r="AE130" t="s">
        <v>46</v>
      </c>
      <c r="AF130" s="5">
        <f t="shared" si="8"/>
        <v>8065.8878340000001</v>
      </c>
      <c r="AG130">
        <f t="shared" si="5"/>
        <v>0</v>
      </c>
      <c r="AH130" s="5">
        <f t="shared" si="6"/>
        <v>8065.8878340000001</v>
      </c>
      <c r="AJ130" t="s">
        <v>54</v>
      </c>
    </row>
    <row r="131" spans="1:36" x14ac:dyDescent="0.3">
      <c r="A131" t="s">
        <v>55</v>
      </c>
      <c r="B131" t="s">
        <v>55</v>
      </c>
      <c r="C131" t="s">
        <v>56</v>
      </c>
      <c r="D131" t="s">
        <v>199</v>
      </c>
      <c r="E131">
        <v>132</v>
      </c>
      <c r="F131" t="s">
        <v>271</v>
      </c>
      <c r="G131" t="s">
        <v>139</v>
      </c>
      <c r="H131" t="s">
        <v>68</v>
      </c>
      <c r="I131" s="4">
        <v>45882</v>
      </c>
      <c r="J131" s="4"/>
      <c r="K131" t="s">
        <v>61</v>
      </c>
      <c r="L131" t="s">
        <v>42</v>
      </c>
      <c r="M131" t="s">
        <v>43</v>
      </c>
      <c r="N131" s="5">
        <f t="shared" si="7"/>
        <v>8322.8420796000009</v>
      </c>
      <c r="O131" s="5">
        <v>3356.8</v>
      </c>
      <c r="P131" s="5">
        <v>2447.65</v>
      </c>
      <c r="Q131" s="5">
        <v>890.2</v>
      </c>
      <c r="R131" s="5">
        <v>475.35</v>
      </c>
      <c r="S131" s="5">
        <v>1194.8720796</v>
      </c>
      <c r="T131" s="5">
        <v>42.03</v>
      </c>
      <c r="U131">
        <v>1401.4399999999998</v>
      </c>
      <c r="V131">
        <v>0</v>
      </c>
      <c r="X131" t="s">
        <v>44</v>
      </c>
      <c r="Y131" t="s">
        <v>44</v>
      </c>
      <c r="Z131">
        <v>10000</v>
      </c>
      <c r="AD131" t="s">
        <v>65</v>
      </c>
      <c r="AE131" t="s">
        <v>46</v>
      </c>
      <c r="AF131" s="5">
        <f t="shared" si="8"/>
        <v>9724.2820796000015</v>
      </c>
      <c r="AG131">
        <f t="shared" ref="AG131:AG194" si="9">V131+Z131</f>
        <v>10000</v>
      </c>
      <c r="AH131" s="5">
        <f t="shared" ref="AH131:AH194" si="10">AG131+AF131</f>
        <v>19724.282079600001</v>
      </c>
      <c r="AJ131" t="s">
        <v>54</v>
      </c>
    </row>
    <row r="132" spans="1:36" x14ac:dyDescent="0.3">
      <c r="A132" t="s">
        <v>55</v>
      </c>
      <c r="B132" t="s">
        <v>55</v>
      </c>
      <c r="C132" t="s">
        <v>56</v>
      </c>
      <c r="E132">
        <v>133</v>
      </c>
      <c r="F132" t="s">
        <v>272</v>
      </c>
      <c r="G132" t="s">
        <v>174</v>
      </c>
      <c r="H132" t="s">
        <v>40</v>
      </c>
      <c r="I132" s="4">
        <v>45882</v>
      </c>
      <c r="J132" s="4">
        <v>46027</v>
      </c>
      <c r="K132" t="s">
        <v>41</v>
      </c>
      <c r="L132" t="s">
        <v>42</v>
      </c>
      <c r="M132" t="s">
        <v>43</v>
      </c>
      <c r="N132" s="5">
        <f t="shared" ref="N132:N195" si="11">O132+P132+Q132+R132-T132+S132</f>
        <v>2649.7980008999998</v>
      </c>
      <c r="O132" s="5">
        <v>2189.9699999999998</v>
      </c>
      <c r="P132" s="5">
        <v>0</v>
      </c>
      <c r="Q132" s="5">
        <v>0</v>
      </c>
      <c r="R132" s="5">
        <v>0</v>
      </c>
      <c r="S132" s="5">
        <v>459.82800089999995</v>
      </c>
      <c r="T132" s="5">
        <v>0</v>
      </c>
      <c r="U132">
        <v>0</v>
      </c>
      <c r="V132">
        <v>0</v>
      </c>
      <c r="X132">
        <v>0</v>
      </c>
      <c r="Y132" t="s">
        <v>44</v>
      </c>
      <c r="AD132" t="s">
        <v>45</v>
      </c>
      <c r="AE132" t="s">
        <v>46</v>
      </c>
      <c r="AF132" s="5">
        <f t="shared" ref="AF132:AF195" si="12">N132+U132+W132</f>
        <v>2649.7980008999998</v>
      </c>
      <c r="AG132">
        <f t="shared" si="9"/>
        <v>0</v>
      </c>
      <c r="AH132" s="5">
        <f t="shared" si="10"/>
        <v>2649.7980008999998</v>
      </c>
      <c r="AJ132" t="s">
        <v>54</v>
      </c>
    </row>
    <row r="133" spans="1:36" x14ac:dyDescent="0.3">
      <c r="A133" t="s">
        <v>55</v>
      </c>
      <c r="B133" t="s">
        <v>55</v>
      </c>
      <c r="C133" t="s">
        <v>56</v>
      </c>
      <c r="E133">
        <v>134</v>
      </c>
      <c r="F133" t="s">
        <v>273</v>
      </c>
      <c r="G133" t="s">
        <v>209</v>
      </c>
      <c r="H133" t="s">
        <v>40</v>
      </c>
      <c r="I133" s="4">
        <v>45882</v>
      </c>
      <c r="J133" s="4">
        <v>45994</v>
      </c>
      <c r="K133" t="s">
        <v>41</v>
      </c>
      <c r="L133" t="s">
        <v>42</v>
      </c>
      <c r="M133" t="s">
        <v>43</v>
      </c>
      <c r="N133" s="5">
        <f t="shared" si="11"/>
        <v>4588.8218256999999</v>
      </c>
      <c r="O133" s="5">
        <v>2664.74</v>
      </c>
      <c r="P133" s="5">
        <v>0</v>
      </c>
      <c r="Q133" s="5">
        <v>485.25</v>
      </c>
      <c r="R133" s="5">
        <v>503.77</v>
      </c>
      <c r="S133" s="5">
        <v>1107.7618256999999</v>
      </c>
      <c r="T133" s="5">
        <v>172.7</v>
      </c>
      <c r="U133">
        <v>0</v>
      </c>
      <c r="V133">
        <v>0</v>
      </c>
      <c r="X133">
        <v>0</v>
      </c>
      <c r="Y133" t="s">
        <v>44</v>
      </c>
      <c r="AD133" t="s">
        <v>45</v>
      </c>
      <c r="AE133" t="s">
        <v>46</v>
      </c>
      <c r="AF133" s="5">
        <f t="shared" si="12"/>
        <v>4588.8218256999999</v>
      </c>
      <c r="AG133">
        <f t="shared" si="9"/>
        <v>0</v>
      </c>
      <c r="AH133" s="5">
        <f t="shared" si="10"/>
        <v>4588.8218256999999</v>
      </c>
      <c r="AJ133" t="s">
        <v>54</v>
      </c>
    </row>
    <row r="134" spans="1:36" x14ac:dyDescent="0.3">
      <c r="A134" t="s">
        <v>48</v>
      </c>
      <c r="B134" t="s">
        <v>51</v>
      </c>
      <c r="C134" t="s">
        <v>37</v>
      </c>
      <c r="D134" t="s">
        <v>102</v>
      </c>
      <c r="E134">
        <v>135</v>
      </c>
      <c r="F134" t="s">
        <v>274</v>
      </c>
      <c r="G134" t="s">
        <v>104</v>
      </c>
      <c r="H134" t="s">
        <v>40</v>
      </c>
      <c r="I134" s="4">
        <v>45882</v>
      </c>
      <c r="J134" s="4">
        <v>46063</v>
      </c>
      <c r="K134" t="s">
        <v>41</v>
      </c>
      <c r="L134" t="s">
        <v>42</v>
      </c>
      <c r="M134" t="s">
        <v>43</v>
      </c>
      <c r="N134" s="5">
        <f t="shared" si="11"/>
        <v>4065.0632206000009</v>
      </c>
      <c r="O134" s="5">
        <v>2681.3</v>
      </c>
      <c r="P134" s="5">
        <v>0</v>
      </c>
      <c r="Q134" s="5">
        <v>339.13</v>
      </c>
      <c r="R134" s="5">
        <v>359.4</v>
      </c>
      <c r="S134" s="5">
        <v>857.93322060000014</v>
      </c>
      <c r="T134" s="5">
        <v>172.7</v>
      </c>
      <c r="U134">
        <v>0</v>
      </c>
      <c r="V134">
        <v>0</v>
      </c>
      <c r="X134">
        <v>0</v>
      </c>
      <c r="Y134" t="s">
        <v>44</v>
      </c>
      <c r="AD134" t="s">
        <v>45</v>
      </c>
      <c r="AE134" t="s">
        <v>46</v>
      </c>
      <c r="AF134" s="5">
        <f t="shared" si="12"/>
        <v>4065.0632206000009</v>
      </c>
      <c r="AG134">
        <f t="shared" si="9"/>
        <v>0</v>
      </c>
      <c r="AH134" s="5">
        <f t="shared" si="10"/>
        <v>4065.0632206000009</v>
      </c>
      <c r="AJ134" t="s">
        <v>54</v>
      </c>
    </row>
    <row r="135" spans="1:36" x14ac:dyDescent="0.3">
      <c r="A135" t="s">
        <v>55</v>
      </c>
      <c r="B135" t="s">
        <v>55</v>
      </c>
      <c r="C135" t="s">
        <v>56</v>
      </c>
      <c r="D135" t="s">
        <v>126</v>
      </c>
      <c r="E135">
        <v>136</v>
      </c>
      <c r="F135" t="s">
        <v>275</v>
      </c>
      <c r="G135" t="s">
        <v>174</v>
      </c>
      <c r="H135">
        <v>0</v>
      </c>
      <c r="I135" s="4">
        <v>45882</v>
      </c>
      <c r="J135" s="4"/>
      <c r="K135" t="s">
        <v>178</v>
      </c>
      <c r="L135" t="s">
        <v>42</v>
      </c>
      <c r="M135" t="s">
        <v>43</v>
      </c>
      <c r="N135" s="5">
        <f t="shared" si="11"/>
        <v>3807.17808454635</v>
      </c>
      <c r="O135" s="5">
        <v>2302.753455</v>
      </c>
      <c r="P135" s="5">
        <v>0</v>
      </c>
      <c r="Q135" s="5">
        <v>324.2</v>
      </c>
      <c r="R135" s="5">
        <v>504.97</v>
      </c>
      <c r="S135" s="5">
        <v>891.64462954634996</v>
      </c>
      <c r="T135" s="5">
        <v>216.39000000000001</v>
      </c>
      <c r="U135">
        <v>1162.4000000000001</v>
      </c>
      <c r="V135">
        <v>0</v>
      </c>
      <c r="X135" t="s">
        <v>44</v>
      </c>
      <c r="Y135" t="s">
        <v>44</v>
      </c>
      <c r="AD135" t="s">
        <v>45</v>
      </c>
      <c r="AE135" t="s">
        <v>46</v>
      </c>
      <c r="AF135" s="5">
        <f t="shared" si="12"/>
        <v>4969.5780845463505</v>
      </c>
      <c r="AG135">
        <f t="shared" si="9"/>
        <v>0</v>
      </c>
      <c r="AH135" s="5">
        <f t="shared" si="10"/>
        <v>4969.5780845463505</v>
      </c>
      <c r="AJ135" t="s">
        <v>54</v>
      </c>
    </row>
    <row r="136" spans="1:36" x14ac:dyDescent="0.3">
      <c r="A136" t="s">
        <v>55</v>
      </c>
      <c r="B136" t="s">
        <v>55</v>
      </c>
      <c r="C136" t="s">
        <v>56</v>
      </c>
      <c r="D136" t="s">
        <v>185</v>
      </c>
      <c r="E136">
        <v>137</v>
      </c>
      <c r="F136" t="s">
        <v>276</v>
      </c>
      <c r="G136" t="s">
        <v>133</v>
      </c>
      <c r="H136" t="s">
        <v>60</v>
      </c>
      <c r="I136" s="4">
        <v>45882</v>
      </c>
      <c r="J136" s="4"/>
      <c r="K136" t="s">
        <v>61</v>
      </c>
      <c r="L136" t="s">
        <v>42</v>
      </c>
      <c r="M136" t="s">
        <v>43</v>
      </c>
      <c r="N136" s="5">
        <f t="shared" si="11"/>
        <v>8238.078361599999</v>
      </c>
      <c r="O136" s="5">
        <v>4681.28</v>
      </c>
      <c r="P136" s="5">
        <v>2573.87</v>
      </c>
      <c r="Q136" s="5">
        <v>0</v>
      </c>
      <c r="R136" s="5">
        <v>0</v>
      </c>
      <c r="S136" s="5">
        <v>982.92836159999979</v>
      </c>
      <c r="T136" s="5">
        <v>0</v>
      </c>
      <c r="U136">
        <v>1247.48</v>
      </c>
      <c r="V136">
        <v>0</v>
      </c>
      <c r="X136" t="s">
        <v>44</v>
      </c>
      <c r="Y136" t="s">
        <v>44</v>
      </c>
      <c r="Z136">
        <v>14000</v>
      </c>
      <c r="AD136" t="s">
        <v>88</v>
      </c>
      <c r="AE136" t="s">
        <v>46</v>
      </c>
      <c r="AF136" s="5">
        <f t="shared" si="12"/>
        <v>9485.5583615999985</v>
      </c>
      <c r="AG136">
        <f t="shared" si="9"/>
        <v>14000</v>
      </c>
      <c r="AH136" s="5">
        <f t="shared" si="10"/>
        <v>23485.5583616</v>
      </c>
      <c r="AJ136" t="s">
        <v>54</v>
      </c>
    </row>
    <row r="137" spans="1:36" x14ac:dyDescent="0.3">
      <c r="A137" t="s">
        <v>55</v>
      </c>
      <c r="B137" t="s">
        <v>277</v>
      </c>
      <c r="C137" t="s">
        <v>56</v>
      </c>
      <c r="D137" t="s">
        <v>278</v>
      </c>
      <c r="E137">
        <v>138</v>
      </c>
      <c r="F137" t="s">
        <v>279</v>
      </c>
      <c r="G137" t="s">
        <v>106</v>
      </c>
      <c r="H137" t="s">
        <v>40</v>
      </c>
      <c r="I137" s="4">
        <v>45882</v>
      </c>
      <c r="J137" s="4">
        <v>46147</v>
      </c>
      <c r="K137" t="s">
        <v>41</v>
      </c>
      <c r="L137" t="s">
        <v>42</v>
      </c>
      <c r="M137" t="s">
        <v>43</v>
      </c>
      <c r="N137" s="5">
        <f t="shared" si="11"/>
        <v>7373.7280767000002</v>
      </c>
      <c r="O137" s="5">
        <v>5114.5</v>
      </c>
      <c r="P137" s="5">
        <v>0</v>
      </c>
      <c r="Q137" s="5">
        <v>443.72</v>
      </c>
      <c r="R137" s="5">
        <v>647.28</v>
      </c>
      <c r="S137" s="5">
        <v>1224.9880767000002</v>
      </c>
      <c r="T137" s="5">
        <v>56.760000000000005</v>
      </c>
      <c r="U137">
        <v>0</v>
      </c>
      <c r="V137">
        <v>0</v>
      </c>
      <c r="X137">
        <v>0</v>
      </c>
      <c r="Y137" t="s">
        <v>44</v>
      </c>
      <c r="AD137" t="s">
        <v>45</v>
      </c>
      <c r="AE137" t="s">
        <v>46</v>
      </c>
      <c r="AF137" s="5">
        <f t="shared" si="12"/>
        <v>7373.7280767000002</v>
      </c>
      <c r="AG137">
        <f t="shared" si="9"/>
        <v>0</v>
      </c>
      <c r="AH137" s="5">
        <f t="shared" si="10"/>
        <v>7373.7280767000002</v>
      </c>
      <c r="AJ137" t="s">
        <v>54</v>
      </c>
    </row>
    <row r="138" spans="1:36" x14ac:dyDescent="0.3">
      <c r="A138" t="s">
        <v>55</v>
      </c>
      <c r="B138" t="s">
        <v>55</v>
      </c>
      <c r="C138" t="s">
        <v>56</v>
      </c>
      <c r="D138" t="s">
        <v>57</v>
      </c>
      <c r="E138">
        <v>139</v>
      </c>
      <c r="F138" t="s">
        <v>280</v>
      </c>
      <c r="G138" t="s">
        <v>281</v>
      </c>
      <c r="H138" t="s">
        <v>68</v>
      </c>
      <c r="I138" s="4">
        <v>45882</v>
      </c>
      <c r="J138" s="4"/>
      <c r="K138" t="s">
        <v>61</v>
      </c>
      <c r="L138" t="s">
        <v>42</v>
      </c>
      <c r="M138" t="s">
        <v>43</v>
      </c>
      <c r="N138" s="5">
        <f t="shared" si="11"/>
        <v>7287.8642080999998</v>
      </c>
      <c r="O138" s="5">
        <v>4458.3599999999997</v>
      </c>
      <c r="P138" s="5">
        <v>1034.21</v>
      </c>
      <c r="Q138" s="5">
        <v>324.2</v>
      </c>
      <c r="R138" s="5">
        <v>390.33</v>
      </c>
      <c r="S138" s="5">
        <v>1253.4642081</v>
      </c>
      <c r="T138" s="5">
        <v>172.7</v>
      </c>
      <c r="U138">
        <v>1294.3599999999999</v>
      </c>
      <c r="V138">
        <v>0</v>
      </c>
      <c r="X138" t="s">
        <v>44</v>
      </c>
      <c r="Y138" t="s">
        <v>44</v>
      </c>
      <c r="AD138" t="s">
        <v>45</v>
      </c>
      <c r="AE138" t="s">
        <v>46</v>
      </c>
      <c r="AF138" s="5">
        <f t="shared" si="12"/>
        <v>8582.2242081000004</v>
      </c>
      <c r="AG138">
        <f t="shared" si="9"/>
        <v>0</v>
      </c>
      <c r="AH138" s="5">
        <f t="shared" si="10"/>
        <v>8582.2242081000004</v>
      </c>
      <c r="AJ138" t="s">
        <v>54</v>
      </c>
    </row>
    <row r="139" spans="1:36" x14ac:dyDescent="0.3">
      <c r="A139" t="s">
        <v>55</v>
      </c>
      <c r="B139" t="s">
        <v>55</v>
      </c>
      <c r="C139" t="s">
        <v>56</v>
      </c>
      <c r="D139" t="s">
        <v>93</v>
      </c>
      <c r="E139">
        <v>140</v>
      </c>
      <c r="F139" t="s">
        <v>282</v>
      </c>
      <c r="G139" t="s">
        <v>209</v>
      </c>
      <c r="H139" t="s">
        <v>60</v>
      </c>
      <c r="I139" s="4">
        <v>45882</v>
      </c>
      <c r="J139" s="4"/>
      <c r="K139" t="s">
        <v>61</v>
      </c>
      <c r="L139" t="s">
        <v>42</v>
      </c>
      <c r="M139" t="s">
        <v>43</v>
      </c>
      <c r="N139" s="5">
        <f t="shared" si="11"/>
        <v>6787.6237097000003</v>
      </c>
      <c r="O139" s="5">
        <v>2801.97</v>
      </c>
      <c r="P139" s="5">
        <v>1459.85</v>
      </c>
      <c r="Q139" s="5">
        <v>1096</v>
      </c>
      <c r="R139" s="5">
        <v>539.77</v>
      </c>
      <c r="S139" s="5">
        <v>1178.5637096999999</v>
      </c>
      <c r="T139" s="5">
        <v>288.53000000000003</v>
      </c>
      <c r="U139">
        <v>1350.12</v>
      </c>
      <c r="V139">
        <v>0</v>
      </c>
      <c r="X139" t="s">
        <v>44</v>
      </c>
      <c r="Y139" t="s">
        <v>44</v>
      </c>
      <c r="AD139" t="s">
        <v>45</v>
      </c>
      <c r="AE139" t="s">
        <v>46</v>
      </c>
      <c r="AF139" s="5">
        <f t="shared" si="12"/>
        <v>8137.7437097000002</v>
      </c>
      <c r="AG139">
        <f t="shared" si="9"/>
        <v>0</v>
      </c>
      <c r="AH139" s="5">
        <f t="shared" si="10"/>
        <v>8137.7437097000002</v>
      </c>
      <c r="AJ139" t="s">
        <v>54</v>
      </c>
    </row>
    <row r="140" spans="1:36" x14ac:dyDescent="0.3">
      <c r="A140" t="s">
        <v>55</v>
      </c>
      <c r="B140" t="s">
        <v>55</v>
      </c>
      <c r="C140" t="s">
        <v>56</v>
      </c>
      <c r="D140" t="s">
        <v>278</v>
      </c>
      <c r="E140">
        <v>141</v>
      </c>
      <c r="F140" t="s">
        <v>283</v>
      </c>
      <c r="G140" t="s">
        <v>284</v>
      </c>
      <c r="H140" t="s">
        <v>68</v>
      </c>
      <c r="I140" s="4">
        <v>45890</v>
      </c>
      <c r="J140" s="4"/>
      <c r="K140" t="s">
        <v>61</v>
      </c>
      <c r="L140" t="s">
        <v>42</v>
      </c>
      <c r="M140" t="s">
        <v>43</v>
      </c>
      <c r="N140" s="5">
        <f t="shared" si="11"/>
        <v>4570.7596408999998</v>
      </c>
      <c r="O140" s="5">
        <v>2801.97</v>
      </c>
      <c r="P140" s="5">
        <v>1180.46</v>
      </c>
      <c r="Q140" s="5">
        <v>0</v>
      </c>
      <c r="R140" s="5">
        <v>0</v>
      </c>
      <c r="S140" s="5">
        <v>588.32964089999996</v>
      </c>
      <c r="T140" s="5">
        <v>0</v>
      </c>
      <c r="U140">
        <v>1319.0399999999997</v>
      </c>
      <c r="V140">
        <v>0</v>
      </c>
      <c r="X140" t="s">
        <v>44</v>
      </c>
      <c r="Y140" t="s">
        <v>44</v>
      </c>
      <c r="AD140" t="s">
        <v>45</v>
      </c>
      <c r="AE140" t="s">
        <v>46</v>
      </c>
      <c r="AF140" s="5">
        <f t="shared" si="12"/>
        <v>5889.7996408999998</v>
      </c>
      <c r="AG140">
        <f t="shared" si="9"/>
        <v>0</v>
      </c>
      <c r="AH140" s="5">
        <f t="shared" si="10"/>
        <v>5889.7996408999998</v>
      </c>
      <c r="AJ140" t="s">
        <v>54</v>
      </c>
    </row>
    <row r="141" spans="1:36" x14ac:dyDescent="0.3">
      <c r="A141" t="s">
        <v>55</v>
      </c>
      <c r="B141" t="s">
        <v>55</v>
      </c>
      <c r="C141" t="s">
        <v>56</v>
      </c>
      <c r="D141" t="s">
        <v>285</v>
      </c>
      <c r="E141">
        <v>142</v>
      </c>
      <c r="F141" t="s">
        <v>286</v>
      </c>
      <c r="G141" t="s">
        <v>133</v>
      </c>
      <c r="H141" t="s">
        <v>40</v>
      </c>
      <c r="I141" s="4">
        <v>45890</v>
      </c>
      <c r="J141" s="4">
        <v>46176</v>
      </c>
      <c r="K141" t="s">
        <v>41</v>
      </c>
      <c r="L141" t="s">
        <v>42</v>
      </c>
      <c r="M141" t="s">
        <v>43</v>
      </c>
      <c r="N141" s="5">
        <f t="shared" si="11"/>
        <v>-13007.14356</v>
      </c>
      <c r="O141" s="5">
        <v>4452</v>
      </c>
      <c r="P141" s="5">
        <v>0</v>
      </c>
      <c r="Q141" s="5">
        <v>0</v>
      </c>
      <c r="R141" s="5">
        <v>0</v>
      </c>
      <c r="S141" s="5">
        <v>934.78643999999997</v>
      </c>
      <c r="T141" s="5">
        <v>18393.93</v>
      </c>
      <c r="U141">
        <v>0</v>
      </c>
      <c r="V141">
        <v>0</v>
      </c>
      <c r="X141" t="s">
        <v>44</v>
      </c>
      <c r="Y141" t="s">
        <v>44</v>
      </c>
      <c r="AD141" t="s">
        <v>88</v>
      </c>
      <c r="AE141" t="s">
        <v>46</v>
      </c>
      <c r="AF141" s="5">
        <f t="shared" si="12"/>
        <v>-13007.14356</v>
      </c>
      <c r="AG141">
        <f t="shared" si="9"/>
        <v>0</v>
      </c>
      <c r="AH141" s="5">
        <f t="shared" si="10"/>
        <v>-13007.14356</v>
      </c>
      <c r="AJ141" t="s">
        <v>54</v>
      </c>
    </row>
    <row r="142" spans="1:36" x14ac:dyDescent="0.3">
      <c r="A142" t="s">
        <v>55</v>
      </c>
      <c r="B142" t="s">
        <v>55</v>
      </c>
      <c r="C142" t="s">
        <v>56</v>
      </c>
      <c r="E142">
        <v>143</v>
      </c>
      <c r="F142" t="s">
        <v>287</v>
      </c>
      <c r="G142" t="s">
        <v>177</v>
      </c>
      <c r="H142" t="s">
        <v>40</v>
      </c>
      <c r="I142" s="4">
        <v>45901</v>
      </c>
      <c r="J142" s="4">
        <v>46063</v>
      </c>
      <c r="K142" t="s">
        <v>41</v>
      </c>
      <c r="L142" t="s">
        <v>42</v>
      </c>
      <c r="M142" t="s">
        <v>43</v>
      </c>
      <c r="N142" s="5">
        <f t="shared" si="11"/>
        <v>3862.6961283000001</v>
      </c>
      <c r="O142" s="5">
        <v>3192.39</v>
      </c>
      <c r="P142" s="5">
        <v>0</v>
      </c>
      <c r="Q142" s="5">
        <v>0</v>
      </c>
      <c r="R142" s="5">
        <v>0</v>
      </c>
      <c r="S142" s="5">
        <v>670.30612829999995</v>
      </c>
      <c r="T142" s="5">
        <v>0</v>
      </c>
      <c r="U142">
        <v>0</v>
      </c>
      <c r="V142">
        <v>0</v>
      </c>
      <c r="X142">
        <v>0</v>
      </c>
      <c r="Y142" t="s">
        <v>44</v>
      </c>
      <c r="AD142" t="s">
        <v>45</v>
      </c>
      <c r="AE142" t="s">
        <v>46</v>
      </c>
      <c r="AF142" s="5">
        <f t="shared" si="12"/>
        <v>3862.6961283000001</v>
      </c>
      <c r="AG142">
        <f t="shared" si="9"/>
        <v>0</v>
      </c>
      <c r="AH142" s="5">
        <f t="shared" si="10"/>
        <v>3862.6961283000001</v>
      </c>
      <c r="AJ142" t="s">
        <v>54</v>
      </c>
    </row>
    <row r="143" spans="1:36" x14ac:dyDescent="0.3">
      <c r="A143" t="s">
        <v>55</v>
      </c>
      <c r="B143" t="s">
        <v>55</v>
      </c>
      <c r="C143" t="s">
        <v>56</v>
      </c>
      <c r="D143" t="s">
        <v>83</v>
      </c>
      <c r="E143">
        <v>144</v>
      </c>
      <c r="F143" t="s">
        <v>288</v>
      </c>
      <c r="G143" t="s">
        <v>82</v>
      </c>
      <c r="H143" t="s">
        <v>60</v>
      </c>
      <c r="I143" s="4">
        <v>45890</v>
      </c>
      <c r="J143" s="4"/>
      <c r="K143" t="s">
        <v>61</v>
      </c>
      <c r="L143" t="s">
        <v>42</v>
      </c>
      <c r="M143" t="s">
        <v>43</v>
      </c>
      <c r="N143" s="5">
        <f t="shared" si="11"/>
        <v>8334.951330599999</v>
      </c>
      <c r="O143" s="5">
        <v>2302.75</v>
      </c>
      <c r="P143" s="5">
        <v>900.48000000000013</v>
      </c>
      <c r="Q143" s="5">
        <v>327.77</v>
      </c>
      <c r="R143" s="5">
        <v>2946.23</v>
      </c>
      <c r="S143" s="5">
        <v>1921.0113305999998</v>
      </c>
      <c r="T143" s="5">
        <v>63.29</v>
      </c>
      <c r="U143">
        <v>1281.0399999999997</v>
      </c>
      <c r="V143">
        <v>0</v>
      </c>
      <c r="X143" t="s">
        <v>44</v>
      </c>
      <c r="Y143" t="s">
        <v>44</v>
      </c>
      <c r="AD143" t="s">
        <v>45</v>
      </c>
      <c r="AE143" t="s">
        <v>46</v>
      </c>
      <c r="AF143" s="5">
        <f t="shared" si="12"/>
        <v>9615.991330599998</v>
      </c>
      <c r="AG143">
        <f t="shared" si="9"/>
        <v>0</v>
      </c>
      <c r="AH143" s="5">
        <f t="shared" si="10"/>
        <v>9615.991330599998</v>
      </c>
      <c r="AJ143" t="s">
        <v>54</v>
      </c>
    </row>
    <row r="144" spans="1:36" x14ac:dyDescent="0.3">
      <c r="A144" t="s">
        <v>55</v>
      </c>
      <c r="B144" t="s">
        <v>55</v>
      </c>
      <c r="C144" t="s">
        <v>56</v>
      </c>
      <c r="E144">
        <v>145</v>
      </c>
      <c r="F144" t="s">
        <v>289</v>
      </c>
      <c r="G144" t="s">
        <v>177</v>
      </c>
      <c r="H144" t="s">
        <v>40</v>
      </c>
      <c r="I144" s="4">
        <v>45901</v>
      </c>
      <c r="J144" s="4">
        <v>46034</v>
      </c>
      <c r="K144" t="s">
        <v>41</v>
      </c>
      <c r="L144" t="s">
        <v>42</v>
      </c>
      <c r="M144" t="s">
        <v>43</v>
      </c>
      <c r="N144" s="5">
        <f t="shared" si="11"/>
        <v>3862.6961283000001</v>
      </c>
      <c r="O144" s="5">
        <v>3192.39</v>
      </c>
      <c r="P144" s="5">
        <v>0</v>
      </c>
      <c r="Q144" s="5">
        <v>0</v>
      </c>
      <c r="R144" s="5">
        <v>0</v>
      </c>
      <c r="S144" s="5">
        <v>670.30612829999995</v>
      </c>
      <c r="T144" s="5">
        <v>0</v>
      </c>
      <c r="U144">
        <v>0</v>
      </c>
      <c r="V144">
        <v>0</v>
      </c>
      <c r="X144">
        <v>0</v>
      </c>
      <c r="Y144" t="s">
        <v>44</v>
      </c>
      <c r="AD144" t="s">
        <v>45</v>
      </c>
      <c r="AE144" t="s">
        <v>46</v>
      </c>
      <c r="AF144" s="5">
        <f t="shared" si="12"/>
        <v>3862.6961283000001</v>
      </c>
      <c r="AG144">
        <f t="shared" si="9"/>
        <v>0</v>
      </c>
      <c r="AH144" s="5">
        <f t="shared" si="10"/>
        <v>3862.6961283000001</v>
      </c>
      <c r="AJ144" t="s">
        <v>54</v>
      </c>
    </row>
    <row r="145" spans="1:36" x14ac:dyDescent="0.3">
      <c r="A145" t="s">
        <v>55</v>
      </c>
      <c r="B145" t="s">
        <v>55</v>
      </c>
      <c r="C145" t="s">
        <v>56</v>
      </c>
      <c r="D145" t="s">
        <v>199</v>
      </c>
      <c r="E145">
        <v>146</v>
      </c>
      <c r="F145" t="s">
        <v>290</v>
      </c>
      <c r="G145" t="s">
        <v>59</v>
      </c>
      <c r="H145" t="s">
        <v>68</v>
      </c>
      <c r="I145" s="4">
        <v>45901</v>
      </c>
      <c r="J145" s="4"/>
      <c r="K145" t="s">
        <v>61</v>
      </c>
      <c r="L145" t="s">
        <v>42</v>
      </c>
      <c r="M145" t="s">
        <v>43</v>
      </c>
      <c r="N145" s="5">
        <f t="shared" si="11"/>
        <v>5215.6096409000002</v>
      </c>
      <c r="O145" s="5">
        <v>2801.97</v>
      </c>
      <c r="P145" s="5">
        <v>1825.3100000000002</v>
      </c>
      <c r="Q145" s="5">
        <v>0</v>
      </c>
      <c r="R145" s="5">
        <v>0</v>
      </c>
      <c r="S145" s="5">
        <v>588.32964089999996</v>
      </c>
      <c r="T145" s="5">
        <v>0</v>
      </c>
      <c r="U145">
        <v>1091.04</v>
      </c>
      <c r="V145">
        <v>0</v>
      </c>
      <c r="X145" t="s">
        <v>44</v>
      </c>
      <c r="Y145" t="s">
        <v>44</v>
      </c>
      <c r="AD145" t="s">
        <v>45</v>
      </c>
      <c r="AE145" t="s">
        <v>46</v>
      </c>
      <c r="AF145" s="5">
        <f t="shared" si="12"/>
        <v>6306.6496409000001</v>
      </c>
      <c r="AG145">
        <f t="shared" si="9"/>
        <v>0</v>
      </c>
      <c r="AH145" s="5">
        <f t="shared" si="10"/>
        <v>6306.6496409000001</v>
      </c>
      <c r="AJ145" t="s">
        <v>54</v>
      </c>
    </row>
    <row r="146" spans="1:36" x14ac:dyDescent="0.3">
      <c r="A146" t="s">
        <v>277</v>
      </c>
      <c r="B146" t="s">
        <v>55</v>
      </c>
      <c r="C146" t="s">
        <v>56</v>
      </c>
      <c r="D146" t="s">
        <v>278</v>
      </c>
      <c r="E146">
        <v>147</v>
      </c>
      <c r="F146" s="8" t="s">
        <v>291</v>
      </c>
      <c r="G146" t="s">
        <v>139</v>
      </c>
      <c r="H146" t="s">
        <v>68</v>
      </c>
      <c r="I146" s="4">
        <v>45901</v>
      </c>
      <c r="J146" s="4">
        <v>46190</v>
      </c>
      <c r="K146" t="s">
        <v>41</v>
      </c>
      <c r="L146" t="s">
        <v>42</v>
      </c>
      <c r="M146" t="s">
        <v>43</v>
      </c>
      <c r="N146" s="5">
        <f t="shared" si="11"/>
        <v>-7729.1604168000003</v>
      </c>
      <c r="O146" s="5">
        <v>3356.8</v>
      </c>
      <c r="P146" s="5">
        <v>4152.96</v>
      </c>
      <c r="Q146" s="5">
        <v>1053.32</v>
      </c>
      <c r="R146" s="5">
        <v>334.1</v>
      </c>
      <c r="S146" s="5">
        <v>1175.9495832</v>
      </c>
      <c r="T146" s="5">
        <v>17802.29</v>
      </c>
      <c r="U146">
        <v>0</v>
      </c>
      <c r="V146">
        <v>0</v>
      </c>
      <c r="X146" t="s">
        <v>44</v>
      </c>
      <c r="Y146" t="s">
        <v>44</v>
      </c>
      <c r="AD146" t="s">
        <v>65</v>
      </c>
      <c r="AE146" t="s">
        <v>46</v>
      </c>
      <c r="AF146" s="5">
        <f t="shared" si="12"/>
        <v>-7729.1604168000003</v>
      </c>
      <c r="AG146">
        <f t="shared" si="9"/>
        <v>0</v>
      </c>
      <c r="AH146" s="5">
        <f t="shared" si="10"/>
        <v>-7729.1604168000003</v>
      </c>
      <c r="AJ146" t="s">
        <v>54</v>
      </c>
    </row>
    <row r="147" spans="1:36" x14ac:dyDescent="0.3">
      <c r="A147" t="s">
        <v>55</v>
      </c>
      <c r="B147" t="s">
        <v>55</v>
      </c>
      <c r="C147" t="s">
        <v>56</v>
      </c>
      <c r="E147">
        <v>148</v>
      </c>
      <c r="F147" t="s">
        <v>292</v>
      </c>
      <c r="G147" t="s">
        <v>174</v>
      </c>
      <c r="H147" t="s">
        <v>40</v>
      </c>
      <c r="I147" s="4">
        <v>45901</v>
      </c>
      <c r="J147" s="4">
        <v>46027</v>
      </c>
      <c r="K147" t="s">
        <v>41</v>
      </c>
      <c r="L147" t="s">
        <v>42</v>
      </c>
      <c r="M147" t="s">
        <v>43</v>
      </c>
      <c r="N147" s="5">
        <f t="shared" si="11"/>
        <v>3595.6479211000001</v>
      </c>
      <c r="O147" s="5">
        <v>2189.9699999999998</v>
      </c>
      <c r="P147" s="5">
        <v>0</v>
      </c>
      <c r="Q147" s="5">
        <v>167.98000000000002</v>
      </c>
      <c r="R147" s="5">
        <v>487.82</v>
      </c>
      <c r="S147" s="5">
        <v>800.53792110000006</v>
      </c>
      <c r="T147" s="5">
        <v>50.660000000000004</v>
      </c>
      <c r="U147">
        <v>0</v>
      </c>
      <c r="V147">
        <v>0</v>
      </c>
      <c r="X147">
        <v>0</v>
      </c>
      <c r="Y147" t="s">
        <v>44</v>
      </c>
      <c r="AD147" t="s">
        <v>45</v>
      </c>
      <c r="AE147" t="s">
        <v>46</v>
      </c>
      <c r="AF147" s="5">
        <f t="shared" si="12"/>
        <v>3595.6479211000001</v>
      </c>
      <c r="AG147">
        <f t="shared" si="9"/>
        <v>0</v>
      </c>
      <c r="AH147" s="5">
        <f t="shared" si="10"/>
        <v>3595.6479211000001</v>
      </c>
      <c r="AJ147" t="s">
        <v>54</v>
      </c>
    </row>
    <row r="148" spans="1:36" x14ac:dyDescent="0.3">
      <c r="A148" t="s">
        <v>89</v>
      </c>
      <c r="B148" t="s">
        <v>161</v>
      </c>
      <c r="C148" t="s">
        <v>56</v>
      </c>
      <c r="D148" t="s">
        <v>156</v>
      </c>
      <c r="E148">
        <v>149</v>
      </c>
      <c r="F148" t="s">
        <v>293</v>
      </c>
      <c r="G148" t="s">
        <v>82</v>
      </c>
      <c r="H148" t="s">
        <v>60</v>
      </c>
      <c r="I148" s="4">
        <v>45901</v>
      </c>
      <c r="J148" s="4"/>
      <c r="K148" t="s">
        <v>61</v>
      </c>
      <c r="L148" t="s">
        <v>42</v>
      </c>
      <c r="M148" t="s">
        <v>43</v>
      </c>
      <c r="N148" s="5">
        <f t="shared" si="11"/>
        <v>3429.0484175000001</v>
      </c>
      <c r="O148" s="5">
        <v>2302.75</v>
      </c>
      <c r="P148" s="5">
        <v>642.79</v>
      </c>
      <c r="Q148" s="5">
        <v>0</v>
      </c>
      <c r="R148" s="5">
        <v>0</v>
      </c>
      <c r="S148" s="5">
        <v>483.50841750000001</v>
      </c>
      <c r="T148" s="5">
        <v>0</v>
      </c>
      <c r="U148">
        <v>1256.3600000000001</v>
      </c>
      <c r="V148">
        <v>0</v>
      </c>
      <c r="X148" t="s">
        <v>44</v>
      </c>
      <c r="Y148" t="s">
        <v>44</v>
      </c>
      <c r="AD148" t="s">
        <v>45</v>
      </c>
      <c r="AE148" t="s">
        <v>46</v>
      </c>
      <c r="AF148" s="5">
        <f t="shared" si="12"/>
        <v>4685.4084175000007</v>
      </c>
      <c r="AG148">
        <f t="shared" si="9"/>
        <v>0</v>
      </c>
      <c r="AH148" s="5">
        <f t="shared" si="10"/>
        <v>4685.4084175000007</v>
      </c>
      <c r="AJ148" t="s">
        <v>54</v>
      </c>
    </row>
    <row r="149" spans="1:36" x14ac:dyDescent="0.3">
      <c r="A149" t="s">
        <v>89</v>
      </c>
      <c r="B149" t="s">
        <v>161</v>
      </c>
      <c r="C149" t="s">
        <v>56</v>
      </c>
      <c r="D149" t="s">
        <v>156</v>
      </c>
      <c r="E149">
        <v>150</v>
      </c>
      <c r="F149" t="s">
        <v>294</v>
      </c>
      <c r="G149" t="s">
        <v>295</v>
      </c>
      <c r="H149" t="s">
        <v>40</v>
      </c>
      <c r="I149" s="4">
        <v>45901</v>
      </c>
      <c r="J149" s="4">
        <v>46121</v>
      </c>
      <c r="K149" t="s">
        <v>41</v>
      </c>
      <c r="L149" t="s">
        <v>42</v>
      </c>
      <c r="M149" t="s">
        <v>43</v>
      </c>
      <c r="N149" s="5">
        <f t="shared" si="11"/>
        <v>3508.913</v>
      </c>
      <c r="O149" s="5">
        <v>2900</v>
      </c>
      <c r="P149" s="5">
        <v>0</v>
      </c>
      <c r="Q149" s="5">
        <v>0</v>
      </c>
      <c r="R149" s="5">
        <v>0</v>
      </c>
      <c r="S149" s="5">
        <v>608.91300000000001</v>
      </c>
      <c r="T149" s="5">
        <v>0</v>
      </c>
      <c r="U149">
        <v>0</v>
      </c>
      <c r="V149">
        <v>0</v>
      </c>
      <c r="X149">
        <v>0</v>
      </c>
      <c r="Y149" t="s">
        <v>44</v>
      </c>
      <c r="AC149" t="s">
        <v>296</v>
      </c>
      <c r="AD149" t="s">
        <v>45</v>
      </c>
      <c r="AE149" t="s">
        <v>46</v>
      </c>
      <c r="AF149" s="5">
        <f t="shared" si="12"/>
        <v>3508.913</v>
      </c>
      <c r="AG149">
        <f t="shared" si="9"/>
        <v>0</v>
      </c>
      <c r="AH149" s="5">
        <f t="shared" si="10"/>
        <v>3508.913</v>
      </c>
      <c r="AJ149" t="s">
        <v>54</v>
      </c>
    </row>
    <row r="150" spans="1:36" x14ac:dyDescent="0.3">
      <c r="A150" t="s">
        <v>89</v>
      </c>
      <c r="B150" t="s">
        <v>161</v>
      </c>
      <c r="C150" t="s">
        <v>56</v>
      </c>
      <c r="D150" t="s">
        <v>156</v>
      </c>
      <c r="E150">
        <v>151</v>
      </c>
      <c r="F150" t="s">
        <v>297</v>
      </c>
      <c r="G150" t="s">
        <v>82</v>
      </c>
      <c r="H150" t="s">
        <v>60</v>
      </c>
      <c r="I150" s="4">
        <v>45901</v>
      </c>
      <c r="J150" s="4"/>
      <c r="K150" t="s">
        <v>61</v>
      </c>
      <c r="L150" t="s">
        <v>42</v>
      </c>
      <c r="M150" t="s">
        <v>43</v>
      </c>
      <c r="N150" s="5">
        <f t="shared" si="11"/>
        <v>5062.0530672000004</v>
      </c>
      <c r="O150" s="5">
        <v>2302.75</v>
      </c>
      <c r="P150" s="5">
        <v>328.52</v>
      </c>
      <c r="Q150" s="5">
        <v>762.57999999999993</v>
      </c>
      <c r="R150" s="5">
        <v>623.13</v>
      </c>
      <c r="S150" s="5">
        <v>1095.5730672</v>
      </c>
      <c r="T150" s="5">
        <v>50.5</v>
      </c>
      <c r="U150">
        <v>1247.4799999999998</v>
      </c>
      <c r="V150">
        <v>0</v>
      </c>
      <c r="X150" t="s">
        <v>44</v>
      </c>
      <c r="Y150" t="s">
        <v>44</v>
      </c>
      <c r="AD150" t="s">
        <v>45</v>
      </c>
      <c r="AE150" t="s">
        <v>46</v>
      </c>
      <c r="AF150" s="5">
        <f t="shared" si="12"/>
        <v>6309.5330672</v>
      </c>
      <c r="AG150">
        <f t="shared" si="9"/>
        <v>0</v>
      </c>
      <c r="AH150" s="5">
        <f t="shared" si="10"/>
        <v>6309.5330672</v>
      </c>
      <c r="AJ150" t="s">
        <v>54</v>
      </c>
    </row>
    <row r="151" spans="1:36" x14ac:dyDescent="0.3">
      <c r="A151" t="s">
        <v>55</v>
      </c>
      <c r="B151" t="s">
        <v>55</v>
      </c>
      <c r="C151" t="s">
        <v>56</v>
      </c>
      <c r="E151">
        <v>152</v>
      </c>
      <c r="F151" t="s">
        <v>298</v>
      </c>
      <c r="G151" t="s">
        <v>177</v>
      </c>
      <c r="H151" t="s">
        <v>40</v>
      </c>
      <c r="I151" s="4">
        <v>45908</v>
      </c>
      <c r="J151" s="4">
        <v>46027</v>
      </c>
      <c r="K151" t="s">
        <v>41</v>
      </c>
      <c r="L151" t="s">
        <v>42</v>
      </c>
      <c r="M151" t="s">
        <v>43</v>
      </c>
      <c r="N151" s="5">
        <f t="shared" si="11"/>
        <v>4733.5145030999993</v>
      </c>
      <c r="O151" s="5">
        <v>3192.39</v>
      </c>
      <c r="P151" s="5">
        <v>0</v>
      </c>
      <c r="Q151" s="5">
        <v>324.2</v>
      </c>
      <c r="R151" s="5">
        <v>383.19</v>
      </c>
      <c r="S151" s="5">
        <v>1006.4345030999998</v>
      </c>
      <c r="T151" s="5">
        <v>172.7</v>
      </c>
      <c r="U151">
        <v>0</v>
      </c>
      <c r="V151">
        <v>0</v>
      </c>
      <c r="X151">
        <v>0</v>
      </c>
      <c r="Y151" t="s">
        <v>44</v>
      </c>
      <c r="AD151" t="s">
        <v>45</v>
      </c>
      <c r="AE151" t="s">
        <v>46</v>
      </c>
      <c r="AF151" s="5">
        <f t="shared" si="12"/>
        <v>4733.5145030999993</v>
      </c>
      <c r="AG151">
        <f t="shared" si="9"/>
        <v>0</v>
      </c>
      <c r="AH151" s="5">
        <f t="shared" si="10"/>
        <v>4733.5145030999993</v>
      </c>
      <c r="AJ151" t="s">
        <v>54</v>
      </c>
    </row>
    <row r="152" spans="1:36" x14ac:dyDescent="0.3">
      <c r="A152" t="s">
        <v>55</v>
      </c>
      <c r="B152" t="s">
        <v>55</v>
      </c>
      <c r="C152" t="s">
        <v>56</v>
      </c>
      <c r="E152">
        <v>153</v>
      </c>
      <c r="F152" t="s">
        <v>299</v>
      </c>
      <c r="G152" t="s">
        <v>59</v>
      </c>
      <c r="H152" t="s">
        <v>40</v>
      </c>
      <c r="I152" s="4">
        <v>45908</v>
      </c>
      <c r="J152" s="4">
        <v>45933</v>
      </c>
      <c r="K152" t="s">
        <v>41</v>
      </c>
      <c r="L152" t="s">
        <v>42</v>
      </c>
      <c r="M152" t="s">
        <v>43</v>
      </c>
      <c r="N152" s="5">
        <f t="shared" si="11"/>
        <v>4906.0420438000001</v>
      </c>
      <c r="O152" s="5">
        <v>2664.74</v>
      </c>
      <c r="P152" s="5">
        <v>0</v>
      </c>
      <c r="Q152" s="5">
        <v>614.71</v>
      </c>
      <c r="R152" s="5">
        <v>577.09</v>
      </c>
      <c r="S152" s="5">
        <v>1129.3320437999998</v>
      </c>
      <c r="T152" s="5">
        <v>79.83</v>
      </c>
      <c r="U152">
        <v>0</v>
      </c>
      <c r="V152">
        <v>0</v>
      </c>
      <c r="X152">
        <v>0</v>
      </c>
      <c r="Y152" t="s">
        <v>44</v>
      </c>
      <c r="AD152" t="s">
        <v>45</v>
      </c>
      <c r="AE152" t="s">
        <v>46</v>
      </c>
      <c r="AF152" s="5">
        <f t="shared" si="12"/>
        <v>4906.0420438000001</v>
      </c>
      <c r="AG152">
        <f t="shared" si="9"/>
        <v>0</v>
      </c>
      <c r="AH152" s="5">
        <f t="shared" si="10"/>
        <v>4906.0420438000001</v>
      </c>
      <c r="AJ152" t="s">
        <v>54</v>
      </c>
    </row>
    <row r="153" spans="1:36" x14ac:dyDescent="0.3">
      <c r="A153" t="s">
        <v>55</v>
      </c>
      <c r="B153" t="s">
        <v>55</v>
      </c>
      <c r="C153" t="s">
        <v>56</v>
      </c>
      <c r="E153">
        <v>154</v>
      </c>
      <c r="F153" t="s">
        <v>300</v>
      </c>
      <c r="G153" t="s">
        <v>174</v>
      </c>
      <c r="H153" t="s">
        <v>40</v>
      </c>
      <c r="I153" s="4">
        <v>45908</v>
      </c>
      <c r="J153" s="4">
        <v>46034</v>
      </c>
      <c r="K153" t="s">
        <v>41</v>
      </c>
      <c r="L153" t="s">
        <v>42</v>
      </c>
      <c r="M153" t="s">
        <v>43</v>
      </c>
      <c r="N153" s="5">
        <f t="shared" si="11"/>
        <v>2649.7980008999998</v>
      </c>
      <c r="O153" s="5">
        <v>2189.9699999999998</v>
      </c>
      <c r="P153" s="5">
        <v>0</v>
      </c>
      <c r="Q153" s="5">
        <v>0</v>
      </c>
      <c r="R153" s="5">
        <v>0</v>
      </c>
      <c r="S153" s="5">
        <v>459.82800089999995</v>
      </c>
      <c r="T153" s="5">
        <v>0</v>
      </c>
      <c r="U153">
        <v>0</v>
      </c>
      <c r="V153">
        <v>0</v>
      </c>
      <c r="X153">
        <v>0</v>
      </c>
      <c r="Y153" t="s">
        <v>44</v>
      </c>
      <c r="AD153" t="s">
        <v>45</v>
      </c>
      <c r="AE153" t="s">
        <v>46</v>
      </c>
      <c r="AF153" s="5">
        <f t="shared" si="12"/>
        <v>2649.7980008999998</v>
      </c>
      <c r="AG153">
        <f t="shared" si="9"/>
        <v>0</v>
      </c>
      <c r="AH153" s="5">
        <f t="shared" si="10"/>
        <v>2649.7980008999998</v>
      </c>
      <c r="AJ153" t="s">
        <v>54</v>
      </c>
    </row>
    <row r="154" spans="1:36" x14ac:dyDescent="0.3">
      <c r="A154" t="s">
        <v>277</v>
      </c>
      <c r="B154" t="s">
        <v>55</v>
      </c>
      <c r="C154" t="s">
        <v>56</v>
      </c>
      <c r="D154" t="s">
        <v>57</v>
      </c>
      <c r="E154">
        <v>156</v>
      </c>
      <c r="F154" t="s">
        <v>301</v>
      </c>
      <c r="G154" t="s">
        <v>106</v>
      </c>
      <c r="H154" t="s">
        <v>68</v>
      </c>
      <c r="I154" s="4">
        <v>45908</v>
      </c>
      <c r="J154" s="4"/>
      <c r="K154" t="s">
        <v>61</v>
      </c>
      <c r="L154" t="s">
        <v>42</v>
      </c>
      <c r="M154" t="s">
        <v>43</v>
      </c>
      <c r="N154" s="5">
        <f t="shared" si="11"/>
        <v>10690.827663</v>
      </c>
      <c r="O154" s="5">
        <v>5377.9</v>
      </c>
      <c r="P154" s="5">
        <v>4183.7299999999996</v>
      </c>
      <c r="Q154" s="5">
        <v>0</v>
      </c>
      <c r="R154" s="5">
        <v>0</v>
      </c>
      <c r="S154" s="5">
        <v>1129.1976629999999</v>
      </c>
      <c r="T154" s="5">
        <v>0</v>
      </c>
      <c r="U154">
        <v>1363.44</v>
      </c>
      <c r="V154">
        <v>0</v>
      </c>
      <c r="W154">
        <v>600</v>
      </c>
      <c r="X154" t="s">
        <v>44</v>
      </c>
      <c r="Y154" t="s">
        <v>44</v>
      </c>
      <c r="AD154" t="s">
        <v>45</v>
      </c>
      <c r="AE154" t="s">
        <v>46</v>
      </c>
      <c r="AF154" s="5">
        <f t="shared" si="12"/>
        <v>12654.267663000001</v>
      </c>
      <c r="AG154">
        <f t="shared" si="9"/>
        <v>0</v>
      </c>
      <c r="AH154" s="5">
        <f t="shared" si="10"/>
        <v>12654.267663000001</v>
      </c>
      <c r="AJ154" t="s">
        <v>54</v>
      </c>
    </row>
    <row r="155" spans="1:36" x14ac:dyDescent="0.3">
      <c r="A155" t="s">
        <v>55</v>
      </c>
      <c r="B155" t="s">
        <v>55</v>
      </c>
      <c r="C155" t="s">
        <v>56</v>
      </c>
      <c r="D155" t="s">
        <v>57</v>
      </c>
      <c r="E155">
        <v>157</v>
      </c>
      <c r="F155" t="s">
        <v>302</v>
      </c>
      <c r="G155" t="s">
        <v>207</v>
      </c>
      <c r="H155" t="s">
        <v>68</v>
      </c>
      <c r="I155" s="4">
        <v>45908</v>
      </c>
      <c r="J155" s="4"/>
      <c r="K155" t="s">
        <v>61</v>
      </c>
      <c r="L155" t="s">
        <v>42</v>
      </c>
      <c r="M155" t="s">
        <v>43</v>
      </c>
      <c r="N155" s="5">
        <f t="shared" si="11"/>
        <v>10612.457663000001</v>
      </c>
      <c r="O155" s="5">
        <v>5377.9</v>
      </c>
      <c r="P155" s="5">
        <v>4105.3600000000006</v>
      </c>
      <c r="Q155" s="5">
        <v>0</v>
      </c>
      <c r="R155" s="5">
        <v>0</v>
      </c>
      <c r="S155" s="5">
        <v>1129.1976629999999</v>
      </c>
      <c r="T155" s="5">
        <v>0</v>
      </c>
      <c r="U155">
        <v>1401.4399999999998</v>
      </c>
      <c r="V155">
        <v>0</v>
      </c>
      <c r="X155" t="s">
        <v>44</v>
      </c>
      <c r="Y155" t="s">
        <v>44</v>
      </c>
      <c r="AD155" t="s">
        <v>45</v>
      </c>
      <c r="AE155" t="s">
        <v>46</v>
      </c>
      <c r="AF155" s="5">
        <f t="shared" si="12"/>
        <v>12013.897663000002</v>
      </c>
      <c r="AG155">
        <f t="shared" si="9"/>
        <v>0</v>
      </c>
      <c r="AH155" s="5">
        <f t="shared" si="10"/>
        <v>12013.897663000002</v>
      </c>
      <c r="AJ155" t="s">
        <v>54</v>
      </c>
    </row>
    <row r="156" spans="1:36" x14ac:dyDescent="0.3">
      <c r="A156" t="s">
        <v>55</v>
      </c>
      <c r="B156" t="s">
        <v>55</v>
      </c>
      <c r="C156" t="s">
        <v>56</v>
      </c>
      <c r="E156">
        <v>158</v>
      </c>
      <c r="F156" t="s">
        <v>303</v>
      </c>
      <c r="G156" t="s">
        <v>174</v>
      </c>
      <c r="H156">
        <v>0</v>
      </c>
      <c r="I156" s="4">
        <v>45910</v>
      </c>
      <c r="J156" s="4"/>
      <c r="K156" t="s">
        <v>178</v>
      </c>
      <c r="L156" t="s">
        <v>42</v>
      </c>
      <c r="M156" t="s">
        <v>43</v>
      </c>
      <c r="N156" s="5">
        <f t="shared" si="11"/>
        <v>2649.7980008999998</v>
      </c>
      <c r="O156" s="5">
        <v>2189.9699999999998</v>
      </c>
      <c r="P156" s="5">
        <v>0</v>
      </c>
      <c r="Q156" s="5">
        <v>0</v>
      </c>
      <c r="R156" s="5">
        <v>0</v>
      </c>
      <c r="S156" s="5">
        <v>459.82800089999995</v>
      </c>
      <c r="T156" s="5">
        <v>0</v>
      </c>
      <c r="U156">
        <v>1162.4000000000001</v>
      </c>
      <c r="V156">
        <v>0</v>
      </c>
      <c r="X156" t="s">
        <v>44</v>
      </c>
      <c r="Y156" t="s">
        <v>44</v>
      </c>
      <c r="AD156" t="s">
        <v>45</v>
      </c>
      <c r="AE156" t="s">
        <v>46</v>
      </c>
      <c r="AF156" s="5">
        <f t="shared" si="12"/>
        <v>3812.1980008999999</v>
      </c>
      <c r="AG156">
        <f t="shared" si="9"/>
        <v>0</v>
      </c>
      <c r="AH156" s="5">
        <f t="shared" si="10"/>
        <v>3812.1980008999999</v>
      </c>
      <c r="AJ156" t="s">
        <v>54</v>
      </c>
    </row>
    <row r="157" spans="1:36" x14ac:dyDescent="0.3">
      <c r="A157" t="s">
        <v>55</v>
      </c>
      <c r="B157" t="s">
        <v>55</v>
      </c>
      <c r="C157" t="s">
        <v>56</v>
      </c>
      <c r="E157">
        <v>159</v>
      </c>
      <c r="F157" t="s">
        <v>304</v>
      </c>
      <c r="G157" t="s">
        <v>106</v>
      </c>
      <c r="H157" t="s">
        <v>40</v>
      </c>
      <c r="I157" s="4">
        <v>45908</v>
      </c>
      <c r="J157" s="4">
        <v>45978</v>
      </c>
      <c r="K157" t="s">
        <v>41</v>
      </c>
      <c r="L157" t="s">
        <v>42</v>
      </c>
      <c r="M157" t="s">
        <v>43</v>
      </c>
      <c r="N157" s="5">
        <f t="shared" si="11"/>
        <v>6188.3915649999999</v>
      </c>
      <c r="O157" s="5">
        <v>5114.5</v>
      </c>
      <c r="P157" s="5">
        <v>0</v>
      </c>
      <c r="Q157" s="5">
        <v>0</v>
      </c>
      <c r="R157" s="5">
        <v>0</v>
      </c>
      <c r="S157" s="5">
        <v>1073.8915649999997</v>
      </c>
      <c r="T157" s="5">
        <v>0</v>
      </c>
      <c r="U157">
        <v>0</v>
      </c>
      <c r="V157">
        <v>0</v>
      </c>
      <c r="X157">
        <v>0</v>
      </c>
      <c r="Y157" t="s">
        <v>44</v>
      </c>
      <c r="AD157" t="s">
        <v>45</v>
      </c>
      <c r="AE157" t="s">
        <v>46</v>
      </c>
      <c r="AF157" s="5">
        <f t="shared" si="12"/>
        <v>6188.3915649999999</v>
      </c>
      <c r="AG157">
        <f t="shared" si="9"/>
        <v>0</v>
      </c>
      <c r="AH157" s="5">
        <f t="shared" si="10"/>
        <v>6188.3915649999999</v>
      </c>
      <c r="AJ157" t="s">
        <v>54</v>
      </c>
    </row>
    <row r="158" spans="1:36" s="6" customFormat="1" x14ac:dyDescent="0.3">
      <c r="A158" s="6" t="s">
        <v>89</v>
      </c>
      <c r="B158" s="6" t="s">
        <v>90</v>
      </c>
      <c r="C158" s="6" t="s">
        <v>37</v>
      </c>
      <c r="E158" s="6">
        <v>160</v>
      </c>
      <c r="F158" s="6" t="s">
        <v>305</v>
      </c>
      <c r="G158" s="6" t="s">
        <v>92</v>
      </c>
      <c r="H158" t="s">
        <v>68</v>
      </c>
      <c r="I158" s="4">
        <v>45910</v>
      </c>
      <c r="J158" s="4"/>
      <c r="K158" s="6" t="s">
        <v>61</v>
      </c>
      <c r="L158" t="s">
        <v>42</v>
      </c>
      <c r="M158" s="6" t="s">
        <v>43</v>
      </c>
      <c r="N158" s="5">
        <f t="shared" si="11"/>
        <v>10529.8323115</v>
      </c>
      <c r="O158" s="5">
        <v>5572.95</v>
      </c>
      <c r="P158" s="5">
        <v>3786.73</v>
      </c>
      <c r="Q158" s="5">
        <v>0</v>
      </c>
      <c r="R158" s="5">
        <v>0</v>
      </c>
      <c r="S158" s="5">
        <v>1170.1523115</v>
      </c>
      <c r="T158" s="5">
        <v>0</v>
      </c>
      <c r="U158" s="6">
        <v>1350.12</v>
      </c>
      <c r="V158" s="6">
        <v>2000</v>
      </c>
      <c r="W158" s="6">
        <v>1200</v>
      </c>
      <c r="X158" s="6" t="s">
        <v>306</v>
      </c>
      <c r="Y158" s="6" t="s">
        <v>307</v>
      </c>
      <c r="AD158" s="6" t="s">
        <v>45</v>
      </c>
      <c r="AE158" s="6" t="s">
        <v>46</v>
      </c>
      <c r="AF158" s="7">
        <f t="shared" si="12"/>
        <v>13079.952311500001</v>
      </c>
      <c r="AG158" s="6">
        <f t="shared" si="9"/>
        <v>2000</v>
      </c>
      <c r="AH158" s="7">
        <f t="shared" si="10"/>
        <v>15079.952311500001</v>
      </c>
      <c r="AJ158" s="6" t="s">
        <v>54</v>
      </c>
    </row>
    <row r="159" spans="1:36" x14ac:dyDescent="0.3">
      <c r="A159" t="s">
        <v>55</v>
      </c>
      <c r="B159" t="s">
        <v>55</v>
      </c>
      <c r="C159" t="s">
        <v>56</v>
      </c>
      <c r="E159">
        <v>161</v>
      </c>
      <c r="F159" t="s">
        <v>308</v>
      </c>
      <c r="G159" t="s">
        <v>133</v>
      </c>
      <c r="H159" t="s">
        <v>40</v>
      </c>
      <c r="I159" s="4">
        <v>45910</v>
      </c>
      <c r="J159" s="4">
        <v>45940</v>
      </c>
      <c r="K159" t="s">
        <v>41</v>
      </c>
      <c r="L159" t="s">
        <v>42</v>
      </c>
      <c r="M159" t="s">
        <v>43</v>
      </c>
      <c r="N159" s="5">
        <f t="shared" si="11"/>
        <v>6226.5025396999999</v>
      </c>
      <c r="O159" s="5">
        <v>4452</v>
      </c>
      <c r="P159" s="5">
        <v>0</v>
      </c>
      <c r="Q159" s="5">
        <v>489.93</v>
      </c>
      <c r="R159" s="5">
        <v>310.7</v>
      </c>
      <c r="S159" s="5">
        <v>1186.7525396999999</v>
      </c>
      <c r="T159" s="5">
        <v>212.88</v>
      </c>
      <c r="U159">
        <v>0</v>
      </c>
      <c r="V159">
        <v>0</v>
      </c>
      <c r="X159">
        <v>0</v>
      </c>
      <c r="Y159" t="s">
        <v>44</v>
      </c>
      <c r="AD159" t="s">
        <v>45</v>
      </c>
      <c r="AE159" t="s">
        <v>46</v>
      </c>
      <c r="AF159" s="5">
        <f t="shared" si="12"/>
        <v>6226.5025396999999</v>
      </c>
      <c r="AG159">
        <f t="shared" si="9"/>
        <v>0</v>
      </c>
      <c r="AH159" s="5">
        <f t="shared" si="10"/>
        <v>6226.5025396999999</v>
      </c>
      <c r="AJ159" t="s">
        <v>54</v>
      </c>
    </row>
    <row r="160" spans="1:36" x14ac:dyDescent="0.3">
      <c r="A160" t="s">
        <v>55</v>
      </c>
      <c r="B160" t="s">
        <v>55</v>
      </c>
      <c r="C160" t="s">
        <v>56</v>
      </c>
      <c r="D160" t="s">
        <v>129</v>
      </c>
      <c r="E160">
        <v>162</v>
      </c>
      <c r="F160" t="s">
        <v>309</v>
      </c>
      <c r="G160" t="s">
        <v>209</v>
      </c>
      <c r="H160" t="s">
        <v>60</v>
      </c>
      <c r="I160" s="4">
        <v>45931</v>
      </c>
      <c r="J160" s="4"/>
      <c r="K160" t="s">
        <v>61</v>
      </c>
      <c r="L160" t="s">
        <v>42</v>
      </c>
      <c r="M160" t="s">
        <v>43</v>
      </c>
      <c r="N160" s="5">
        <f t="shared" si="11"/>
        <v>5934.1555188000002</v>
      </c>
      <c r="O160" s="5">
        <v>2801.97</v>
      </c>
      <c r="P160" s="5">
        <v>1743.04</v>
      </c>
      <c r="Q160" s="5">
        <v>332.77</v>
      </c>
      <c r="R160" s="5">
        <v>299.12</v>
      </c>
      <c r="S160" s="5">
        <v>860.04551879999997</v>
      </c>
      <c r="T160" s="5">
        <v>102.78999999999999</v>
      </c>
      <c r="U160">
        <v>1316.5599999999997</v>
      </c>
      <c r="V160">
        <v>0</v>
      </c>
      <c r="X160" t="s">
        <v>44</v>
      </c>
      <c r="Y160" t="s">
        <v>44</v>
      </c>
      <c r="AD160" t="s">
        <v>45</v>
      </c>
      <c r="AE160" t="s">
        <v>46</v>
      </c>
      <c r="AF160" s="5">
        <f t="shared" si="12"/>
        <v>7250.7155187999997</v>
      </c>
      <c r="AG160">
        <f t="shared" si="9"/>
        <v>0</v>
      </c>
      <c r="AH160" s="5">
        <f t="shared" si="10"/>
        <v>7250.7155187999997</v>
      </c>
      <c r="AJ160" t="s">
        <v>54</v>
      </c>
    </row>
    <row r="161" spans="1:36" x14ac:dyDescent="0.3">
      <c r="A161" t="s">
        <v>55</v>
      </c>
      <c r="B161" t="s">
        <v>55</v>
      </c>
      <c r="C161" t="s">
        <v>56</v>
      </c>
      <c r="E161">
        <v>163</v>
      </c>
      <c r="F161" t="s">
        <v>310</v>
      </c>
      <c r="G161" t="s">
        <v>139</v>
      </c>
      <c r="H161" t="s">
        <v>68</v>
      </c>
      <c r="I161" s="4">
        <v>45931</v>
      </c>
      <c r="J161" s="4"/>
      <c r="K161" t="s">
        <v>61</v>
      </c>
      <c r="L161" t="s">
        <v>42</v>
      </c>
      <c r="M161" t="s">
        <v>43</v>
      </c>
      <c r="N161" s="5">
        <f t="shared" si="11"/>
        <v>7730.8625146000013</v>
      </c>
      <c r="O161" s="5">
        <v>3356.8</v>
      </c>
      <c r="P161" s="5">
        <v>2183.4100000000003</v>
      </c>
      <c r="Q161" s="5">
        <v>735.44</v>
      </c>
      <c r="R161" s="5">
        <v>414.11</v>
      </c>
      <c r="S161" s="5">
        <v>1086.8425146</v>
      </c>
      <c r="T161" s="5">
        <v>45.74</v>
      </c>
      <c r="U161">
        <v>1180.3599999999997</v>
      </c>
      <c r="V161">
        <v>0</v>
      </c>
      <c r="X161" t="s">
        <v>44</v>
      </c>
      <c r="Y161" t="s">
        <v>44</v>
      </c>
      <c r="Z161">
        <v>15000</v>
      </c>
      <c r="AD161" t="s">
        <v>65</v>
      </c>
      <c r="AE161" t="s">
        <v>46</v>
      </c>
      <c r="AF161" s="5">
        <f t="shared" si="12"/>
        <v>8911.2225146000019</v>
      </c>
      <c r="AG161">
        <f t="shared" si="9"/>
        <v>15000</v>
      </c>
      <c r="AH161" s="5">
        <f t="shared" si="10"/>
        <v>23911.222514600002</v>
      </c>
      <c r="AJ161" t="s">
        <v>54</v>
      </c>
    </row>
    <row r="162" spans="1:36" x14ac:dyDescent="0.3">
      <c r="A162" t="s">
        <v>55</v>
      </c>
      <c r="B162" t="s">
        <v>55</v>
      </c>
      <c r="C162" t="s">
        <v>56</v>
      </c>
      <c r="E162">
        <v>165</v>
      </c>
      <c r="F162" t="s">
        <v>311</v>
      </c>
      <c r="G162" t="s">
        <v>82</v>
      </c>
      <c r="H162" t="s">
        <v>68</v>
      </c>
      <c r="I162" s="4">
        <v>45931</v>
      </c>
      <c r="J162" s="4"/>
      <c r="K162" t="s">
        <v>61</v>
      </c>
      <c r="L162" t="s">
        <v>42</v>
      </c>
      <c r="M162" t="s">
        <v>43</v>
      </c>
      <c r="N162" s="5">
        <f t="shared" si="11"/>
        <v>5021.8976584000002</v>
      </c>
      <c r="O162" s="5">
        <v>2302.75</v>
      </c>
      <c r="P162" s="5">
        <v>604.51</v>
      </c>
      <c r="Q162" s="5">
        <v>1249.73</v>
      </c>
      <c r="R162" s="5">
        <v>242.93</v>
      </c>
      <c r="S162" s="5">
        <v>794.67765839999993</v>
      </c>
      <c r="T162" s="5">
        <v>172.7</v>
      </c>
      <c r="U162">
        <v>1320.9999999999998</v>
      </c>
      <c r="V162">
        <v>0</v>
      </c>
      <c r="X162" t="s">
        <v>44</v>
      </c>
      <c r="Y162" t="s">
        <v>44</v>
      </c>
      <c r="AD162" t="s">
        <v>45</v>
      </c>
      <c r="AE162" t="s">
        <v>46</v>
      </c>
      <c r="AF162" s="5">
        <f t="shared" si="12"/>
        <v>6342.8976584000002</v>
      </c>
      <c r="AG162">
        <f t="shared" si="9"/>
        <v>0</v>
      </c>
      <c r="AH162" s="5">
        <f t="shared" si="10"/>
        <v>6342.8976584000002</v>
      </c>
      <c r="AJ162" t="s">
        <v>54</v>
      </c>
    </row>
    <row r="163" spans="1:36" s="6" customFormat="1" x14ac:dyDescent="0.3">
      <c r="A163" s="6" t="s">
        <v>55</v>
      </c>
      <c r="B163" s="6" t="s">
        <v>55</v>
      </c>
      <c r="C163" s="6" t="s">
        <v>56</v>
      </c>
      <c r="D163" s="6" t="s">
        <v>57</v>
      </c>
      <c r="E163" s="6">
        <v>166</v>
      </c>
      <c r="F163" s="6" t="s">
        <v>312</v>
      </c>
      <c r="G163" s="6" t="s">
        <v>98</v>
      </c>
      <c r="H163" t="s">
        <v>60</v>
      </c>
      <c r="I163" s="4">
        <v>45931</v>
      </c>
      <c r="J163" s="4"/>
      <c r="K163" s="6" t="s">
        <v>61</v>
      </c>
      <c r="L163" t="s">
        <v>42</v>
      </c>
      <c r="M163" s="6" t="s">
        <v>43</v>
      </c>
      <c r="N163" s="5">
        <f t="shared" si="11"/>
        <v>13289.979054799998</v>
      </c>
      <c r="O163" s="5">
        <v>7244.84</v>
      </c>
      <c r="P163" s="5">
        <v>4523.9399999999996</v>
      </c>
      <c r="Q163" s="5">
        <v>0</v>
      </c>
      <c r="R163" s="5">
        <v>0</v>
      </c>
      <c r="S163" s="5">
        <v>1521.1990547999999</v>
      </c>
      <c r="T163" s="5">
        <v>0</v>
      </c>
      <c r="U163" s="6">
        <v>1316.5599999999997</v>
      </c>
      <c r="V163" s="6">
        <v>2000</v>
      </c>
      <c r="W163" s="6">
        <v>1000</v>
      </c>
      <c r="X163" s="6" t="s">
        <v>313</v>
      </c>
      <c r="Y163" s="6" t="s">
        <v>314</v>
      </c>
      <c r="AD163" s="6" t="s">
        <v>45</v>
      </c>
      <c r="AE163" s="6" t="s">
        <v>46</v>
      </c>
      <c r="AF163" s="7">
        <f t="shared" si="12"/>
        <v>15606.539054799998</v>
      </c>
      <c r="AG163" s="6">
        <f t="shared" si="9"/>
        <v>2000</v>
      </c>
      <c r="AH163" s="7">
        <f t="shared" si="10"/>
        <v>17606.5390548</v>
      </c>
      <c r="AJ163" s="6" t="s">
        <v>54</v>
      </c>
    </row>
    <row r="164" spans="1:36" x14ac:dyDescent="0.3">
      <c r="A164" t="s">
        <v>55</v>
      </c>
      <c r="B164" t="s">
        <v>55</v>
      </c>
      <c r="C164" t="s">
        <v>56</v>
      </c>
      <c r="E164">
        <v>167</v>
      </c>
      <c r="F164" t="s">
        <v>315</v>
      </c>
      <c r="G164" t="s">
        <v>82</v>
      </c>
      <c r="H164" t="s">
        <v>40</v>
      </c>
      <c r="I164" s="4">
        <v>45931</v>
      </c>
      <c r="J164" s="4">
        <v>45952</v>
      </c>
      <c r="K164" t="s">
        <v>41</v>
      </c>
      <c r="L164" t="s">
        <v>42</v>
      </c>
      <c r="M164" t="s">
        <v>43</v>
      </c>
      <c r="N164" s="5">
        <f t="shared" si="11"/>
        <v>2649.7980008999998</v>
      </c>
      <c r="O164" s="5">
        <v>2189.9699999999998</v>
      </c>
      <c r="P164" s="5">
        <v>0</v>
      </c>
      <c r="Q164" s="5">
        <v>0</v>
      </c>
      <c r="R164" s="5">
        <v>0</v>
      </c>
      <c r="S164" s="5">
        <v>459.82800089999995</v>
      </c>
      <c r="T164" s="5">
        <v>0</v>
      </c>
      <c r="U164">
        <v>0</v>
      </c>
      <c r="V164">
        <v>0</v>
      </c>
      <c r="X164">
        <v>0</v>
      </c>
      <c r="Y164" t="s">
        <v>44</v>
      </c>
      <c r="AD164" t="s">
        <v>45</v>
      </c>
      <c r="AE164" t="s">
        <v>46</v>
      </c>
      <c r="AF164" s="5">
        <f t="shared" si="12"/>
        <v>2649.7980008999998</v>
      </c>
      <c r="AG164">
        <f t="shared" si="9"/>
        <v>0</v>
      </c>
      <c r="AH164" s="5">
        <f t="shared" si="10"/>
        <v>2649.7980008999998</v>
      </c>
      <c r="AJ164" t="s">
        <v>54</v>
      </c>
    </row>
    <row r="165" spans="1:36" x14ac:dyDescent="0.3">
      <c r="A165" t="s">
        <v>55</v>
      </c>
      <c r="B165" t="s">
        <v>55</v>
      </c>
      <c r="C165" t="s">
        <v>56</v>
      </c>
      <c r="D165" t="s">
        <v>57</v>
      </c>
      <c r="E165">
        <v>168</v>
      </c>
      <c r="F165" t="s">
        <v>316</v>
      </c>
      <c r="G165" t="s">
        <v>98</v>
      </c>
      <c r="H165" t="s">
        <v>40</v>
      </c>
      <c r="I165" s="4">
        <v>45932</v>
      </c>
      <c r="J165" s="4">
        <v>46070</v>
      </c>
      <c r="K165" t="s">
        <v>41</v>
      </c>
      <c r="L165" t="s">
        <v>42</v>
      </c>
      <c r="M165" t="s">
        <v>43</v>
      </c>
      <c r="N165" s="5">
        <f t="shared" si="11"/>
        <v>9582.6186835000008</v>
      </c>
      <c r="O165" s="5">
        <v>6890</v>
      </c>
      <c r="P165" s="5">
        <v>0</v>
      </c>
      <c r="Q165" s="5">
        <v>504.2</v>
      </c>
      <c r="R165" s="5">
        <v>433.5</v>
      </c>
      <c r="S165" s="5">
        <v>1797.4586835000002</v>
      </c>
      <c r="T165" s="5">
        <v>42.54</v>
      </c>
      <c r="U165">
        <v>0</v>
      </c>
      <c r="V165">
        <v>0</v>
      </c>
      <c r="X165" t="s">
        <v>44</v>
      </c>
      <c r="Y165" t="s">
        <v>44</v>
      </c>
      <c r="AD165" t="s">
        <v>45</v>
      </c>
      <c r="AE165" t="s">
        <v>46</v>
      </c>
      <c r="AF165" s="5">
        <f t="shared" si="12"/>
        <v>9582.6186835000008</v>
      </c>
      <c r="AG165">
        <f t="shared" si="9"/>
        <v>0</v>
      </c>
      <c r="AH165" s="5">
        <f t="shared" si="10"/>
        <v>9582.6186835000008</v>
      </c>
      <c r="AJ165" t="s">
        <v>54</v>
      </c>
    </row>
    <row r="166" spans="1:36" x14ac:dyDescent="0.3">
      <c r="A166" t="s">
        <v>36</v>
      </c>
      <c r="B166" t="s">
        <v>179</v>
      </c>
      <c r="C166" t="s">
        <v>37</v>
      </c>
      <c r="D166" t="s">
        <v>317</v>
      </c>
      <c r="E166">
        <v>169</v>
      </c>
      <c r="F166" t="s">
        <v>318</v>
      </c>
      <c r="G166" t="s">
        <v>39</v>
      </c>
      <c r="H166" t="s">
        <v>60</v>
      </c>
      <c r="I166" s="4">
        <v>45932</v>
      </c>
      <c r="J166" s="4"/>
      <c r="K166" t="s">
        <v>61</v>
      </c>
      <c r="L166" t="s">
        <v>42</v>
      </c>
      <c r="M166" t="s">
        <v>43</v>
      </c>
      <c r="N166" s="5">
        <f t="shared" si="11"/>
        <v>5540.7298665999997</v>
      </c>
      <c r="O166" s="5">
        <v>3195.53</v>
      </c>
      <c r="P166" s="5">
        <v>614.93000000000006</v>
      </c>
      <c r="Q166" s="5">
        <v>154.66999999999999</v>
      </c>
      <c r="R166" s="5">
        <v>647.69000000000005</v>
      </c>
      <c r="S166" s="5">
        <v>1217.3598666</v>
      </c>
      <c r="T166" s="5">
        <v>289.45</v>
      </c>
      <c r="U166">
        <v>1213.92</v>
      </c>
      <c r="V166">
        <v>0</v>
      </c>
      <c r="W166">
        <v>600</v>
      </c>
      <c r="X166" t="s">
        <v>44</v>
      </c>
      <c r="Y166" t="s">
        <v>44</v>
      </c>
      <c r="AD166" t="s">
        <v>45</v>
      </c>
      <c r="AE166" t="s">
        <v>46</v>
      </c>
      <c r="AF166" s="5">
        <f t="shared" si="12"/>
        <v>7354.6498665999998</v>
      </c>
      <c r="AG166">
        <f t="shared" si="9"/>
        <v>0</v>
      </c>
      <c r="AH166" s="5">
        <f t="shared" si="10"/>
        <v>7354.6498665999998</v>
      </c>
      <c r="AJ166" t="s">
        <v>47</v>
      </c>
    </row>
    <row r="167" spans="1:36" x14ac:dyDescent="0.3">
      <c r="A167" t="s">
        <v>55</v>
      </c>
      <c r="B167" t="s">
        <v>55</v>
      </c>
      <c r="C167" t="s">
        <v>56</v>
      </c>
      <c r="E167">
        <v>170</v>
      </c>
      <c r="F167" t="s">
        <v>319</v>
      </c>
      <c r="G167" t="s">
        <v>106</v>
      </c>
      <c r="H167" t="s">
        <v>40</v>
      </c>
      <c r="I167" s="4">
        <v>45938</v>
      </c>
      <c r="J167" s="4">
        <v>45980</v>
      </c>
      <c r="K167" t="s">
        <v>41</v>
      </c>
      <c r="L167" t="s">
        <v>42</v>
      </c>
      <c r="M167" t="s">
        <v>43</v>
      </c>
      <c r="N167" s="5">
        <f t="shared" si="11"/>
        <v>6961.1989885000003</v>
      </c>
      <c r="O167" s="5">
        <v>5114.5</v>
      </c>
      <c r="P167" s="5">
        <v>0</v>
      </c>
      <c r="Q167" s="5">
        <v>0</v>
      </c>
      <c r="R167" s="5">
        <v>524.66</v>
      </c>
      <c r="S167" s="5">
        <v>1410.3789885000003</v>
      </c>
      <c r="T167" s="5">
        <v>88.34</v>
      </c>
      <c r="U167">
        <v>0</v>
      </c>
      <c r="V167">
        <v>0</v>
      </c>
      <c r="X167" t="s">
        <v>44</v>
      </c>
      <c r="Y167" t="s">
        <v>44</v>
      </c>
      <c r="AD167" t="s">
        <v>45</v>
      </c>
      <c r="AE167" t="s">
        <v>46</v>
      </c>
      <c r="AF167" s="5">
        <f t="shared" si="12"/>
        <v>6961.1989885000003</v>
      </c>
      <c r="AG167">
        <f t="shared" si="9"/>
        <v>0</v>
      </c>
      <c r="AH167" s="5">
        <f t="shared" si="10"/>
        <v>6961.1989885000003</v>
      </c>
      <c r="AJ167" t="s">
        <v>54</v>
      </c>
    </row>
    <row r="168" spans="1:36" x14ac:dyDescent="0.3">
      <c r="A168" t="s">
        <v>55</v>
      </c>
      <c r="B168" t="s">
        <v>55</v>
      </c>
      <c r="C168" t="s">
        <v>56</v>
      </c>
      <c r="E168">
        <v>171</v>
      </c>
      <c r="F168" t="s">
        <v>320</v>
      </c>
      <c r="G168" t="s">
        <v>321</v>
      </c>
      <c r="H168" t="s">
        <v>40</v>
      </c>
      <c r="I168" s="4">
        <v>45938</v>
      </c>
      <c r="J168" s="4">
        <v>46027</v>
      </c>
      <c r="K168" t="s">
        <v>41</v>
      </c>
      <c r="L168" t="s">
        <v>42</v>
      </c>
      <c r="M168" t="s">
        <v>43</v>
      </c>
      <c r="N168" s="5">
        <f t="shared" si="11"/>
        <v>7072.2556608000004</v>
      </c>
      <c r="O168" s="5">
        <v>4452</v>
      </c>
      <c r="P168" s="5">
        <v>0</v>
      </c>
      <c r="Q168" s="5">
        <v>500</v>
      </c>
      <c r="R168" s="5">
        <v>1147.8500000000001</v>
      </c>
      <c r="S168" s="5">
        <v>1390.9756607999998</v>
      </c>
      <c r="T168" s="5">
        <v>418.57</v>
      </c>
      <c r="U168">
        <v>0</v>
      </c>
      <c r="V168">
        <v>0</v>
      </c>
      <c r="X168">
        <v>0</v>
      </c>
      <c r="Y168" t="s">
        <v>44</v>
      </c>
      <c r="AD168" t="s">
        <v>45</v>
      </c>
      <c r="AE168" t="s">
        <v>46</v>
      </c>
      <c r="AF168" s="5">
        <f t="shared" si="12"/>
        <v>7072.2556608000004</v>
      </c>
      <c r="AG168">
        <f t="shared" si="9"/>
        <v>0</v>
      </c>
      <c r="AH168" s="5">
        <f t="shared" si="10"/>
        <v>7072.2556608000004</v>
      </c>
      <c r="AJ168" t="s">
        <v>54</v>
      </c>
    </row>
    <row r="169" spans="1:36" x14ac:dyDescent="0.3">
      <c r="A169" t="s">
        <v>55</v>
      </c>
      <c r="B169" t="s">
        <v>55</v>
      </c>
      <c r="C169" t="s">
        <v>56</v>
      </c>
      <c r="D169" t="s">
        <v>192</v>
      </c>
      <c r="E169">
        <v>172</v>
      </c>
      <c r="F169" t="s">
        <v>322</v>
      </c>
      <c r="G169" t="s">
        <v>133</v>
      </c>
      <c r="H169" t="s">
        <v>68</v>
      </c>
      <c r="I169" s="4">
        <v>45938</v>
      </c>
      <c r="J169" s="4"/>
      <c r="K169" t="s">
        <v>61</v>
      </c>
      <c r="L169" t="s">
        <v>42</v>
      </c>
      <c r="M169" t="s">
        <v>43</v>
      </c>
      <c r="N169" s="5">
        <f t="shared" si="11"/>
        <v>9646.3853676999988</v>
      </c>
      <c r="O169" s="5">
        <v>4681.28</v>
      </c>
      <c r="P169" s="5">
        <v>2574.08</v>
      </c>
      <c r="Q169" s="5">
        <v>517.82000000000005</v>
      </c>
      <c r="R169" s="5">
        <v>464.11</v>
      </c>
      <c r="S169" s="5">
        <v>1474.9153676999999</v>
      </c>
      <c r="T169" s="5">
        <v>65.819999999999993</v>
      </c>
      <c r="U169">
        <v>1363.4399999999998</v>
      </c>
      <c r="V169">
        <v>0</v>
      </c>
      <c r="X169" t="s">
        <v>44</v>
      </c>
      <c r="Y169" t="s">
        <v>44</v>
      </c>
      <c r="Z169">
        <v>15000</v>
      </c>
      <c r="AD169" t="s">
        <v>88</v>
      </c>
      <c r="AE169" t="s">
        <v>46</v>
      </c>
      <c r="AF169" s="5">
        <f t="shared" si="12"/>
        <v>11009.825367699999</v>
      </c>
      <c r="AG169">
        <f t="shared" si="9"/>
        <v>15000</v>
      </c>
      <c r="AH169" s="5">
        <f t="shared" si="10"/>
        <v>26009.825367699999</v>
      </c>
      <c r="AJ169" t="s">
        <v>54</v>
      </c>
    </row>
    <row r="170" spans="1:36" x14ac:dyDescent="0.3">
      <c r="A170" t="s">
        <v>55</v>
      </c>
      <c r="B170" t="s">
        <v>55</v>
      </c>
      <c r="C170" t="s">
        <v>56</v>
      </c>
      <c r="D170" t="s">
        <v>83</v>
      </c>
      <c r="E170">
        <v>173</v>
      </c>
      <c r="F170" t="s">
        <v>323</v>
      </c>
      <c r="G170" t="s">
        <v>324</v>
      </c>
      <c r="H170" t="s">
        <v>40</v>
      </c>
      <c r="I170" s="4">
        <v>45938</v>
      </c>
      <c r="J170" s="4">
        <v>46122</v>
      </c>
      <c r="K170" t="s">
        <v>41</v>
      </c>
      <c r="L170" t="s">
        <v>42</v>
      </c>
      <c r="M170" t="s">
        <v>43</v>
      </c>
      <c r="N170" s="5">
        <f t="shared" si="11"/>
        <v>4057.1746063999999</v>
      </c>
      <c r="O170" s="5">
        <v>3353.12</v>
      </c>
      <c r="P170" s="5">
        <v>0</v>
      </c>
      <c r="Q170" s="5">
        <v>0</v>
      </c>
      <c r="R170" s="5">
        <v>0</v>
      </c>
      <c r="S170" s="5">
        <v>704.05460640000013</v>
      </c>
      <c r="T170" s="5">
        <v>0</v>
      </c>
      <c r="U170">
        <v>0</v>
      </c>
      <c r="V170">
        <v>0</v>
      </c>
      <c r="X170">
        <v>0</v>
      </c>
      <c r="Y170" t="s">
        <v>44</v>
      </c>
      <c r="AD170" t="s">
        <v>45</v>
      </c>
      <c r="AE170" t="s">
        <v>46</v>
      </c>
      <c r="AF170" s="5">
        <f t="shared" si="12"/>
        <v>4057.1746063999999</v>
      </c>
      <c r="AG170">
        <f t="shared" si="9"/>
        <v>0</v>
      </c>
      <c r="AH170" s="5">
        <f t="shared" si="10"/>
        <v>4057.1746063999999</v>
      </c>
      <c r="AJ170" t="s">
        <v>54</v>
      </c>
    </row>
    <row r="171" spans="1:36" x14ac:dyDescent="0.3">
      <c r="A171" t="s">
        <v>55</v>
      </c>
      <c r="B171" t="s">
        <v>55</v>
      </c>
      <c r="C171" t="s">
        <v>56</v>
      </c>
      <c r="D171" t="s">
        <v>57</v>
      </c>
      <c r="E171">
        <v>174</v>
      </c>
      <c r="F171" t="s">
        <v>325</v>
      </c>
      <c r="G171" t="s">
        <v>207</v>
      </c>
      <c r="H171" t="s">
        <v>60</v>
      </c>
      <c r="I171" s="4">
        <v>45938</v>
      </c>
      <c r="J171" s="4"/>
      <c r="K171" t="s">
        <v>61</v>
      </c>
      <c r="L171" t="s">
        <v>42</v>
      </c>
      <c r="M171" t="s">
        <v>43</v>
      </c>
      <c r="N171" s="5">
        <f t="shared" si="11"/>
        <v>8747.9776629999997</v>
      </c>
      <c r="O171" s="5">
        <v>5377.9</v>
      </c>
      <c r="P171" s="5">
        <v>2240.88</v>
      </c>
      <c r="Q171" s="5">
        <v>0</v>
      </c>
      <c r="R171" s="5">
        <v>0</v>
      </c>
      <c r="S171" s="5">
        <v>1129.1976629999999</v>
      </c>
      <c r="T171" s="5">
        <v>0</v>
      </c>
      <c r="U171">
        <v>1077.72</v>
      </c>
      <c r="V171">
        <v>0</v>
      </c>
      <c r="X171" t="s">
        <v>44</v>
      </c>
      <c r="Y171" t="s">
        <v>44</v>
      </c>
      <c r="AD171" t="s">
        <v>45</v>
      </c>
      <c r="AE171" t="s">
        <v>46</v>
      </c>
      <c r="AF171" s="5">
        <f t="shared" si="12"/>
        <v>9825.697662999999</v>
      </c>
      <c r="AG171">
        <f t="shared" si="9"/>
        <v>0</v>
      </c>
      <c r="AH171" s="5">
        <f t="shared" si="10"/>
        <v>9825.697662999999</v>
      </c>
      <c r="AJ171" t="s">
        <v>54</v>
      </c>
    </row>
    <row r="172" spans="1:36" x14ac:dyDescent="0.3">
      <c r="A172" t="s">
        <v>55</v>
      </c>
      <c r="B172" t="s">
        <v>55</v>
      </c>
      <c r="C172" t="s">
        <v>56</v>
      </c>
      <c r="E172">
        <v>175</v>
      </c>
      <c r="F172" t="s">
        <v>326</v>
      </c>
      <c r="G172" t="s">
        <v>59</v>
      </c>
      <c r="H172" t="s">
        <v>40</v>
      </c>
      <c r="I172" s="4">
        <v>45938</v>
      </c>
      <c r="J172" s="4">
        <v>46066</v>
      </c>
      <c r="K172" t="s">
        <v>41</v>
      </c>
      <c r="L172" t="s">
        <v>42</v>
      </c>
      <c r="M172" t="s">
        <v>43</v>
      </c>
      <c r="N172" s="5">
        <f t="shared" si="11"/>
        <v>3224.2554577999999</v>
      </c>
      <c r="O172" s="5">
        <v>2664.74</v>
      </c>
      <c r="P172" s="5">
        <v>0</v>
      </c>
      <c r="Q172" s="5">
        <v>0</v>
      </c>
      <c r="R172" s="5">
        <v>0</v>
      </c>
      <c r="S172" s="5">
        <v>559.51545779999992</v>
      </c>
      <c r="T172" s="5">
        <v>0</v>
      </c>
      <c r="U172">
        <v>0</v>
      </c>
      <c r="V172">
        <v>0</v>
      </c>
      <c r="X172">
        <v>0</v>
      </c>
      <c r="Y172" t="s">
        <v>44</v>
      </c>
      <c r="AD172" t="s">
        <v>45</v>
      </c>
      <c r="AE172" t="s">
        <v>46</v>
      </c>
      <c r="AF172" s="5">
        <f t="shared" si="12"/>
        <v>3224.2554577999999</v>
      </c>
      <c r="AG172">
        <f t="shared" si="9"/>
        <v>0</v>
      </c>
      <c r="AH172" s="5">
        <f t="shared" si="10"/>
        <v>3224.2554577999999</v>
      </c>
      <c r="AJ172" t="s">
        <v>54</v>
      </c>
    </row>
    <row r="173" spans="1:36" x14ac:dyDescent="0.3">
      <c r="A173" t="s">
        <v>55</v>
      </c>
      <c r="B173" t="s">
        <v>55</v>
      </c>
      <c r="C173" t="s">
        <v>56</v>
      </c>
      <c r="E173">
        <v>176</v>
      </c>
      <c r="F173" t="s">
        <v>327</v>
      </c>
      <c r="G173" t="s">
        <v>59</v>
      </c>
      <c r="H173" t="s">
        <v>40</v>
      </c>
      <c r="I173" s="4">
        <v>45938</v>
      </c>
      <c r="J173" s="4">
        <v>46066</v>
      </c>
      <c r="K173" t="s">
        <v>41</v>
      </c>
      <c r="L173" t="s">
        <v>42</v>
      </c>
      <c r="M173" t="s">
        <v>43</v>
      </c>
      <c r="N173" s="5">
        <f t="shared" si="11"/>
        <v>4427.3752362999994</v>
      </c>
      <c r="O173" s="5">
        <v>2664.74</v>
      </c>
      <c r="P173" s="5">
        <v>0</v>
      </c>
      <c r="Q173" s="5">
        <v>564.20000000000005</v>
      </c>
      <c r="R173" s="5">
        <v>477.95</v>
      </c>
      <c r="S173" s="5">
        <v>984.50523630000009</v>
      </c>
      <c r="T173" s="5">
        <v>264.02</v>
      </c>
      <c r="U173">
        <v>0</v>
      </c>
      <c r="V173">
        <v>0</v>
      </c>
      <c r="X173">
        <v>0</v>
      </c>
      <c r="Y173" t="s">
        <v>44</v>
      </c>
      <c r="AD173" t="s">
        <v>45</v>
      </c>
      <c r="AE173" t="s">
        <v>46</v>
      </c>
      <c r="AF173" s="5">
        <f t="shared" si="12"/>
        <v>4427.3752362999994</v>
      </c>
      <c r="AG173">
        <f t="shared" si="9"/>
        <v>0</v>
      </c>
      <c r="AH173" s="5">
        <f t="shared" si="10"/>
        <v>4427.3752362999994</v>
      </c>
      <c r="AJ173" t="s">
        <v>54</v>
      </c>
    </row>
    <row r="174" spans="1:36" x14ac:dyDescent="0.3">
      <c r="A174" t="s">
        <v>55</v>
      </c>
      <c r="B174" t="s">
        <v>55</v>
      </c>
      <c r="C174" t="s">
        <v>56</v>
      </c>
      <c r="D174" t="s">
        <v>93</v>
      </c>
      <c r="E174">
        <v>177</v>
      </c>
      <c r="F174" t="s">
        <v>328</v>
      </c>
      <c r="G174" t="s">
        <v>78</v>
      </c>
      <c r="H174" t="s">
        <v>68</v>
      </c>
      <c r="I174" s="4">
        <v>45938</v>
      </c>
      <c r="J174" s="4"/>
      <c r="K174" t="s">
        <v>61</v>
      </c>
      <c r="L174" t="s">
        <v>42</v>
      </c>
      <c r="M174" t="s">
        <v>43</v>
      </c>
      <c r="N174" s="5">
        <f t="shared" si="11"/>
        <v>5669.8459148999991</v>
      </c>
      <c r="O174" s="5">
        <v>2801.97</v>
      </c>
      <c r="P174" s="5">
        <v>206.81</v>
      </c>
      <c r="Q174" s="5">
        <v>1362.53</v>
      </c>
      <c r="R174" s="5">
        <v>348.3</v>
      </c>
      <c r="S174" s="5">
        <v>1118.3359149</v>
      </c>
      <c r="T174" s="5">
        <v>168.1</v>
      </c>
      <c r="U174">
        <v>327.11999999999989</v>
      </c>
      <c r="V174">
        <v>0</v>
      </c>
      <c r="X174" t="s">
        <v>44</v>
      </c>
      <c r="Y174" t="s">
        <v>44</v>
      </c>
      <c r="AD174" t="s">
        <v>45</v>
      </c>
      <c r="AE174" t="s">
        <v>46</v>
      </c>
      <c r="AF174" s="5">
        <f t="shared" si="12"/>
        <v>5996.965914899999</v>
      </c>
      <c r="AG174">
        <f t="shared" si="9"/>
        <v>0</v>
      </c>
      <c r="AH174" s="5">
        <f t="shared" si="10"/>
        <v>5996.965914899999</v>
      </c>
      <c r="AJ174" t="s">
        <v>54</v>
      </c>
    </row>
    <row r="175" spans="1:36" x14ac:dyDescent="0.3">
      <c r="A175" t="s">
        <v>55</v>
      </c>
      <c r="B175" t="s">
        <v>55</v>
      </c>
      <c r="C175" t="s">
        <v>56</v>
      </c>
      <c r="E175">
        <v>178</v>
      </c>
      <c r="F175" t="s">
        <v>329</v>
      </c>
      <c r="G175" t="s">
        <v>82</v>
      </c>
      <c r="H175" t="s">
        <v>40</v>
      </c>
      <c r="I175" s="4">
        <v>45938</v>
      </c>
      <c r="J175" s="4">
        <v>45975</v>
      </c>
      <c r="K175" t="s">
        <v>41</v>
      </c>
      <c r="L175" t="s">
        <v>42</v>
      </c>
      <c r="M175" t="s">
        <v>43</v>
      </c>
      <c r="N175" s="5">
        <f t="shared" si="11"/>
        <v>2649.7980008999998</v>
      </c>
      <c r="O175" s="5">
        <v>2189.9699999999998</v>
      </c>
      <c r="P175" s="5">
        <v>0</v>
      </c>
      <c r="Q175" s="5">
        <v>0</v>
      </c>
      <c r="R175" s="5">
        <v>0</v>
      </c>
      <c r="S175" s="5">
        <v>459.82800089999995</v>
      </c>
      <c r="T175" s="5">
        <v>0</v>
      </c>
      <c r="U175">
        <v>0</v>
      </c>
      <c r="V175">
        <v>0</v>
      </c>
      <c r="X175">
        <v>0</v>
      </c>
      <c r="Y175" t="s">
        <v>44</v>
      </c>
      <c r="AD175" t="s">
        <v>45</v>
      </c>
      <c r="AE175" t="s">
        <v>46</v>
      </c>
      <c r="AF175" s="5">
        <f t="shared" si="12"/>
        <v>2649.7980008999998</v>
      </c>
      <c r="AG175">
        <f t="shared" si="9"/>
        <v>0</v>
      </c>
      <c r="AH175" s="5">
        <f t="shared" si="10"/>
        <v>2649.7980008999998</v>
      </c>
      <c r="AJ175" t="s">
        <v>54</v>
      </c>
    </row>
    <row r="176" spans="1:36" x14ac:dyDescent="0.3">
      <c r="A176" t="s">
        <v>89</v>
      </c>
      <c r="B176" t="s">
        <v>143</v>
      </c>
      <c r="C176" t="s">
        <v>37</v>
      </c>
      <c r="D176" t="s">
        <v>144</v>
      </c>
      <c r="E176">
        <v>179</v>
      </c>
      <c r="F176" t="s">
        <v>330</v>
      </c>
      <c r="G176" t="s">
        <v>331</v>
      </c>
      <c r="H176" t="s">
        <v>40</v>
      </c>
      <c r="I176" s="4">
        <v>45950</v>
      </c>
      <c r="J176" s="4">
        <v>46120</v>
      </c>
      <c r="K176" t="s">
        <v>41</v>
      </c>
      <c r="L176" t="s">
        <v>42</v>
      </c>
      <c r="M176" t="s">
        <v>43</v>
      </c>
      <c r="N176" s="5">
        <f t="shared" si="11"/>
        <v>7695.4092000000001</v>
      </c>
      <c r="O176" s="5">
        <v>6360</v>
      </c>
      <c r="P176" s="5">
        <v>0</v>
      </c>
      <c r="Q176" s="5">
        <v>0</v>
      </c>
      <c r="R176" s="5">
        <v>0</v>
      </c>
      <c r="S176" s="5">
        <v>1335.4092000000001</v>
      </c>
      <c r="T176" s="5">
        <v>0</v>
      </c>
      <c r="U176">
        <v>0</v>
      </c>
      <c r="V176">
        <v>0</v>
      </c>
      <c r="X176">
        <v>0</v>
      </c>
      <c r="Y176" t="s">
        <v>44</v>
      </c>
      <c r="AD176" t="s">
        <v>45</v>
      </c>
      <c r="AE176" t="s">
        <v>46</v>
      </c>
      <c r="AF176" s="5">
        <f t="shared" si="12"/>
        <v>7695.4092000000001</v>
      </c>
      <c r="AG176">
        <f t="shared" si="9"/>
        <v>0</v>
      </c>
      <c r="AH176" s="5">
        <f t="shared" si="10"/>
        <v>7695.4092000000001</v>
      </c>
      <c r="AJ176" t="s">
        <v>47</v>
      </c>
    </row>
    <row r="177" spans="1:36" x14ac:dyDescent="0.3">
      <c r="A177" t="s">
        <v>48</v>
      </c>
      <c r="B177" t="s">
        <v>48</v>
      </c>
      <c r="C177" t="s">
        <v>37</v>
      </c>
      <c r="D177" t="s">
        <v>102</v>
      </c>
      <c r="E177">
        <v>180</v>
      </c>
      <c r="F177" t="s">
        <v>332</v>
      </c>
      <c r="G177" t="s">
        <v>333</v>
      </c>
      <c r="H177" t="s">
        <v>60</v>
      </c>
      <c r="I177" s="4">
        <v>45971</v>
      </c>
      <c r="J177" s="4"/>
      <c r="K177" t="s">
        <v>61</v>
      </c>
      <c r="L177" t="s">
        <v>42</v>
      </c>
      <c r="M177" t="s">
        <v>43</v>
      </c>
      <c r="N177" s="5">
        <f t="shared" si="11"/>
        <v>11657.744185</v>
      </c>
      <c r="O177" s="5">
        <v>7360.5</v>
      </c>
      <c r="P177" s="5">
        <v>2751.76</v>
      </c>
      <c r="Q177" s="5">
        <v>0</v>
      </c>
      <c r="R177" s="5">
        <v>0</v>
      </c>
      <c r="S177" s="5">
        <v>1545.4841849999998</v>
      </c>
      <c r="T177" s="5">
        <v>0</v>
      </c>
      <c r="U177">
        <v>1367.8799999999997</v>
      </c>
      <c r="V177">
        <v>0</v>
      </c>
      <c r="W177">
        <v>600</v>
      </c>
      <c r="X177" t="s">
        <v>44</v>
      </c>
      <c r="Y177" t="s">
        <v>44</v>
      </c>
      <c r="AD177" t="s">
        <v>45</v>
      </c>
      <c r="AE177" t="s">
        <v>46</v>
      </c>
      <c r="AF177" s="5">
        <f t="shared" si="12"/>
        <v>13625.624184999999</v>
      </c>
      <c r="AG177">
        <f t="shared" si="9"/>
        <v>0</v>
      </c>
      <c r="AH177" s="5">
        <f t="shared" si="10"/>
        <v>13625.624184999999</v>
      </c>
      <c r="AJ177" t="s">
        <v>54</v>
      </c>
    </row>
    <row r="178" spans="1:36" x14ac:dyDescent="0.3">
      <c r="A178" t="s">
        <v>55</v>
      </c>
      <c r="B178" t="s">
        <v>55</v>
      </c>
      <c r="C178" t="s">
        <v>56</v>
      </c>
      <c r="D178" t="s">
        <v>199</v>
      </c>
      <c r="E178">
        <v>181</v>
      </c>
      <c r="F178" t="s">
        <v>334</v>
      </c>
      <c r="G178" t="s">
        <v>209</v>
      </c>
      <c r="H178" t="s">
        <v>68</v>
      </c>
      <c r="I178" s="4">
        <v>45964</v>
      </c>
      <c r="J178" s="4"/>
      <c r="K178" t="s">
        <v>61</v>
      </c>
      <c r="L178" t="s">
        <v>42</v>
      </c>
      <c r="M178" t="s">
        <v>43</v>
      </c>
      <c r="N178" s="5">
        <f t="shared" si="11"/>
        <v>4894.5496408999988</v>
      </c>
      <c r="O178" s="5">
        <v>2801.97</v>
      </c>
      <c r="P178" s="5">
        <v>1504.25</v>
      </c>
      <c r="Q178" s="5">
        <v>0</v>
      </c>
      <c r="R178" s="5">
        <v>0</v>
      </c>
      <c r="S178" s="5">
        <v>588.32964089999996</v>
      </c>
      <c r="T178" s="5">
        <v>0</v>
      </c>
      <c r="U178">
        <v>1149.2799999999997</v>
      </c>
      <c r="V178">
        <v>0</v>
      </c>
      <c r="X178" t="s">
        <v>44</v>
      </c>
      <c r="Y178" t="s">
        <v>44</v>
      </c>
      <c r="AD178" t="s">
        <v>45</v>
      </c>
      <c r="AE178" t="s">
        <v>46</v>
      </c>
      <c r="AF178" s="5">
        <f t="shared" si="12"/>
        <v>6043.8296408999986</v>
      </c>
      <c r="AG178">
        <f t="shared" si="9"/>
        <v>0</v>
      </c>
      <c r="AH178" s="5">
        <f t="shared" si="10"/>
        <v>6043.8296408999986</v>
      </c>
      <c r="AJ178" t="s">
        <v>54</v>
      </c>
    </row>
    <row r="179" spans="1:36" x14ac:dyDescent="0.3">
      <c r="A179" t="s">
        <v>55</v>
      </c>
      <c r="B179" t="s">
        <v>55</v>
      </c>
      <c r="C179" t="s">
        <v>56</v>
      </c>
      <c r="D179" t="s">
        <v>185</v>
      </c>
      <c r="E179">
        <v>182</v>
      </c>
      <c r="F179" t="s">
        <v>335</v>
      </c>
      <c r="G179" t="s">
        <v>207</v>
      </c>
      <c r="H179" t="s">
        <v>60</v>
      </c>
      <c r="I179" s="4">
        <v>45964</v>
      </c>
      <c r="J179" s="4"/>
      <c r="K179" t="s">
        <v>61</v>
      </c>
      <c r="L179" t="s">
        <v>42</v>
      </c>
      <c r="M179" t="s">
        <v>43</v>
      </c>
      <c r="N179" s="5">
        <f t="shared" si="11"/>
        <v>13072.493556999998</v>
      </c>
      <c r="O179" s="5">
        <v>5377.9</v>
      </c>
      <c r="P179" s="5">
        <v>2867.5699999999997</v>
      </c>
      <c r="Q179" s="5">
        <v>686.47</v>
      </c>
      <c r="R179" s="5">
        <v>2052.67</v>
      </c>
      <c r="S179" s="5">
        <v>2151.7935569999995</v>
      </c>
      <c r="T179" s="5">
        <v>63.91</v>
      </c>
      <c r="U179">
        <v>1053.04</v>
      </c>
      <c r="V179">
        <v>0</v>
      </c>
      <c r="X179" t="s">
        <v>44</v>
      </c>
      <c r="Y179" t="s">
        <v>44</v>
      </c>
      <c r="AD179" t="s">
        <v>45</v>
      </c>
      <c r="AE179" t="s">
        <v>46</v>
      </c>
      <c r="AF179" s="5">
        <f t="shared" si="12"/>
        <v>14125.533556999999</v>
      </c>
      <c r="AG179">
        <f t="shared" si="9"/>
        <v>0</v>
      </c>
      <c r="AH179" s="5">
        <f t="shared" si="10"/>
        <v>14125.533556999999</v>
      </c>
      <c r="AJ179" t="s">
        <v>54</v>
      </c>
    </row>
    <row r="180" spans="1:36" x14ac:dyDescent="0.3">
      <c r="A180" t="s">
        <v>55</v>
      </c>
      <c r="B180" t="s">
        <v>55</v>
      </c>
      <c r="C180" t="s">
        <v>56</v>
      </c>
      <c r="E180">
        <v>183</v>
      </c>
      <c r="F180" t="s">
        <v>336</v>
      </c>
      <c r="G180" t="s">
        <v>82</v>
      </c>
      <c r="H180" t="s">
        <v>60</v>
      </c>
      <c r="I180" s="4">
        <v>45950</v>
      </c>
      <c r="J180" s="4"/>
      <c r="K180" t="s">
        <v>61</v>
      </c>
      <c r="L180" t="s">
        <v>42</v>
      </c>
      <c r="M180" t="s">
        <v>43</v>
      </c>
      <c r="N180" s="5">
        <f t="shared" si="11"/>
        <v>3386.4439574463499</v>
      </c>
      <c r="O180" s="5">
        <v>2302.753455</v>
      </c>
      <c r="P180" s="5">
        <v>0</v>
      </c>
      <c r="Q180" s="5">
        <v>0</v>
      </c>
      <c r="R180" s="5">
        <v>458.3</v>
      </c>
      <c r="S180" s="5">
        <v>708.46050244635001</v>
      </c>
      <c r="T180" s="5">
        <v>83.07</v>
      </c>
      <c r="U180">
        <v>0</v>
      </c>
      <c r="V180">
        <v>0</v>
      </c>
      <c r="X180" t="s">
        <v>44</v>
      </c>
      <c r="Y180" t="s">
        <v>44</v>
      </c>
      <c r="AD180" t="s">
        <v>45</v>
      </c>
      <c r="AE180" t="s">
        <v>46</v>
      </c>
      <c r="AF180" s="5">
        <f t="shared" si="12"/>
        <v>3386.4439574463499</v>
      </c>
      <c r="AG180">
        <f t="shared" si="9"/>
        <v>0</v>
      </c>
      <c r="AH180" s="5">
        <f t="shared" si="10"/>
        <v>3386.4439574463499</v>
      </c>
      <c r="AJ180" t="s">
        <v>54</v>
      </c>
    </row>
    <row r="181" spans="1:36" x14ac:dyDescent="0.3">
      <c r="A181" t="s">
        <v>55</v>
      </c>
      <c r="B181" t="s">
        <v>55</v>
      </c>
      <c r="C181" t="s">
        <v>56</v>
      </c>
      <c r="E181">
        <v>184</v>
      </c>
      <c r="F181" t="s">
        <v>337</v>
      </c>
      <c r="G181" t="s">
        <v>174</v>
      </c>
      <c r="H181" t="s">
        <v>40</v>
      </c>
      <c r="I181" s="4">
        <v>45950</v>
      </c>
      <c r="J181" s="4">
        <v>46038</v>
      </c>
      <c r="K181" t="s">
        <v>41</v>
      </c>
      <c r="L181" t="s">
        <v>42</v>
      </c>
      <c r="M181" t="s">
        <v>43</v>
      </c>
      <c r="N181" s="5">
        <f t="shared" si="11"/>
        <v>2649.7980008999998</v>
      </c>
      <c r="O181" s="5">
        <v>2189.9699999999998</v>
      </c>
      <c r="P181" s="5">
        <v>0</v>
      </c>
      <c r="Q181" s="5">
        <v>0</v>
      </c>
      <c r="R181" s="5">
        <v>0</v>
      </c>
      <c r="S181" s="5">
        <v>459.82800089999995</v>
      </c>
      <c r="T181" s="5">
        <v>0</v>
      </c>
      <c r="U181">
        <v>0</v>
      </c>
      <c r="V181">
        <v>0</v>
      </c>
      <c r="X181">
        <v>0</v>
      </c>
      <c r="Y181" t="s">
        <v>44</v>
      </c>
      <c r="AD181" t="s">
        <v>45</v>
      </c>
      <c r="AE181" t="s">
        <v>46</v>
      </c>
      <c r="AF181" s="5">
        <f t="shared" si="12"/>
        <v>2649.7980008999998</v>
      </c>
      <c r="AG181">
        <f t="shared" si="9"/>
        <v>0</v>
      </c>
      <c r="AH181" s="5">
        <f t="shared" si="10"/>
        <v>2649.7980008999998</v>
      </c>
      <c r="AJ181" t="s">
        <v>54</v>
      </c>
    </row>
    <row r="182" spans="1:36" x14ac:dyDescent="0.3">
      <c r="A182" t="s">
        <v>55</v>
      </c>
      <c r="B182" t="s">
        <v>55</v>
      </c>
      <c r="C182" t="s">
        <v>56</v>
      </c>
      <c r="E182">
        <v>186</v>
      </c>
      <c r="F182" t="s">
        <v>338</v>
      </c>
      <c r="G182" t="s">
        <v>174</v>
      </c>
      <c r="H182" t="s">
        <v>40</v>
      </c>
      <c r="I182" s="4">
        <v>45950</v>
      </c>
      <c r="J182" s="4">
        <v>46058</v>
      </c>
      <c r="K182" t="s">
        <v>41</v>
      </c>
      <c r="L182" t="s">
        <v>42</v>
      </c>
      <c r="M182" t="s">
        <v>43</v>
      </c>
      <c r="N182" s="5">
        <f t="shared" si="11"/>
        <v>2649.7980008999998</v>
      </c>
      <c r="O182" s="5">
        <v>2189.9699999999998</v>
      </c>
      <c r="P182" s="5">
        <v>0</v>
      </c>
      <c r="Q182" s="5">
        <v>0</v>
      </c>
      <c r="R182" s="5">
        <v>0</v>
      </c>
      <c r="S182" s="5">
        <v>459.82800089999995</v>
      </c>
      <c r="T182" s="5">
        <v>0</v>
      </c>
      <c r="U182">
        <v>0</v>
      </c>
      <c r="V182">
        <v>0</v>
      </c>
      <c r="X182">
        <v>0</v>
      </c>
      <c r="Y182" t="s">
        <v>44</v>
      </c>
      <c r="AD182" t="s">
        <v>45</v>
      </c>
      <c r="AE182" t="s">
        <v>46</v>
      </c>
      <c r="AF182" s="5">
        <f t="shared" si="12"/>
        <v>2649.7980008999998</v>
      </c>
      <c r="AG182">
        <f t="shared" si="9"/>
        <v>0</v>
      </c>
      <c r="AH182" s="5">
        <f t="shared" si="10"/>
        <v>2649.7980008999998</v>
      </c>
      <c r="AJ182" t="s">
        <v>54</v>
      </c>
    </row>
    <row r="183" spans="1:36" x14ac:dyDescent="0.3">
      <c r="A183" t="s">
        <v>55</v>
      </c>
      <c r="B183" t="s">
        <v>55</v>
      </c>
      <c r="C183" t="s">
        <v>56</v>
      </c>
      <c r="D183" t="s">
        <v>339</v>
      </c>
      <c r="E183">
        <v>187</v>
      </c>
      <c r="F183" t="s">
        <v>340</v>
      </c>
      <c r="G183" t="s">
        <v>174</v>
      </c>
      <c r="H183" t="s">
        <v>40</v>
      </c>
      <c r="I183" s="4">
        <v>45950</v>
      </c>
      <c r="J183" s="4">
        <v>46128</v>
      </c>
      <c r="K183" t="s">
        <v>41</v>
      </c>
      <c r="L183" t="s">
        <v>42</v>
      </c>
      <c r="M183" t="s">
        <v>43</v>
      </c>
      <c r="N183" s="5">
        <f t="shared" si="11"/>
        <v>4250.6486356999994</v>
      </c>
      <c r="O183" s="5">
        <v>2189.9699999999998</v>
      </c>
      <c r="P183" s="5">
        <v>0</v>
      </c>
      <c r="Q183" s="5">
        <v>527.54000000000008</v>
      </c>
      <c r="R183" s="5">
        <v>530.22</v>
      </c>
      <c r="S183" s="5">
        <v>1060.0986356999999</v>
      </c>
      <c r="T183" s="5">
        <v>57.18</v>
      </c>
      <c r="U183">
        <v>0</v>
      </c>
      <c r="V183">
        <v>0</v>
      </c>
      <c r="X183">
        <v>0</v>
      </c>
      <c r="Y183" t="s">
        <v>44</v>
      </c>
      <c r="AD183" t="s">
        <v>45</v>
      </c>
      <c r="AE183" t="s">
        <v>46</v>
      </c>
      <c r="AF183" s="5">
        <f t="shared" si="12"/>
        <v>4250.6486356999994</v>
      </c>
      <c r="AG183">
        <f t="shared" si="9"/>
        <v>0</v>
      </c>
      <c r="AH183" s="5">
        <f t="shared" si="10"/>
        <v>4250.6486356999994</v>
      </c>
      <c r="AJ183" t="s">
        <v>54</v>
      </c>
    </row>
    <row r="184" spans="1:36" x14ac:dyDescent="0.3">
      <c r="A184" t="s">
        <v>89</v>
      </c>
      <c r="B184" t="s">
        <v>90</v>
      </c>
      <c r="C184" t="s">
        <v>37</v>
      </c>
      <c r="E184">
        <v>188</v>
      </c>
      <c r="F184" t="s">
        <v>91</v>
      </c>
      <c r="G184" t="s">
        <v>341</v>
      </c>
      <c r="H184" t="s">
        <v>40</v>
      </c>
      <c r="I184" s="4">
        <v>45953</v>
      </c>
      <c r="J184" s="4">
        <v>46149</v>
      </c>
      <c r="K184" t="s">
        <v>41</v>
      </c>
      <c r="L184" t="s">
        <v>42</v>
      </c>
      <c r="M184" t="s">
        <v>43</v>
      </c>
      <c r="N184" s="5">
        <f t="shared" si="11"/>
        <v>8006.4354442000003</v>
      </c>
      <c r="O184" s="5">
        <v>6360</v>
      </c>
      <c r="P184" s="5">
        <v>0</v>
      </c>
      <c r="Q184" s="5">
        <v>0</v>
      </c>
      <c r="R184" s="5">
        <v>181.96</v>
      </c>
      <c r="S184" s="5">
        <v>1505.8754441999999</v>
      </c>
      <c r="T184" s="5">
        <v>41.4</v>
      </c>
      <c r="U184">
        <v>0</v>
      </c>
      <c r="V184">
        <v>0</v>
      </c>
      <c r="X184" t="s">
        <v>44</v>
      </c>
      <c r="Y184" t="s">
        <v>44</v>
      </c>
      <c r="AD184" t="s">
        <v>45</v>
      </c>
      <c r="AE184" t="s">
        <v>46</v>
      </c>
      <c r="AF184" s="5">
        <f t="shared" si="12"/>
        <v>8006.4354442000003</v>
      </c>
      <c r="AG184">
        <f t="shared" si="9"/>
        <v>0</v>
      </c>
      <c r="AH184" s="5">
        <f t="shared" si="10"/>
        <v>8006.4354442000003</v>
      </c>
      <c r="AJ184" t="s">
        <v>54</v>
      </c>
    </row>
    <row r="185" spans="1:36" x14ac:dyDescent="0.3">
      <c r="A185" t="s">
        <v>55</v>
      </c>
      <c r="B185" t="s">
        <v>55</v>
      </c>
      <c r="C185" t="s">
        <v>56</v>
      </c>
      <c r="E185">
        <v>189</v>
      </c>
      <c r="F185" t="s">
        <v>342</v>
      </c>
      <c r="G185" t="s">
        <v>177</v>
      </c>
      <c r="H185" t="s">
        <v>40</v>
      </c>
      <c r="I185" s="4">
        <v>45964</v>
      </c>
      <c r="J185" s="4">
        <v>46057</v>
      </c>
      <c r="K185" t="s">
        <v>41</v>
      </c>
      <c r="L185" t="s">
        <v>42</v>
      </c>
      <c r="M185" t="s">
        <v>43</v>
      </c>
      <c r="N185" s="5">
        <f t="shared" si="11"/>
        <v>3862.6961283000001</v>
      </c>
      <c r="O185" s="5">
        <v>3192.39</v>
      </c>
      <c r="P185" s="5">
        <v>0</v>
      </c>
      <c r="Q185" s="5">
        <v>0</v>
      </c>
      <c r="R185" s="5">
        <v>0</v>
      </c>
      <c r="S185" s="5">
        <v>670.30612829999995</v>
      </c>
      <c r="T185" s="5">
        <v>0</v>
      </c>
      <c r="U185">
        <v>0</v>
      </c>
      <c r="V185">
        <v>0</v>
      </c>
      <c r="X185">
        <v>0</v>
      </c>
      <c r="Y185" t="s">
        <v>44</v>
      </c>
      <c r="AD185" t="s">
        <v>45</v>
      </c>
      <c r="AE185" t="s">
        <v>46</v>
      </c>
      <c r="AF185" s="5">
        <f t="shared" si="12"/>
        <v>3862.6961283000001</v>
      </c>
      <c r="AG185">
        <f t="shared" si="9"/>
        <v>0</v>
      </c>
      <c r="AH185" s="5">
        <f t="shared" si="10"/>
        <v>3862.6961283000001</v>
      </c>
      <c r="AJ185" t="s">
        <v>54</v>
      </c>
    </row>
    <row r="186" spans="1:36" x14ac:dyDescent="0.3">
      <c r="A186" t="s">
        <v>55</v>
      </c>
      <c r="B186" t="s">
        <v>55</v>
      </c>
      <c r="C186" t="s">
        <v>56</v>
      </c>
      <c r="E186">
        <v>190</v>
      </c>
      <c r="F186" t="s">
        <v>343</v>
      </c>
      <c r="G186" t="s">
        <v>59</v>
      </c>
      <c r="H186" t="s">
        <v>40</v>
      </c>
      <c r="I186" s="4">
        <v>45964</v>
      </c>
      <c r="J186" s="4">
        <v>46030</v>
      </c>
      <c r="K186" t="s">
        <v>41</v>
      </c>
      <c r="L186" t="s">
        <v>42</v>
      </c>
      <c r="M186" t="s">
        <v>43</v>
      </c>
      <c r="N186" s="5">
        <f t="shared" si="11"/>
        <v>4099.3303812999993</v>
      </c>
      <c r="O186" s="5">
        <v>2664.74</v>
      </c>
      <c r="P186" s="5">
        <v>0</v>
      </c>
      <c r="Q186" s="5">
        <v>324.2</v>
      </c>
      <c r="R186" s="5">
        <v>350.72</v>
      </c>
      <c r="S186" s="5">
        <v>843.51038129999995</v>
      </c>
      <c r="T186" s="5">
        <v>83.84</v>
      </c>
      <c r="U186">
        <v>0</v>
      </c>
      <c r="V186">
        <v>0</v>
      </c>
      <c r="X186">
        <v>0</v>
      </c>
      <c r="Y186" t="s">
        <v>44</v>
      </c>
      <c r="AD186" t="s">
        <v>45</v>
      </c>
      <c r="AE186" t="s">
        <v>46</v>
      </c>
      <c r="AF186" s="5">
        <f t="shared" si="12"/>
        <v>4099.3303812999993</v>
      </c>
      <c r="AG186">
        <f t="shared" si="9"/>
        <v>0</v>
      </c>
      <c r="AH186" s="5">
        <f t="shared" si="10"/>
        <v>4099.3303812999993</v>
      </c>
      <c r="AJ186" t="s">
        <v>54</v>
      </c>
    </row>
    <row r="187" spans="1:36" x14ac:dyDescent="0.3">
      <c r="A187" t="s">
        <v>55</v>
      </c>
      <c r="B187" t="s">
        <v>55</v>
      </c>
      <c r="C187" t="s">
        <v>56</v>
      </c>
      <c r="E187">
        <v>191</v>
      </c>
      <c r="F187" t="s">
        <v>344</v>
      </c>
      <c r="G187" t="s">
        <v>139</v>
      </c>
      <c r="H187" t="s">
        <v>60</v>
      </c>
      <c r="I187" s="4">
        <v>45967</v>
      </c>
      <c r="J187" s="4"/>
      <c r="K187" t="s">
        <v>61</v>
      </c>
      <c r="L187" t="s">
        <v>42</v>
      </c>
      <c r="M187" t="s">
        <v>43</v>
      </c>
      <c r="N187" s="5">
        <f t="shared" si="11"/>
        <v>6214.057296</v>
      </c>
      <c r="O187" s="5">
        <v>3356.8</v>
      </c>
      <c r="P187" s="5">
        <v>2152.4299999999998</v>
      </c>
      <c r="Q187" s="5">
        <v>0</v>
      </c>
      <c r="R187" s="5">
        <v>0</v>
      </c>
      <c r="S187" s="5">
        <v>704.82729600000005</v>
      </c>
      <c r="T187" s="5">
        <v>0</v>
      </c>
      <c r="U187">
        <v>1325.4399999999998</v>
      </c>
      <c r="V187">
        <v>0</v>
      </c>
      <c r="X187" t="s">
        <v>44</v>
      </c>
      <c r="Y187" t="s">
        <v>44</v>
      </c>
      <c r="Z187">
        <v>11000</v>
      </c>
      <c r="AD187" t="s">
        <v>65</v>
      </c>
      <c r="AE187" t="s">
        <v>46</v>
      </c>
      <c r="AF187" s="5">
        <f t="shared" si="12"/>
        <v>7539.4972959999996</v>
      </c>
      <c r="AG187">
        <f t="shared" si="9"/>
        <v>11000</v>
      </c>
      <c r="AH187" s="5">
        <f t="shared" si="10"/>
        <v>18539.497296000001</v>
      </c>
      <c r="AJ187" t="s">
        <v>54</v>
      </c>
    </row>
    <row r="188" spans="1:36" x14ac:dyDescent="0.3">
      <c r="A188" t="s">
        <v>55</v>
      </c>
      <c r="B188" t="s">
        <v>55</v>
      </c>
      <c r="C188" t="s">
        <v>56</v>
      </c>
      <c r="E188">
        <v>193</v>
      </c>
      <c r="F188" t="s">
        <v>345</v>
      </c>
      <c r="G188" t="s">
        <v>174</v>
      </c>
      <c r="H188" t="s">
        <v>40</v>
      </c>
      <c r="I188" s="4">
        <v>45964</v>
      </c>
      <c r="J188" s="4">
        <v>46042</v>
      </c>
      <c r="K188" t="s">
        <v>41</v>
      </c>
      <c r="L188" t="s">
        <v>42</v>
      </c>
      <c r="M188" t="s">
        <v>43</v>
      </c>
      <c r="N188" s="5">
        <f t="shared" si="11"/>
        <v>2649.7980008999998</v>
      </c>
      <c r="O188" s="5">
        <v>2189.9699999999998</v>
      </c>
      <c r="P188" s="5">
        <v>0</v>
      </c>
      <c r="Q188" s="5">
        <v>0</v>
      </c>
      <c r="R188" s="5">
        <v>0</v>
      </c>
      <c r="S188" s="5">
        <v>459.82800089999995</v>
      </c>
      <c r="T188" s="5">
        <v>0</v>
      </c>
      <c r="U188">
        <v>0</v>
      </c>
      <c r="V188">
        <v>0</v>
      </c>
      <c r="X188">
        <v>0</v>
      </c>
      <c r="Y188" t="s">
        <v>44</v>
      </c>
      <c r="AD188" t="s">
        <v>45</v>
      </c>
      <c r="AE188" t="s">
        <v>46</v>
      </c>
      <c r="AF188" s="5">
        <f t="shared" si="12"/>
        <v>2649.7980008999998</v>
      </c>
      <c r="AG188">
        <f t="shared" si="9"/>
        <v>0</v>
      </c>
      <c r="AH188" s="5">
        <f t="shared" si="10"/>
        <v>2649.7980008999998</v>
      </c>
      <c r="AJ188" t="s">
        <v>54</v>
      </c>
    </row>
    <row r="189" spans="1:36" x14ac:dyDescent="0.3">
      <c r="A189" t="s">
        <v>89</v>
      </c>
      <c r="B189" t="s">
        <v>55</v>
      </c>
      <c r="C189" t="s">
        <v>56</v>
      </c>
      <c r="D189" t="s">
        <v>57</v>
      </c>
      <c r="E189">
        <v>194</v>
      </c>
      <c r="F189" t="s">
        <v>346</v>
      </c>
      <c r="G189" t="s">
        <v>347</v>
      </c>
      <c r="H189" t="s">
        <v>40</v>
      </c>
      <c r="I189" s="4">
        <v>45967</v>
      </c>
      <c r="J189" s="4">
        <v>46125</v>
      </c>
      <c r="K189" t="s">
        <v>41</v>
      </c>
      <c r="L189" t="s">
        <v>42</v>
      </c>
      <c r="M189" t="s">
        <v>43</v>
      </c>
      <c r="N189" s="5">
        <f t="shared" si="11"/>
        <v>4178.2281188999996</v>
      </c>
      <c r="O189" s="5">
        <v>2900</v>
      </c>
      <c r="P189" s="5">
        <v>0</v>
      </c>
      <c r="Q189" s="5">
        <v>180</v>
      </c>
      <c r="R189" s="5">
        <v>474.54</v>
      </c>
      <c r="S189" s="5">
        <v>906.93811889999995</v>
      </c>
      <c r="T189" s="5">
        <v>283.25</v>
      </c>
      <c r="U189">
        <v>0</v>
      </c>
      <c r="V189">
        <v>0</v>
      </c>
      <c r="X189">
        <v>0</v>
      </c>
      <c r="Y189" t="s">
        <v>44</v>
      </c>
      <c r="AD189" t="s">
        <v>45</v>
      </c>
      <c r="AE189" t="s">
        <v>46</v>
      </c>
      <c r="AF189" s="5">
        <f t="shared" si="12"/>
        <v>4178.2281188999996</v>
      </c>
      <c r="AG189">
        <f t="shared" si="9"/>
        <v>0</v>
      </c>
      <c r="AH189" s="5">
        <f t="shared" si="10"/>
        <v>4178.2281188999996</v>
      </c>
      <c r="AJ189" t="s">
        <v>47</v>
      </c>
    </row>
    <row r="190" spans="1:36" x14ac:dyDescent="0.3">
      <c r="A190" t="s">
        <v>55</v>
      </c>
      <c r="B190" t="s">
        <v>55</v>
      </c>
      <c r="C190" t="s">
        <v>56</v>
      </c>
      <c r="E190">
        <v>195</v>
      </c>
      <c r="F190" t="s">
        <v>348</v>
      </c>
      <c r="G190" t="s">
        <v>174</v>
      </c>
      <c r="H190" t="s">
        <v>40</v>
      </c>
      <c r="I190" s="4">
        <v>45967</v>
      </c>
      <c r="J190" s="4">
        <v>46027</v>
      </c>
      <c r="K190" t="s">
        <v>41</v>
      </c>
      <c r="L190" t="s">
        <v>42</v>
      </c>
      <c r="M190" t="s">
        <v>43</v>
      </c>
      <c r="N190" s="5">
        <f t="shared" si="11"/>
        <v>3387.6716650999988</v>
      </c>
      <c r="O190" s="5">
        <v>2189.9699999999998</v>
      </c>
      <c r="P190" s="5">
        <v>0</v>
      </c>
      <c r="Q190" s="5">
        <v>324.2</v>
      </c>
      <c r="R190" s="5">
        <v>274.16000000000003</v>
      </c>
      <c r="S190" s="5">
        <v>648.35166509999976</v>
      </c>
      <c r="T190" s="5">
        <v>49.01</v>
      </c>
      <c r="U190">
        <v>0</v>
      </c>
      <c r="V190">
        <v>0</v>
      </c>
      <c r="X190">
        <v>0</v>
      </c>
      <c r="Y190" t="s">
        <v>44</v>
      </c>
      <c r="AD190" t="s">
        <v>45</v>
      </c>
      <c r="AE190" t="s">
        <v>46</v>
      </c>
      <c r="AF190" s="5">
        <f t="shared" si="12"/>
        <v>3387.6716650999988</v>
      </c>
      <c r="AG190">
        <f t="shared" si="9"/>
        <v>0</v>
      </c>
      <c r="AH190" s="5">
        <f t="shared" si="10"/>
        <v>3387.6716650999988</v>
      </c>
      <c r="AJ190" t="s">
        <v>47</v>
      </c>
    </row>
    <row r="191" spans="1:36" x14ac:dyDescent="0.3">
      <c r="A191" t="s">
        <v>48</v>
      </c>
      <c r="B191" t="s">
        <v>51</v>
      </c>
      <c r="C191" t="s">
        <v>37</v>
      </c>
      <c r="D191" t="s">
        <v>102</v>
      </c>
      <c r="E191">
        <v>196</v>
      </c>
      <c r="F191" t="s">
        <v>349</v>
      </c>
      <c r="G191" t="s">
        <v>53</v>
      </c>
      <c r="H191" t="s">
        <v>40</v>
      </c>
      <c r="I191" s="4">
        <v>45995</v>
      </c>
      <c r="J191" s="4">
        <v>46125</v>
      </c>
      <c r="K191" t="s">
        <v>41</v>
      </c>
      <c r="L191" t="s">
        <v>42</v>
      </c>
      <c r="M191" t="s">
        <v>43</v>
      </c>
      <c r="N191" s="5">
        <f t="shared" si="11"/>
        <v>6558.2729208000001</v>
      </c>
      <c r="O191" s="5">
        <v>3922</v>
      </c>
      <c r="P191" s="5">
        <v>0</v>
      </c>
      <c r="Q191" s="5">
        <v>491.25</v>
      </c>
      <c r="R191" s="5">
        <v>1019.77</v>
      </c>
      <c r="S191" s="5">
        <v>1340.1629207999999</v>
      </c>
      <c r="T191" s="5">
        <v>214.91</v>
      </c>
      <c r="U191">
        <v>0</v>
      </c>
      <c r="V191">
        <v>0</v>
      </c>
      <c r="X191">
        <v>0</v>
      </c>
      <c r="Y191">
        <v>0</v>
      </c>
      <c r="AD191" t="s">
        <v>45</v>
      </c>
      <c r="AE191" t="s">
        <v>46</v>
      </c>
      <c r="AF191" s="5">
        <f t="shared" si="12"/>
        <v>6558.2729208000001</v>
      </c>
      <c r="AG191">
        <f t="shared" si="9"/>
        <v>0</v>
      </c>
      <c r="AH191" s="5">
        <f t="shared" si="10"/>
        <v>6558.2729208000001</v>
      </c>
      <c r="AJ191" t="s">
        <v>54</v>
      </c>
    </row>
    <row r="192" spans="1:36" x14ac:dyDescent="0.3">
      <c r="A192" t="s">
        <v>55</v>
      </c>
      <c r="B192" t="s">
        <v>55</v>
      </c>
      <c r="C192" t="s">
        <v>56</v>
      </c>
      <c r="E192">
        <v>197</v>
      </c>
      <c r="F192" t="s">
        <v>350</v>
      </c>
      <c r="G192" t="s">
        <v>207</v>
      </c>
      <c r="H192" t="s">
        <v>68</v>
      </c>
      <c r="I192" s="4">
        <v>45995</v>
      </c>
      <c r="J192" s="4"/>
      <c r="K192" t="s">
        <v>61</v>
      </c>
      <c r="L192" t="s">
        <v>42</v>
      </c>
      <c r="M192" t="s">
        <v>43</v>
      </c>
      <c r="N192" s="5">
        <f t="shared" si="11"/>
        <v>13033.082338099999</v>
      </c>
      <c r="O192" s="5">
        <v>5377.9</v>
      </c>
      <c r="P192" s="5">
        <v>4781.4400000000005</v>
      </c>
      <c r="Q192" s="5">
        <v>1060.81</v>
      </c>
      <c r="R192" s="5">
        <v>364.53</v>
      </c>
      <c r="S192" s="5">
        <v>1616.5023380999999</v>
      </c>
      <c r="T192" s="5">
        <v>168.1</v>
      </c>
      <c r="U192">
        <v>1367.8799999999999</v>
      </c>
      <c r="V192">
        <v>0</v>
      </c>
      <c r="X192" t="s">
        <v>44</v>
      </c>
      <c r="Y192" t="s">
        <v>44</v>
      </c>
      <c r="AD192" t="s">
        <v>45</v>
      </c>
      <c r="AE192" t="s">
        <v>46</v>
      </c>
      <c r="AF192" s="5">
        <f t="shared" si="12"/>
        <v>14400.962338099998</v>
      </c>
      <c r="AG192">
        <f t="shared" si="9"/>
        <v>0</v>
      </c>
      <c r="AH192" s="5">
        <f t="shared" si="10"/>
        <v>14400.962338099998</v>
      </c>
      <c r="AJ192" t="s">
        <v>54</v>
      </c>
    </row>
    <row r="193" spans="1:36" x14ac:dyDescent="0.3">
      <c r="A193" t="s">
        <v>55</v>
      </c>
      <c r="B193" t="s">
        <v>55</v>
      </c>
      <c r="C193" t="s">
        <v>56</v>
      </c>
      <c r="D193" t="s">
        <v>129</v>
      </c>
      <c r="E193">
        <v>198</v>
      </c>
      <c r="F193" t="s">
        <v>351</v>
      </c>
      <c r="G193" t="s">
        <v>82</v>
      </c>
      <c r="H193" t="s">
        <v>68</v>
      </c>
      <c r="I193" s="4">
        <v>45995</v>
      </c>
      <c r="J193" s="4"/>
      <c r="K193" t="s">
        <v>61</v>
      </c>
      <c r="L193" t="s">
        <v>42</v>
      </c>
      <c r="M193" t="s">
        <v>43</v>
      </c>
      <c r="N193" s="5">
        <f t="shared" si="11"/>
        <v>5117.5584175000004</v>
      </c>
      <c r="O193" s="5">
        <v>2302.75</v>
      </c>
      <c r="P193" s="5">
        <v>2331.3000000000002</v>
      </c>
      <c r="Q193" s="5">
        <v>0</v>
      </c>
      <c r="R193" s="5">
        <v>0</v>
      </c>
      <c r="S193" s="5">
        <v>483.50841750000001</v>
      </c>
      <c r="T193" s="5">
        <v>0</v>
      </c>
      <c r="U193">
        <v>1358.9999999999998</v>
      </c>
      <c r="V193">
        <v>0</v>
      </c>
      <c r="X193" t="s">
        <v>44</v>
      </c>
      <c r="Y193" t="s">
        <v>44</v>
      </c>
      <c r="AD193" t="s">
        <v>45</v>
      </c>
      <c r="AE193" t="s">
        <v>46</v>
      </c>
      <c r="AF193" s="5">
        <f t="shared" si="12"/>
        <v>6476.5584175000004</v>
      </c>
      <c r="AG193">
        <f t="shared" si="9"/>
        <v>0</v>
      </c>
      <c r="AH193" s="5">
        <f t="shared" si="10"/>
        <v>6476.5584175000004</v>
      </c>
      <c r="AJ193" t="s">
        <v>54</v>
      </c>
    </row>
    <row r="194" spans="1:36" x14ac:dyDescent="0.3">
      <c r="A194" t="s">
        <v>277</v>
      </c>
      <c r="B194" t="s">
        <v>55</v>
      </c>
      <c r="C194" t="s">
        <v>56</v>
      </c>
      <c r="D194" t="s">
        <v>352</v>
      </c>
      <c r="E194">
        <v>199</v>
      </c>
      <c r="F194" t="s">
        <v>353</v>
      </c>
      <c r="G194" t="s">
        <v>133</v>
      </c>
      <c r="H194" t="s">
        <v>68</v>
      </c>
      <c r="I194" s="4">
        <v>46006</v>
      </c>
      <c r="J194" s="4"/>
      <c r="K194" t="s">
        <v>61</v>
      </c>
      <c r="L194" t="s">
        <v>42</v>
      </c>
      <c r="M194" t="s">
        <v>43</v>
      </c>
      <c r="N194" s="5">
        <f t="shared" si="11"/>
        <v>11072.837016399999</v>
      </c>
      <c r="O194" s="5">
        <v>4681.28</v>
      </c>
      <c r="P194" s="5">
        <v>2298.98</v>
      </c>
      <c r="Q194" s="5">
        <v>1308.49</v>
      </c>
      <c r="R194" s="5">
        <v>1319.6399999999999</v>
      </c>
      <c r="S194" s="5">
        <v>1807.0270163999996</v>
      </c>
      <c r="T194" s="5">
        <v>342.58</v>
      </c>
      <c r="U194">
        <v>1354.5599999999997</v>
      </c>
      <c r="V194">
        <v>0</v>
      </c>
      <c r="X194" t="s">
        <v>44</v>
      </c>
      <c r="Y194" t="s">
        <v>44</v>
      </c>
      <c r="Z194">
        <v>15000</v>
      </c>
      <c r="AD194" t="s">
        <v>88</v>
      </c>
      <c r="AE194" t="s">
        <v>46</v>
      </c>
      <c r="AF194" s="5">
        <f t="shared" si="12"/>
        <v>12427.397016399998</v>
      </c>
      <c r="AG194">
        <f t="shared" si="9"/>
        <v>15000</v>
      </c>
      <c r="AH194" s="5">
        <f t="shared" si="10"/>
        <v>27427.397016399998</v>
      </c>
      <c r="AJ194" t="s">
        <v>54</v>
      </c>
    </row>
    <row r="195" spans="1:36" x14ac:dyDescent="0.3">
      <c r="A195" t="s">
        <v>277</v>
      </c>
      <c r="B195" t="s">
        <v>55</v>
      </c>
      <c r="C195" t="s">
        <v>56</v>
      </c>
      <c r="D195" t="s">
        <v>285</v>
      </c>
      <c r="E195">
        <v>200</v>
      </c>
      <c r="F195" t="s">
        <v>354</v>
      </c>
      <c r="G195" t="s">
        <v>82</v>
      </c>
      <c r="H195" t="s">
        <v>68</v>
      </c>
      <c r="I195" s="4">
        <v>45995</v>
      </c>
      <c r="J195" s="4"/>
      <c r="K195" t="s">
        <v>61</v>
      </c>
      <c r="L195" t="s">
        <v>42</v>
      </c>
      <c r="M195" t="s">
        <v>43</v>
      </c>
      <c r="N195" s="5">
        <f t="shared" si="11"/>
        <v>4761.5684174999997</v>
      </c>
      <c r="O195" s="5">
        <v>2302.75</v>
      </c>
      <c r="P195" s="5">
        <v>1975.31</v>
      </c>
      <c r="Q195" s="5">
        <v>0</v>
      </c>
      <c r="R195" s="5">
        <v>0</v>
      </c>
      <c r="S195" s="5">
        <v>483.50841750000001</v>
      </c>
      <c r="T195" s="5">
        <v>0</v>
      </c>
      <c r="U195">
        <v>1358.9999999999998</v>
      </c>
      <c r="V195">
        <v>0</v>
      </c>
      <c r="X195" t="s">
        <v>44</v>
      </c>
      <c r="Y195" t="s">
        <v>44</v>
      </c>
      <c r="AD195" t="s">
        <v>45</v>
      </c>
      <c r="AE195" t="s">
        <v>46</v>
      </c>
      <c r="AF195" s="5">
        <f t="shared" si="12"/>
        <v>6120.5684174999997</v>
      </c>
      <c r="AG195">
        <f t="shared" ref="AG195:AG258" si="13">V195+Z195</f>
        <v>0</v>
      </c>
      <c r="AH195" s="5">
        <f t="shared" ref="AH195:AH258" si="14">AG195+AF195</f>
        <v>6120.5684174999997</v>
      </c>
      <c r="AJ195" t="s">
        <v>54</v>
      </c>
    </row>
    <row r="196" spans="1:36" x14ac:dyDescent="0.3">
      <c r="A196" t="s">
        <v>55</v>
      </c>
      <c r="B196" t="s">
        <v>55</v>
      </c>
      <c r="C196" t="s">
        <v>56</v>
      </c>
      <c r="D196" t="s">
        <v>57</v>
      </c>
      <c r="E196">
        <v>201</v>
      </c>
      <c r="F196" t="s">
        <v>355</v>
      </c>
      <c r="G196" t="s">
        <v>356</v>
      </c>
      <c r="H196" t="s">
        <v>60</v>
      </c>
      <c r="I196" s="4">
        <v>46030</v>
      </c>
      <c r="J196" s="4"/>
      <c r="K196" t="s">
        <v>61</v>
      </c>
      <c r="L196" t="s">
        <v>42</v>
      </c>
      <c r="M196" t="s">
        <v>43</v>
      </c>
      <c r="N196" s="5">
        <f t="shared" ref="N196:N259" si="15">O196+P196+Q196+R196-T196+S196</f>
        <v>5348.990511</v>
      </c>
      <c r="O196" s="5">
        <v>4416.3</v>
      </c>
      <c r="P196" s="5">
        <v>5.4</v>
      </c>
      <c r="Q196" s="5">
        <v>0</v>
      </c>
      <c r="R196" s="5">
        <v>0</v>
      </c>
      <c r="S196" s="5">
        <v>927.29051100000004</v>
      </c>
      <c r="T196" s="5">
        <v>0</v>
      </c>
      <c r="U196">
        <v>1111.2799999999997</v>
      </c>
      <c r="V196">
        <v>0</v>
      </c>
      <c r="X196" t="s">
        <v>44</v>
      </c>
      <c r="Y196" t="s">
        <v>44</v>
      </c>
      <c r="AD196" t="s">
        <v>65</v>
      </c>
      <c r="AE196" t="s">
        <v>46</v>
      </c>
      <c r="AF196" s="5">
        <f t="shared" ref="AF196:AF259" si="16">N196+U196+W196</f>
        <v>6460.2705109999997</v>
      </c>
      <c r="AG196">
        <f t="shared" si="13"/>
        <v>0</v>
      </c>
      <c r="AH196" s="5">
        <f t="shared" si="14"/>
        <v>6460.2705109999997</v>
      </c>
      <c r="AJ196" t="s">
        <v>54</v>
      </c>
    </row>
    <row r="197" spans="1:36" x14ac:dyDescent="0.3">
      <c r="A197" t="s">
        <v>55</v>
      </c>
      <c r="B197" t="s">
        <v>55</v>
      </c>
      <c r="C197" t="s">
        <v>56</v>
      </c>
      <c r="E197">
        <v>202</v>
      </c>
      <c r="F197" t="s">
        <v>357</v>
      </c>
      <c r="G197" t="s">
        <v>59</v>
      </c>
      <c r="H197" t="s">
        <v>40</v>
      </c>
      <c r="I197" s="4">
        <v>46006</v>
      </c>
      <c r="J197" s="4">
        <v>46034</v>
      </c>
      <c r="K197" t="s">
        <v>41</v>
      </c>
      <c r="L197" t="s">
        <v>42</v>
      </c>
      <c r="M197" t="s">
        <v>43</v>
      </c>
      <c r="N197" s="5">
        <f t="shared" si="15"/>
        <v>3771.6155079999999</v>
      </c>
      <c r="O197" s="5">
        <v>2664.74</v>
      </c>
      <c r="P197" s="5">
        <v>0</v>
      </c>
      <c r="Q197" s="5">
        <v>0</v>
      </c>
      <c r="R197" s="5">
        <v>393.28</v>
      </c>
      <c r="S197" s="5">
        <v>759.33550799999989</v>
      </c>
      <c r="T197" s="5">
        <v>45.74</v>
      </c>
      <c r="U197">
        <v>0</v>
      </c>
      <c r="V197">
        <v>0</v>
      </c>
      <c r="X197">
        <v>0</v>
      </c>
      <c r="Y197">
        <v>0</v>
      </c>
      <c r="AD197" t="s">
        <v>45</v>
      </c>
      <c r="AE197" t="s">
        <v>46</v>
      </c>
      <c r="AF197" s="5">
        <f t="shared" si="16"/>
        <v>3771.6155079999999</v>
      </c>
      <c r="AG197">
        <f t="shared" si="13"/>
        <v>0</v>
      </c>
      <c r="AH197" s="5">
        <f t="shared" si="14"/>
        <v>3771.6155079999999</v>
      </c>
      <c r="AJ197" t="s">
        <v>54</v>
      </c>
    </row>
    <row r="198" spans="1:36" x14ac:dyDescent="0.3">
      <c r="A198" t="s">
        <v>55</v>
      </c>
      <c r="B198" t="s">
        <v>55</v>
      </c>
      <c r="C198" t="s">
        <v>56</v>
      </c>
      <c r="E198">
        <v>203</v>
      </c>
      <c r="F198" t="s">
        <v>358</v>
      </c>
      <c r="G198" t="s">
        <v>256</v>
      </c>
      <c r="H198" t="s">
        <v>40</v>
      </c>
      <c r="I198" s="4">
        <v>46006</v>
      </c>
      <c r="J198" s="4">
        <v>46034</v>
      </c>
      <c r="K198" t="s">
        <v>41</v>
      </c>
      <c r="L198" t="s">
        <v>42</v>
      </c>
      <c r="M198" t="s">
        <v>43</v>
      </c>
      <c r="N198" s="5">
        <f t="shared" si="15"/>
        <v>6188.3915649999999</v>
      </c>
      <c r="O198" s="5">
        <v>5114.5</v>
      </c>
      <c r="P198" s="5">
        <v>0</v>
      </c>
      <c r="Q198" s="5">
        <v>0</v>
      </c>
      <c r="R198" s="5">
        <v>0</v>
      </c>
      <c r="S198" s="5">
        <v>1073.8915649999997</v>
      </c>
      <c r="T198" s="5">
        <v>0</v>
      </c>
      <c r="U198">
        <v>0</v>
      </c>
      <c r="V198">
        <v>0</v>
      </c>
      <c r="X198">
        <v>0</v>
      </c>
      <c r="Y198">
        <v>0</v>
      </c>
      <c r="AD198" t="s">
        <v>45</v>
      </c>
      <c r="AE198" t="s">
        <v>46</v>
      </c>
      <c r="AF198" s="5">
        <f t="shared" si="16"/>
        <v>6188.3915649999999</v>
      </c>
      <c r="AG198">
        <f t="shared" si="13"/>
        <v>0</v>
      </c>
      <c r="AH198" s="5">
        <f t="shared" si="14"/>
        <v>6188.3915649999999</v>
      </c>
      <c r="AJ198" t="s">
        <v>54</v>
      </c>
    </row>
    <row r="199" spans="1:36" x14ac:dyDescent="0.3">
      <c r="A199" t="s">
        <v>55</v>
      </c>
      <c r="B199" t="s">
        <v>55</v>
      </c>
      <c r="C199" t="s">
        <v>56</v>
      </c>
      <c r="E199">
        <v>204</v>
      </c>
      <c r="F199" t="s">
        <v>359</v>
      </c>
      <c r="G199" t="s">
        <v>87</v>
      </c>
      <c r="H199" t="s">
        <v>40</v>
      </c>
      <c r="I199" s="4">
        <v>46030</v>
      </c>
      <c r="J199" s="4">
        <v>46084</v>
      </c>
      <c r="K199" t="s">
        <v>41</v>
      </c>
      <c r="L199" t="s">
        <v>360</v>
      </c>
      <c r="M199" t="s">
        <v>43</v>
      </c>
      <c r="N199" s="5">
        <f t="shared" si="15"/>
        <v>7304.1173253000006</v>
      </c>
      <c r="O199" s="5">
        <v>4700</v>
      </c>
      <c r="P199" s="5">
        <v>0</v>
      </c>
      <c r="Q199" s="5">
        <v>133.33000000000001</v>
      </c>
      <c r="R199" s="5">
        <v>1031.97</v>
      </c>
      <c r="S199" s="5">
        <v>1438.8173253000002</v>
      </c>
      <c r="T199" s="5">
        <v>0</v>
      </c>
      <c r="U199">
        <v>0</v>
      </c>
      <c r="V199">
        <v>0</v>
      </c>
      <c r="X199" t="s">
        <v>44</v>
      </c>
      <c r="Y199" t="s">
        <v>44</v>
      </c>
      <c r="AD199" t="s">
        <v>45</v>
      </c>
      <c r="AE199" t="s">
        <v>46</v>
      </c>
      <c r="AF199" s="5">
        <f t="shared" si="16"/>
        <v>7304.1173253000006</v>
      </c>
      <c r="AG199">
        <f t="shared" si="13"/>
        <v>0</v>
      </c>
      <c r="AH199" s="5">
        <f t="shared" si="14"/>
        <v>7304.1173253000006</v>
      </c>
      <c r="AJ199" t="s">
        <v>54</v>
      </c>
    </row>
    <row r="200" spans="1:36" x14ac:dyDescent="0.3">
      <c r="A200" t="s">
        <v>55</v>
      </c>
      <c r="B200" t="s">
        <v>55</v>
      </c>
      <c r="C200" t="s">
        <v>56</v>
      </c>
      <c r="D200" t="s">
        <v>199</v>
      </c>
      <c r="E200">
        <v>205</v>
      </c>
      <c r="F200" t="s">
        <v>361</v>
      </c>
      <c r="G200" t="s">
        <v>82</v>
      </c>
      <c r="H200" t="s">
        <v>68</v>
      </c>
      <c r="I200" s="4">
        <v>46006</v>
      </c>
      <c r="J200" s="4"/>
      <c r="K200" t="s">
        <v>61</v>
      </c>
      <c r="L200" t="s">
        <v>42</v>
      </c>
      <c r="M200" t="s">
        <v>43</v>
      </c>
      <c r="N200" s="5">
        <f t="shared" si="15"/>
        <v>5129.6721383000004</v>
      </c>
      <c r="O200" s="5">
        <v>2302.75</v>
      </c>
      <c r="P200" s="5">
        <v>1766.1100000000001</v>
      </c>
      <c r="Q200" s="5">
        <v>0</v>
      </c>
      <c r="R200" s="5">
        <v>452.9</v>
      </c>
      <c r="S200" s="5">
        <v>698.23213829999997</v>
      </c>
      <c r="T200" s="5">
        <v>90.32</v>
      </c>
      <c r="U200">
        <v>1354.56</v>
      </c>
      <c r="V200">
        <v>0</v>
      </c>
      <c r="X200" t="s">
        <v>44</v>
      </c>
      <c r="Y200" t="s">
        <v>44</v>
      </c>
      <c r="AD200" t="s">
        <v>45</v>
      </c>
      <c r="AE200" t="s">
        <v>46</v>
      </c>
      <c r="AF200" s="5">
        <f t="shared" si="16"/>
        <v>6484.2321382999999</v>
      </c>
      <c r="AG200">
        <f t="shared" si="13"/>
        <v>0</v>
      </c>
      <c r="AH200" s="5">
        <f t="shared" si="14"/>
        <v>6484.2321382999999</v>
      </c>
      <c r="AJ200" t="s">
        <v>54</v>
      </c>
    </row>
    <row r="201" spans="1:36" x14ac:dyDescent="0.3">
      <c r="A201" t="s">
        <v>55</v>
      </c>
      <c r="B201" t="s">
        <v>55</v>
      </c>
      <c r="C201" t="s">
        <v>56</v>
      </c>
      <c r="E201">
        <v>206</v>
      </c>
      <c r="F201" t="s">
        <v>362</v>
      </c>
      <c r="G201" t="s">
        <v>139</v>
      </c>
      <c r="H201" t="s">
        <v>40</v>
      </c>
      <c r="I201" s="4">
        <v>46030</v>
      </c>
      <c r="J201" s="4">
        <v>46059</v>
      </c>
      <c r="K201" t="s">
        <v>41</v>
      </c>
      <c r="L201" t="s">
        <v>363</v>
      </c>
      <c r="M201" t="s">
        <v>43</v>
      </c>
      <c r="N201" s="5">
        <f t="shared" si="15"/>
        <v>6883.4231395000006</v>
      </c>
      <c r="O201" s="5">
        <v>3192.39</v>
      </c>
      <c r="P201" s="5">
        <v>0</v>
      </c>
      <c r="Q201" s="5">
        <v>0</v>
      </c>
      <c r="R201" s="5">
        <v>2199.54</v>
      </c>
      <c r="S201" s="5">
        <v>1542.3031395000003</v>
      </c>
      <c r="T201" s="5">
        <v>50.81</v>
      </c>
      <c r="U201">
        <v>0</v>
      </c>
      <c r="V201">
        <v>0</v>
      </c>
      <c r="X201">
        <v>0</v>
      </c>
      <c r="Y201" t="s">
        <v>44</v>
      </c>
      <c r="AD201" t="s">
        <v>45</v>
      </c>
      <c r="AE201" t="s">
        <v>46</v>
      </c>
      <c r="AF201" s="5">
        <f t="shared" si="16"/>
        <v>6883.4231395000006</v>
      </c>
      <c r="AG201">
        <f t="shared" si="13"/>
        <v>0</v>
      </c>
      <c r="AH201" s="5">
        <f t="shared" si="14"/>
        <v>6883.4231395000006</v>
      </c>
      <c r="AJ201" t="s">
        <v>54</v>
      </c>
    </row>
    <row r="202" spans="1:36" x14ac:dyDescent="0.3">
      <c r="A202" t="s">
        <v>55</v>
      </c>
      <c r="B202" t="s">
        <v>55</v>
      </c>
      <c r="C202" t="s">
        <v>56</v>
      </c>
      <c r="D202" t="s">
        <v>187</v>
      </c>
      <c r="E202">
        <v>207</v>
      </c>
      <c r="F202" t="s">
        <v>364</v>
      </c>
      <c r="G202" t="s">
        <v>139</v>
      </c>
      <c r="H202" t="s">
        <v>68</v>
      </c>
      <c r="I202" s="4">
        <v>46030</v>
      </c>
      <c r="J202" s="4"/>
      <c r="K202" t="s">
        <v>61</v>
      </c>
      <c r="L202" t="s">
        <v>42</v>
      </c>
      <c r="M202" t="s">
        <v>43</v>
      </c>
      <c r="N202" s="5">
        <f t="shared" si="15"/>
        <v>7642.1344408000004</v>
      </c>
      <c r="O202" s="5">
        <v>3356.8</v>
      </c>
      <c r="P202" s="5">
        <v>2722.3</v>
      </c>
      <c r="Q202" s="5">
        <v>324.2</v>
      </c>
      <c r="R202" s="5">
        <v>400.01</v>
      </c>
      <c r="S202" s="5">
        <v>1049.5644407999998</v>
      </c>
      <c r="T202" s="5">
        <v>210.73999999999998</v>
      </c>
      <c r="U202">
        <v>1372.32</v>
      </c>
      <c r="V202">
        <v>0</v>
      </c>
      <c r="X202" t="s">
        <v>44</v>
      </c>
      <c r="Y202" t="s">
        <v>44</v>
      </c>
      <c r="Z202">
        <v>11000</v>
      </c>
      <c r="AD202" t="s">
        <v>65</v>
      </c>
      <c r="AE202" t="s">
        <v>46</v>
      </c>
      <c r="AF202" s="5">
        <f t="shared" si="16"/>
        <v>9014.4544408000002</v>
      </c>
      <c r="AG202">
        <f t="shared" si="13"/>
        <v>11000</v>
      </c>
      <c r="AH202" s="5">
        <f t="shared" si="14"/>
        <v>20014.4544408</v>
      </c>
      <c r="AJ202" t="s">
        <v>54</v>
      </c>
    </row>
    <row r="203" spans="1:36" s="6" customFormat="1" x14ac:dyDescent="0.3">
      <c r="A203" s="6" t="s">
        <v>89</v>
      </c>
      <c r="B203" s="6" t="s">
        <v>90</v>
      </c>
      <c r="C203" s="6" t="s">
        <v>37</v>
      </c>
      <c r="E203" s="6">
        <v>208</v>
      </c>
      <c r="F203" s="6" t="s">
        <v>365</v>
      </c>
      <c r="G203" s="6" t="s">
        <v>92</v>
      </c>
      <c r="H203" t="s">
        <v>60</v>
      </c>
      <c r="I203" s="4">
        <v>46030</v>
      </c>
      <c r="J203" s="4"/>
      <c r="K203" s="6" t="s">
        <v>61</v>
      </c>
      <c r="L203" t="s">
        <v>42</v>
      </c>
      <c r="M203" s="6" t="s">
        <v>43</v>
      </c>
      <c r="N203" s="5">
        <f t="shared" si="15"/>
        <v>11481.0931731</v>
      </c>
      <c r="O203" s="5">
        <v>5572.95</v>
      </c>
      <c r="P203" s="5">
        <v>2639.03</v>
      </c>
      <c r="Q203" s="5">
        <v>484.2</v>
      </c>
      <c r="R203" s="5">
        <v>1110.27</v>
      </c>
      <c r="S203" s="5">
        <v>1785.6331730999998</v>
      </c>
      <c r="T203" s="5">
        <v>110.99</v>
      </c>
      <c r="U203" s="6">
        <v>1325.4399999999998</v>
      </c>
      <c r="V203" s="6">
        <v>2000</v>
      </c>
      <c r="W203" s="6">
        <v>600</v>
      </c>
      <c r="X203" s="6" t="s">
        <v>366</v>
      </c>
      <c r="Y203" s="6" t="s">
        <v>367</v>
      </c>
      <c r="AD203" s="6" t="s">
        <v>45</v>
      </c>
      <c r="AE203" s="6" t="s">
        <v>46</v>
      </c>
      <c r="AF203" s="7">
        <f t="shared" si="16"/>
        <v>13406.533173100001</v>
      </c>
      <c r="AG203" s="6">
        <f t="shared" si="13"/>
        <v>2000</v>
      </c>
      <c r="AH203" s="7">
        <f t="shared" si="14"/>
        <v>15406.533173100001</v>
      </c>
      <c r="AJ203" s="6" t="s">
        <v>54</v>
      </c>
    </row>
    <row r="204" spans="1:36" s="6" customFormat="1" x14ac:dyDescent="0.3">
      <c r="A204" s="6" t="s">
        <v>55</v>
      </c>
      <c r="B204" s="6" t="s">
        <v>55</v>
      </c>
      <c r="C204" s="6" t="s">
        <v>56</v>
      </c>
      <c r="D204" s="6" t="s">
        <v>57</v>
      </c>
      <c r="E204" s="6">
        <v>209</v>
      </c>
      <c r="F204" s="6" t="s">
        <v>368</v>
      </c>
      <c r="G204" s="6" t="s">
        <v>98</v>
      </c>
      <c r="H204" t="s">
        <v>60</v>
      </c>
      <c r="I204" s="4">
        <v>46030</v>
      </c>
      <c r="J204" s="4"/>
      <c r="K204" s="6" t="s">
        <v>61</v>
      </c>
      <c r="L204" t="s">
        <v>42</v>
      </c>
      <c r="M204" s="6" t="s">
        <v>43</v>
      </c>
      <c r="N204" s="5">
        <f t="shared" si="15"/>
        <v>14462.250597</v>
      </c>
      <c r="O204" s="5">
        <v>7244.84</v>
      </c>
      <c r="P204" s="5">
        <v>4910.74</v>
      </c>
      <c r="Q204" s="5">
        <v>324.2</v>
      </c>
      <c r="R204" s="5">
        <v>328.85</v>
      </c>
      <c r="S204" s="5">
        <v>1822.5605969999999</v>
      </c>
      <c r="T204" s="5">
        <v>168.94</v>
      </c>
      <c r="U204" s="6">
        <v>1291.8799999999997</v>
      </c>
      <c r="V204" s="6">
        <v>2000</v>
      </c>
      <c r="W204" s="6">
        <v>1000</v>
      </c>
      <c r="X204" s="6" t="s">
        <v>369</v>
      </c>
      <c r="Y204" s="6" t="s">
        <v>370</v>
      </c>
      <c r="AD204" s="6" t="s">
        <v>45</v>
      </c>
      <c r="AE204" s="6" t="s">
        <v>46</v>
      </c>
      <c r="AF204" s="7">
        <f t="shared" si="16"/>
        <v>16754.130596999999</v>
      </c>
      <c r="AG204" s="6">
        <f t="shared" si="13"/>
        <v>2000</v>
      </c>
      <c r="AH204" s="7">
        <f t="shared" si="14"/>
        <v>18754.130596999999</v>
      </c>
      <c r="AJ204" s="6" t="s">
        <v>54</v>
      </c>
    </row>
    <row r="205" spans="1:36" x14ac:dyDescent="0.3">
      <c r="A205" t="s">
        <v>277</v>
      </c>
      <c r="B205" t="s">
        <v>55</v>
      </c>
      <c r="C205" t="s">
        <v>56</v>
      </c>
      <c r="D205" t="s">
        <v>285</v>
      </c>
      <c r="E205">
        <v>210</v>
      </c>
      <c r="F205" t="s">
        <v>371</v>
      </c>
      <c r="G205" t="s">
        <v>139</v>
      </c>
      <c r="H205" t="s">
        <v>68</v>
      </c>
      <c r="I205" s="4">
        <v>46030</v>
      </c>
      <c r="J205" s="4"/>
      <c r="K205" t="s">
        <v>61</v>
      </c>
      <c r="L205" t="s">
        <v>42</v>
      </c>
      <c r="M205" t="s">
        <v>43</v>
      </c>
      <c r="N205" s="5">
        <f t="shared" si="15"/>
        <v>8356.8987440000001</v>
      </c>
      <c r="O205" s="5">
        <v>3356.8</v>
      </c>
      <c r="P205" s="5">
        <v>2447.58</v>
      </c>
      <c r="Q205" s="5">
        <v>914.15</v>
      </c>
      <c r="R205" s="5">
        <v>487.9</v>
      </c>
      <c r="S205" s="5">
        <v>1212.6187440000001</v>
      </c>
      <c r="T205" s="5">
        <v>62.150000000000006</v>
      </c>
      <c r="U205">
        <v>1303.2399999999998</v>
      </c>
      <c r="V205">
        <v>0</v>
      </c>
      <c r="X205" t="s">
        <v>44</v>
      </c>
      <c r="Y205" t="s">
        <v>44</v>
      </c>
      <c r="Z205">
        <v>15000</v>
      </c>
      <c r="AD205" t="s">
        <v>65</v>
      </c>
      <c r="AE205" t="s">
        <v>46</v>
      </c>
      <c r="AF205" s="5">
        <f t="shared" si="16"/>
        <v>9660.1387439999999</v>
      </c>
      <c r="AG205">
        <f t="shared" si="13"/>
        <v>15000</v>
      </c>
      <c r="AH205" s="5">
        <f t="shared" si="14"/>
        <v>24660.138744</v>
      </c>
      <c r="AJ205" t="s">
        <v>54</v>
      </c>
    </row>
    <row r="206" spans="1:36" x14ac:dyDescent="0.3">
      <c r="A206" t="s">
        <v>55</v>
      </c>
      <c r="B206" t="s">
        <v>55</v>
      </c>
      <c r="C206" t="s">
        <v>56</v>
      </c>
      <c r="E206">
        <v>211</v>
      </c>
      <c r="F206" t="s">
        <v>372</v>
      </c>
      <c r="G206" t="s">
        <v>59</v>
      </c>
      <c r="H206" t="s">
        <v>40</v>
      </c>
      <c r="I206" s="4">
        <v>46030</v>
      </c>
      <c r="J206" s="4">
        <v>46160</v>
      </c>
      <c r="K206" t="s">
        <v>41</v>
      </c>
      <c r="L206" t="s">
        <v>42</v>
      </c>
      <c r="M206" t="s">
        <v>43</v>
      </c>
      <c r="N206" s="5">
        <f t="shared" si="15"/>
        <v>3224.2554577999999</v>
      </c>
      <c r="O206" s="5">
        <v>2664.74</v>
      </c>
      <c r="P206" s="5">
        <v>0</v>
      </c>
      <c r="Q206" s="5">
        <v>0</v>
      </c>
      <c r="R206" s="5">
        <v>0</v>
      </c>
      <c r="S206" s="5">
        <v>559.51545779999992</v>
      </c>
      <c r="T206" s="5">
        <v>0</v>
      </c>
      <c r="U206">
        <v>0</v>
      </c>
      <c r="V206">
        <v>0</v>
      </c>
      <c r="X206">
        <v>0</v>
      </c>
      <c r="Y206" t="s">
        <v>44</v>
      </c>
      <c r="AD206" t="s">
        <v>45</v>
      </c>
      <c r="AE206" t="s">
        <v>46</v>
      </c>
      <c r="AF206" s="5">
        <f t="shared" si="16"/>
        <v>3224.2554577999999</v>
      </c>
      <c r="AG206">
        <f t="shared" si="13"/>
        <v>0</v>
      </c>
      <c r="AH206" s="5">
        <f t="shared" si="14"/>
        <v>3224.2554577999999</v>
      </c>
      <c r="AJ206" t="s">
        <v>54</v>
      </c>
    </row>
    <row r="207" spans="1:36" x14ac:dyDescent="0.3">
      <c r="A207" t="s">
        <v>55</v>
      </c>
      <c r="B207" t="s">
        <v>55</v>
      </c>
      <c r="C207" t="s">
        <v>56</v>
      </c>
      <c r="D207" t="s">
        <v>373</v>
      </c>
      <c r="E207">
        <v>212</v>
      </c>
      <c r="F207" t="s">
        <v>374</v>
      </c>
      <c r="G207" t="s">
        <v>139</v>
      </c>
      <c r="H207" t="s">
        <v>60</v>
      </c>
      <c r="I207" s="4">
        <v>46030</v>
      </c>
      <c r="J207" s="4"/>
      <c r="K207" t="s">
        <v>61</v>
      </c>
      <c r="L207" t="s">
        <v>42</v>
      </c>
      <c r="M207" t="s">
        <v>43</v>
      </c>
      <c r="N207" s="5">
        <f t="shared" si="15"/>
        <v>6521.4683908999996</v>
      </c>
      <c r="O207" s="5">
        <v>3356.8</v>
      </c>
      <c r="P207" s="5">
        <v>1433.3600000000001</v>
      </c>
      <c r="Q207" s="5">
        <v>448.21</v>
      </c>
      <c r="R207" s="5">
        <v>374.66</v>
      </c>
      <c r="S207" s="5">
        <v>1087.0083909</v>
      </c>
      <c r="T207" s="5">
        <v>178.57</v>
      </c>
      <c r="U207">
        <v>1363.4399999999998</v>
      </c>
      <c r="V207">
        <v>0</v>
      </c>
      <c r="X207" t="s">
        <v>44</v>
      </c>
      <c r="Y207" t="s">
        <v>44</v>
      </c>
      <c r="Z207">
        <v>5000</v>
      </c>
      <c r="AD207" t="s">
        <v>65</v>
      </c>
      <c r="AE207" t="s">
        <v>46</v>
      </c>
      <c r="AF207" s="5">
        <f t="shared" si="16"/>
        <v>7884.9083908999992</v>
      </c>
      <c r="AG207">
        <f t="shared" si="13"/>
        <v>5000</v>
      </c>
      <c r="AH207" s="5">
        <f t="shared" si="14"/>
        <v>12884.9083909</v>
      </c>
      <c r="AJ207" t="s">
        <v>54</v>
      </c>
    </row>
    <row r="208" spans="1:36" x14ac:dyDescent="0.3">
      <c r="A208" t="s">
        <v>55</v>
      </c>
      <c r="B208" t="s">
        <v>55</v>
      </c>
      <c r="C208" t="s">
        <v>56</v>
      </c>
      <c r="D208" t="s">
        <v>375</v>
      </c>
      <c r="E208">
        <v>213</v>
      </c>
      <c r="F208" t="s">
        <v>376</v>
      </c>
      <c r="G208" t="s">
        <v>139</v>
      </c>
      <c r="H208">
        <v>0</v>
      </c>
      <c r="I208" s="4">
        <v>46030</v>
      </c>
      <c r="J208" s="4"/>
      <c r="K208" t="s">
        <v>178</v>
      </c>
      <c r="L208" t="s">
        <v>42</v>
      </c>
      <c r="M208" t="s">
        <v>43</v>
      </c>
      <c r="N208" s="5">
        <f t="shared" si="15"/>
        <v>4061.62497890745</v>
      </c>
      <c r="O208" s="5">
        <v>3356.7980849999999</v>
      </c>
      <c r="P208" s="5">
        <v>0</v>
      </c>
      <c r="Q208" s="5">
        <v>0</v>
      </c>
      <c r="R208" s="5">
        <v>0</v>
      </c>
      <c r="S208" s="5">
        <v>704.82689390745008</v>
      </c>
      <c r="T208" s="5">
        <v>0</v>
      </c>
      <c r="U208">
        <v>164.27999999999997</v>
      </c>
      <c r="V208">
        <v>0</v>
      </c>
      <c r="X208" t="s">
        <v>44</v>
      </c>
      <c r="Y208" t="s">
        <v>44</v>
      </c>
      <c r="AD208" t="s">
        <v>65</v>
      </c>
      <c r="AE208" t="s">
        <v>46</v>
      </c>
      <c r="AF208" s="5">
        <f t="shared" si="16"/>
        <v>4225.9049789074497</v>
      </c>
      <c r="AG208">
        <f t="shared" si="13"/>
        <v>0</v>
      </c>
      <c r="AH208" s="5">
        <f t="shared" si="14"/>
        <v>4225.9049789074497</v>
      </c>
      <c r="AJ208" t="s">
        <v>54</v>
      </c>
    </row>
    <row r="209" spans="1:36" s="6" customFormat="1" x14ac:dyDescent="0.3">
      <c r="A209" s="6" t="s">
        <v>89</v>
      </c>
      <c r="B209" s="6" t="s">
        <v>143</v>
      </c>
      <c r="C209" s="6" t="s">
        <v>37</v>
      </c>
      <c r="D209" s="6" t="s">
        <v>144</v>
      </c>
      <c r="E209" s="6">
        <v>214</v>
      </c>
      <c r="F209" s="6" t="s">
        <v>377</v>
      </c>
      <c r="G209" s="6" t="s">
        <v>146</v>
      </c>
      <c r="H209" t="s">
        <v>68</v>
      </c>
      <c r="I209" s="4">
        <v>46030</v>
      </c>
      <c r="J209" s="4"/>
      <c r="K209" s="6" t="s">
        <v>61</v>
      </c>
      <c r="L209" t="s">
        <v>42</v>
      </c>
      <c r="M209" s="6" t="s">
        <v>43</v>
      </c>
      <c r="N209" s="5">
        <f t="shared" si="15"/>
        <v>12443.259950200001</v>
      </c>
      <c r="O209" s="5">
        <v>5572.95</v>
      </c>
      <c r="P209" s="5">
        <v>4910.1100000000006</v>
      </c>
      <c r="Q209" s="5">
        <v>444.2</v>
      </c>
      <c r="R209" s="5">
        <v>298.35000000000002</v>
      </c>
      <c r="S209" s="5">
        <v>1390.3499501999997</v>
      </c>
      <c r="T209" s="5">
        <v>172.7</v>
      </c>
      <c r="U209" s="6">
        <v>1508.5199999999998</v>
      </c>
      <c r="V209" s="6">
        <v>2300</v>
      </c>
      <c r="W209" s="6">
        <v>1000</v>
      </c>
      <c r="X209" s="6" t="s">
        <v>378</v>
      </c>
      <c r="Y209" s="6" t="s">
        <v>379</v>
      </c>
      <c r="AD209" s="6" t="s">
        <v>45</v>
      </c>
      <c r="AE209" s="6" t="s">
        <v>46</v>
      </c>
      <c r="AF209" s="7">
        <f t="shared" si="16"/>
        <v>14951.779950200002</v>
      </c>
      <c r="AG209" s="6">
        <f t="shared" si="13"/>
        <v>2300</v>
      </c>
      <c r="AH209" s="7">
        <f t="shared" si="14"/>
        <v>17251.779950200002</v>
      </c>
      <c r="AJ209" s="6" t="s">
        <v>54</v>
      </c>
    </row>
    <row r="210" spans="1:36" x14ac:dyDescent="0.3">
      <c r="A210" t="s">
        <v>55</v>
      </c>
      <c r="B210" t="s">
        <v>55</v>
      </c>
      <c r="C210" t="s">
        <v>56</v>
      </c>
      <c r="D210" t="s">
        <v>352</v>
      </c>
      <c r="E210">
        <v>215</v>
      </c>
      <c r="F210" t="s">
        <v>380</v>
      </c>
      <c r="G210" t="s">
        <v>139</v>
      </c>
      <c r="H210" t="s">
        <v>68</v>
      </c>
      <c r="I210" s="4">
        <v>46030</v>
      </c>
      <c r="J210" s="4"/>
      <c r="K210" t="s">
        <v>61</v>
      </c>
      <c r="L210" t="s">
        <v>42</v>
      </c>
      <c r="M210" t="s">
        <v>43</v>
      </c>
      <c r="N210" s="5">
        <f t="shared" si="15"/>
        <v>6910.8615989000009</v>
      </c>
      <c r="O210" s="5">
        <v>3356.8</v>
      </c>
      <c r="P210" s="5">
        <v>1758.6999999999998</v>
      </c>
      <c r="Q210" s="5">
        <v>256.08</v>
      </c>
      <c r="R210" s="5">
        <v>492.47</v>
      </c>
      <c r="S210" s="5">
        <v>1092.5515989</v>
      </c>
      <c r="T210" s="5">
        <v>45.74</v>
      </c>
      <c r="U210">
        <v>1278.5599999999997</v>
      </c>
      <c r="V210">
        <v>0</v>
      </c>
      <c r="X210" t="s">
        <v>44</v>
      </c>
      <c r="Y210" t="s">
        <v>44</v>
      </c>
      <c r="Z210">
        <v>11000</v>
      </c>
      <c r="AD210" t="s">
        <v>65</v>
      </c>
      <c r="AE210" t="s">
        <v>46</v>
      </c>
      <c r="AF210" s="5">
        <f t="shared" si="16"/>
        <v>8189.4215989000004</v>
      </c>
      <c r="AG210">
        <f t="shared" si="13"/>
        <v>11000</v>
      </c>
      <c r="AH210" s="5">
        <f t="shared" si="14"/>
        <v>19189.4215989</v>
      </c>
      <c r="AJ210" t="s">
        <v>54</v>
      </c>
    </row>
    <row r="211" spans="1:36" x14ac:dyDescent="0.3">
      <c r="A211" t="s">
        <v>55</v>
      </c>
      <c r="B211" t="s">
        <v>55</v>
      </c>
      <c r="C211" t="s">
        <v>56</v>
      </c>
      <c r="D211" t="s">
        <v>187</v>
      </c>
      <c r="E211">
        <v>216</v>
      </c>
      <c r="F211" t="s">
        <v>381</v>
      </c>
      <c r="G211" t="s">
        <v>209</v>
      </c>
      <c r="H211" t="s">
        <v>68</v>
      </c>
      <c r="I211" s="4">
        <v>46030</v>
      </c>
      <c r="J211" s="4"/>
      <c r="K211" t="s">
        <v>61</v>
      </c>
      <c r="L211" t="s">
        <v>42</v>
      </c>
      <c r="M211" t="s">
        <v>43</v>
      </c>
      <c r="N211" s="5">
        <f t="shared" si="15"/>
        <v>9188.0632979999991</v>
      </c>
      <c r="O211" s="5">
        <v>2801.97</v>
      </c>
      <c r="P211" s="5">
        <v>2099.09</v>
      </c>
      <c r="Q211" s="5">
        <v>574.75</v>
      </c>
      <c r="R211" s="5">
        <v>2087.58</v>
      </c>
      <c r="S211" s="5">
        <v>1684.6732979999999</v>
      </c>
      <c r="T211" s="5">
        <v>60</v>
      </c>
      <c r="U211">
        <v>1274.1199999999997</v>
      </c>
      <c r="V211">
        <v>0</v>
      </c>
      <c r="X211" t="s">
        <v>44</v>
      </c>
      <c r="Y211" t="s">
        <v>44</v>
      </c>
      <c r="AD211" t="s">
        <v>45</v>
      </c>
      <c r="AE211" t="s">
        <v>46</v>
      </c>
      <c r="AF211" s="5">
        <f t="shared" si="16"/>
        <v>10462.183297999998</v>
      </c>
      <c r="AG211">
        <f t="shared" si="13"/>
        <v>0</v>
      </c>
      <c r="AH211" s="5">
        <f t="shared" si="14"/>
        <v>10462.183297999998</v>
      </c>
      <c r="AJ211" t="s">
        <v>54</v>
      </c>
    </row>
    <row r="212" spans="1:36" x14ac:dyDescent="0.3">
      <c r="A212" t="s">
        <v>55</v>
      </c>
      <c r="B212" t="s">
        <v>55</v>
      </c>
      <c r="C212" t="s">
        <v>56</v>
      </c>
      <c r="D212" t="s">
        <v>227</v>
      </c>
      <c r="E212">
        <v>217</v>
      </c>
      <c r="F212" t="s">
        <v>382</v>
      </c>
      <c r="G212" t="s">
        <v>139</v>
      </c>
      <c r="H212" t="s">
        <v>60</v>
      </c>
      <c r="I212" s="4">
        <v>46030</v>
      </c>
      <c r="J212" s="4"/>
      <c r="K212" t="s">
        <v>61</v>
      </c>
      <c r="L212" t="s">
        <v>42</v>
      </c>
      <c r="M212" t="s">
        <v>43</v>
      </c>
      <c r="N212" s="5">
        <f t="shared" si="15"/>
        <v>5070.4872960000002</v>
      </c>
      <c r="O212" s="5">
        <v>3356.8</v>
      </c>
      <c r="P212" s="5">
        <v>1008.86</v>
      </c>
      <c r="Q212" s="5">
        <v>0</v>
      </c>
      <c r="R212" s="5">
        <v>0</v>
      </c>
      <c r="S212" s="5">
        <v>704.82729600000005</v>
      </c>
      <c r="T212" s="5">
        <v>0</v>
      </c>
      <c r="U212">
        <v>1274.1199999999999</v>
      </c>
      <c r="V212">
        <v>0</v>
      </c>
      <c r="X212" t="s">
        <v>44</v>
      </c>
      <c r="Y212" t="s">
        <v>44</v>
      </c>
      <c r="Z212">
        <v>10000</v>
      </c>
      <c r="AD212" t="s">
        <v>65</v>
      </c>
      <c r="AE212" t="s">
        <v>46</v>
      </c>
      <c r="AF212" s="5">
        <f t="shared" si="16"/>
        <v>6344.6072960000001</v>
      </c>
      <c r="AG212">
        <f t="shared" si="13"/>
        <v>10000</v>
      </c>
      <c r="AH212" s="5">
        <f t="shared" si="14"/>
        <v>16344.607296</v>
      </c>
      <c r="AJ212" t="s">
        <v>54</v>
      </c>
    </row>
    <row r="213" spans="1:36" x14ac:dyDescent="0.3">
      <c r="A213" t="s">
        <v>55</v>
      </c>
      <c r="B213" t="s">
        <v>55</v>
      </c>
      <c r="C213" t="s">
        <v>56</v>
      </c>
      <c r="D213" t="s">
        <v>57</v>
      </c>
      <c r="E213">
        <v>218</v>
      </c>
      <c r="F213" t="s">
        <v>383</v>
      </c>
      <c r="G213" t="s">
        <v>106</v>
      </c>
      <c r="H213" t="s">
        <v>68</v>
      </c>
      <c r="I213" s="4">
        <v>46030</v>
      </c>
      <c r="J213" s="4"/>
      <c r="K213" t="s">
        <v>61</v>
      </c>
      <c r="L213" t="s">
        <v>42</v>
      </c>
      <c r="M213" t="s">
        <v>43</v>
      </c>
      <c r="N213" s="5">
        <f t="shared" si="15"/>
        <v>13260.305247599999</v>
      </c>
      <c r="O213" s="5">
        <v>5377.9</v>
      </c>
      <c r="P213" s="5">
        <v>3608.9</v>
      </c>
      <c r="Q213" s="5">
        <v>2013.69</v>
      </c>
      <c r="R213" s="5">
        <v>462.66</v>
      </c>
      <c r="S213" s="5">
        <v>1970.5852475999998</v>
      </c>
      <c r="T213" s="5">
        <v>173.42999999999998</v>
      </c>
      <c r="U213">
        <v>1325.4399999999998</v>
      </c>
      <c r="V213">
        <v>0</v>
      </c>
      <c r="X213" t="s">
        <v>44</v>
      </c>
      <c r="Y213" t="s">
        <v>44</v>
      </c>
      <c r="AD213" t="s">
        <v>45</v>
      </c>
      <c r="AE213" t="s">
        <v>46</v>
      </c>
      <c r="AF213" s="5">
        <f t="shared" si="16"/>
        <v>14585.7452476</v>
      </c>
      <c r="AG213">
        <f t="shared" si="13"/>
        <v>0</v>
      </c>
      <c r="AH213" s="5">
        <f t="shared" si="14"/>
        <v>14585.7452476</v>
      </c>
      <c r="AJ213" t="s">
        <v>54</v>
      </c>
    </row>
    <row r="214" spans="1:36" x14ac:dyDescent="0.3">
      <c r="A214" t="s">
        <v>55</v>
      </c>
      <c r="B214" t="s">
        <v>55</v>
      </c>
      <c r="C214" t="s">
        <v>56</v>
      </c>
      <c r="E214">
        <v>219</v>
      </c>
      <c r="F214" t="s">
        <v>384</v>
      </c>
      <c r="G214" t="s">
        <v>82</v>
      </c>
      <c r="H214" t="s">
        <v>40</v>
      </c>
      <c r="I214" s="4">
        <v>46030</v>
      </c>
      <c r="J214" s="4">
        <v>46121</v>
      </c>
      <c r="K214" t="s">
        <v>41</v>
      </c>
      <c r="L214" t="s">
        <v>385</v>
      </c>
      <c r="M214" t="s">
        <v>43</v>
      </c>
      <c r="N214" s="5">
        <f t="shared" si="15"/>
        <v>2649.7980008999998</v>
      </c>
      <c r="O214" s="5">
        <v>2189.9699999999998</v>
      </c>
      <c r="P214" s="5">
        <v>0</v>
      </c>
      <c r="Q214" s="5">
        <v>0</v>
      </c>
      <c r="R214" s="5">
        <v>0</v>
      </c>
      <c r="S214" s="5">
        <v>459.82800089999995</v>
      </c>
      <c r="T214" s="5">
        <v>0</v>
      </c>
      <c r="U214">
        <v>0</v>
      </c>
      <c r="V214">
        <v>0</v>
      </c>
      <c r="X214">
        <v>0</v>
      </c>
      <c r="Y214" t="s">
        <v>44</v>
      </c>
      <c r="AD214" t="s">
        <v>45</v>
      </c>
      <c r="AE214" t="s">
        <v>46</v>
      </c>
      <c r="AF214" s="5">
        <f t="shared" si="16"/>
        <v>2649.7980008999998</v>
      </c>
      <c r="AG214">
        <f t="shared" si="13"/>
        <v>0</v>
      </c>
      <c r="AH214" s="5">
        <f t="shared" si="14"/>
        <v>2649.7980008999998</v>
      </c>
      <c r="AJ214" t="s">
        <v>54</v>
      </c>
    </row>
    <row r="215" spans="1:36" x14ac:dyDescent="0.3">
      <c r="A215" t="s">
        <v>55</v>
      </c>
      <c r="B215" t="s">
        <v>55</v>
      </c>
      <c r="C215" t="s">
        <v>56</v>
      </c>
      <c r="D215" t="s">
        <v>187</v>
      </c>
      <c r="E215">
        <v>220</v>
      </c>
      <c r="F215" t="s">
        <v>386</v>
      </c>
      <c r="G215" t="s">
        <v>82</v>
      </c>
      <c r="H215" t="s">
        <v>68</v>
      </c>
      <c r="I215" s="4">
        <v>46030</v>
      </c>
      <c r="J215" s="4"/>
      <c r="K215" t="s">
        <v>61</v>
      </c>
      <c r="L215" t="s">
        <v>42</v>
      </c>
      <c r="M215" t="s">
        <v>43</v>
      </c>
      <c r="N215" s="5">
        <f t="shared" si="15"/>
        <v>4912.0784174999999</v>
      </c>
      <c r="O215" s="5">
        <v>2302.75</v>
      </c>
      <c r="P215" s="5">
        <v>2125.8200000000002</v>
      </c>
      <c r="Q215" s="5">
        <v>0</v>
      </c>
      <c r="R215" s="5">
        <v>0</v>
      </c>
      <c r="S215" s="5">
        <v>483.50841750000001</v>
      </c>
      <c r="T215" s="5">
        <v>0</v>
      </c>
      <c r="U215">
        <v>1363.4399999999998</v>
      </c>
      <c r="V215">
        <v>0</v>
      </c>
      <c r="X215" t="s">
        <v>44</v>
      </c>
      <c r="Y215" t="s">
        <v>44</v>
      </c>
      <c r="AD215" t="s">
        <v>45</v>
      </c>
      <c r="AE215" t="s">
        <v>46</v>
      </c>
      <c r="AF215" s="5">
        <f t="shared" si="16"/>
        <v>6275.5184174999995</v>
      </c>
      <c r="AG215">
        <f t="shared" si="13"/>
        <v>0</v>
      </c>
      <c r="AH215" s="5">
        <f t="shared" si="14"/>
        <v>6275.5184174999995</v>
      </c>
      <c r="AJ215" t="s">
        <v>54</v>
      </c>
    </row>
    <row r="216" spans="1:36" x14ac:dyDescent="0.3">
      <c r="A216" t="s">
        <v>55</v>
      </c>
      <c r="B216" t="s">
        <v>55</v>
      </c>
      <c r="C216" t="s">
        <v>56</v>
      </c>
      <c r="E216">
        <v>221</v>
      </c>
      <c r="F216" t="s">
        <v>387</v>
      </c>
      <c r="G216" t="s">
        <v>82</v>
      </c>
      <c r="H216" t="s">
        <v>68</v>
      </c>
      <c r="I216" s="4">
        <v>46030</v>
      </c>
      <c r="J216" s="4"/>
      <c r="K216" t="s">
        <v>61</v>
      </c>
      <c r="L216" t="s">
        <v>42</v>
      </c>
      <c r="M216" t="s">
        <v>43</v>
      </c>
      <c r="N216" s="5">
        <f t="shared" si="15"/>
        <v>4501.7267001999999</v>
      </c>
      <c r="O216" s="5">
        <v>2302.75</v>
      </c>
      <c r="P216" s="5">
        <v>1174.8499999999999</v>
      </c>
      <c r="Q216" s="5">
        <v>160</v>
      </c>
      <c r="R216" s="5">
        <v>364.94</v>
      </c>
      <c r="S216" s="5">
        <v>713.19670020000001</v>
      </c>
      <c r="T216" s="5">
        <v>214.01</v>
      </c>
      <c r="U216">
        <v>1363.4399999999998</v>
      </c>
      <c r="V216">
        <v>0</v>
      </c>
      <c r="X216" t="s">
        <v>44</v>
      </c>
      <c r="Y216" t="s">
        <v>44</v>
      </c>
      <c r="AD216" t="s">
        <v>45</v>
      </c>
      <c r="AE216" t="s">
        <v>46</v>
      </c>
      <c r="AF216" s="5">
        <f t="shared" si="16"/>
        <v>5865.1667001999995</v>
      </c>
      <c r="AG216">
        <f t="shared" si="13"/>
        <v>0</v>
      </c>
      <c r="AH216" s="5">
        <f t="shared" si="14"/>
        <v>5865.1667001999995</v>
      </c>
      <c r="AJ216" t="s">
        <v>54</v>
      </c>
    </row>
    <row r="217" spans="1:36" x14ac:dyDescent="0.3">
      <c r="A217" t="s">
        <v>48</v>
      </c>
      <c r="B217" t="s">
        <v>51</v>
      </c>
      <c r="C217" t="s">
        <v>37</v>
      </c>
      <c r="D217" t="s">
        <v>102</v>
      </c>
      <c r="E217">
        <v>222</v>
      </c>
      <c r="F217" t="s">
        <v>388</v>
      </c>
      <c r="G217" t="s">
        <v>104</v>
      </c>
      <c r="H217" t="s">
        <v>68</v>
      </c>
      <c r="I217" s="4">
        <v>46030</v>
      </c>
      <c r="J217" s="4"/>
      <c r="K217" t="s">
        <v>61</v>
      </c>
      <c r="L217" t="s">
        <v>42</v>
      </c>
      <c r="M217" t="s">
        <v>43</v>
      </c>
      <c r="N217" s="5">
        <f t="shared" si="15"/>
        <v>8295.8289535999993</v>
      </c>
      <c r="O217" s="5">
        <v>2819.39</v>
      </c>
      <c r="P217" s="5">
        <v>933.91</v>
      </c>
      <c r="Q217" s="5">
        <v>2609.38</v>
      </c>
      <c r="R217" s="5">
        <v>457.71</v>
      </c>
      <c r="S217" s="5">
        <v>1510.7089536000001</v>
      </c>
      <c r="T217" s="5">
        <v>35.269999999999996</v>
      </c>
      <c r="U217">
        <v>1316.5599999999997</v>
      </c>
      <c r="V217">
        <v>0</v>
      </c>
      <c r="X217" t="s">
        <v>44</v>
      </c>
      <c r="Y217" t="s">
        <v>44</v>
      </c>
      <c r="AD217" t="s">
        <v>45</v>
      </c>
      <c r="AE217" t="s">
        <v>46</v>
      </c>
      <c r="AF217" s="5">
        <f t="shared" si="16"/>
        <v>9612.3889535999988</v>
      </c>
      <c r="AG217">
        <f t="shared" si="13"/>
        <v>0</v>
      </c>
      <c r="AH217" s="5">
        <f t="shared" si="14"/>
        <v>9612.3889535999988</v>
      </c>
      <c r="AJ217" t="s">
        <v>54</v>
      </c>
    </row>
    <row r="218" spans="1:36" x14ac:dyDescent="0.3">
      <c r="A218" t="s">
        <v>36</v>
      </c>
      <c r="B218" t="s">
        <v>36</v>
      </c>
      <c r="C218" t="s">
        <v>37</v>
      </c>
      <c r="D218" t="s">
        <v>213</v>
      </c>
      <c r="E218">
        <v>223</v>
      </c>
      <c r="F218" t="s">
        <v>389</v>
      </c>
      <c r="G218" t="s">
        <v>78</v>
      </c>
      <c r="H218" t="s">
        <v>40</v>
      </c>
      <c r="I218" s="4">
        <v>46030</v>
      </c>
      <c r="J218" s="4">
        <v>46175</v>
      </c>
      <c r="K218" t="s">
        <v>41</v>
      </c>
      <c r="L218" t="s">
        <v>42</v>
      </c>
      <c r="M218" t="s">
        <v>43</v>
      </c>
      <c r="N218" s="5">
        <f t="shared" si="15"/>
        <v>12.645761999999877</v>
      </c>
      <c r="O218" s="5">
        <v>2664.74</v>
      </c>
      <c r="P218" s="5">
        <v>3.55</v>
      </c>
      <c r="Q218" s="5">
        <v>1733.6000000000001</v>
      </c>
      <c r="R218" s="5">
        <v>192.24</v>
      </c>
      <c r="S218" s="5">
        <v>981.52576199999999</v>
      </c>
      <c r="T218" s="5">
        <v>5563.01</v>
      </c>
      <c r="U218">
        <v>0</v>
      </c>
      <c r="V218">
        <v>0</v>
      </c>
      <c r="X218" t="s">
        <v>44</v>
      </c>
      <c r="Y218" t="s">
        <v>44</v>
      </c>
      <c r="AD218" t="s">
        <v>45</v>
      </c>
      <c r="AE218" t="s">
        <v>46</v>
      </c>
      <c r="AF218" s="5">
        <f t="shared" si="16"/>
        <v>12.645761999999877</v>
      </c>
      <c r="AG218">
        <f t="shared" si="13"/>
        <v>0</v>
      </c>
      <c r="AH218" s="5">
        <f t="shared" si="14"/>
        <v>12.645761999999877</v>
      </c>
      <c r="AJ218" t="s">
        <v>47</v>
      </c>
    </row>
    <row r="219" spans="1:36" x14ac:dyDescent="0.3">
      <c r="A219" t="s">
        <v>36</v>
      </c>
      <c r="B219" t="s">
        <v>179</v>
      </c>
      <c r="C219" t="s">
        <v>37</v>
      </c>
      <c r="D219" t="s">
        <v>317</v>
      </c>
      <c r="E219">
        <v>224</v>
      </c>
      <c r="F219" t="s">
        <v>390</v>
      </c>
      <c r="G219" t="s">
        <v>73</v>
      </c>
      <c r="H219" t="s">
        <v>60</v>
      </c>
      <c r="I219" s="4">
        <v>46034</v>
      </c>
      <c r="J219" s="4">
        <v>46204</v>
      </c>
      <c r="K219" t="s">
        <v>41</v>
      </c>
      <c r="L219" t="s">
        <v>42</v>
      </c>
      <c r="M219" t="s">
        <v>43</v>
      </c>
      <c r="N219" s="5">
        <f t="shared" si="15"/>
        <v>4340.4936740000003</v>
      </c>
      <c r="O219" s="5">
        <v>2944.2</v>
      </c>
      <c r="P219" s="5">
        <v>778.10000000000014</v>
      </c>
      <c r="Q219" s="5">
        <v>0</v>
      </c>
      <c r="R219" s="5">
        <v>0</v>
      </c>
      <c r="S219" s="5">
        <v>618.19367399999999</v>
      </c>
      <c r="T219" s="5">
        <v>0</v>
      </c>
      <c r="U219">
        <v>1260.8</v>
      </c>
      <c r="V219">
        <v>0</v>
      </c>
      <c r="X219" t="s">
        <v>44</v>
      </c>
      <c r="Y219" t="s">
        <v>44</v>
      </c>
      <c r="AD219" t="s">
        <v>45</v>
      </c>
      <c r="AE219" t="s">
        <v>46</v>
      </c>
      <c r="AF219" s="5">
        <f t="shared" si="16"/>
        <v>5601.2936740000005</v>
      </c>
      <c r="AG219">
        <f t="shared" si="13"/>
        <v>0</v>
      </c>
      <c r="AH219" s="5">
        <f t="shared" si="14"/>
        <v>5601.2936740000005</v>
      </c>
      <c r="AJ219" t="s">
        <v>47</v>
      </c>
    </row>
    <row r="220" spans="1:36" x14ac:dyDescent="0.3">
      <c r="A220" t="s">
        <v>55</v>
      </c>
      <c r="B220" t="s">
        <v>55</v>
      </c>
      <c r="C220" t="s">
        <v>56</v>
      </c>
      <c r="D220" t="s">
        <v>352</v>
      </c>
      <c r="E220">
        <v>225</v>
      </c>
      <c r="F220" t="s">
        <v>391</v>
      </c>
      <c r="G220" t="s">
        <v>209</v>
      </c>
      <c r="H220" t="s">
        <v>40</v>
      </c>
      <c r="I220" s="4">
        <v>46041</v>
      </c>
      <c r="J220" s="4">
        <v>46084</v>
      </c>
      <c r="K220" t="s">
        <v>41</v>
      </c>
      <c r="L220" t="s">
        <v>392</v>
      </c>
      <c r="M220" t="s">
        <v>43</v>
      </c>
      <c r="N220" s="5">
        <f t="shared" si="15"/>
        <v>3655.9377317999997</v>
      </c>
      <c r="O220" s="5">
        <v>2664.74</v>
      </c>
      <c r="P220" s="5">
        <v>0</v>
      </c>
      <c r="Q220" s="5">
        <v>324.2</v>
      </c>
      <c r="R220" s="5">
        <v>212.11</v>
      </c>
      <c r="S220" s="5">
        <v>627.5877317999998</v>
      </c>
      <c r="T220" s="5">
        <v>172.7</v>
      </c>
      <c r="U220">
        <v>0</v>
      </c>
      <c r="V220">
        <v>0</v>
      </c>
      <c r="X220">
        <v>0</v>
      </c>
      <c r="Y220" t="s">
        <v>44</v>
      </c>
      <c r="AD220" t="s">
        <v>45</v>
      </c>
      <c r="AE220" t="s">
        <v>46</v>
      </c>
      <c r="AF220" s="5">
        <f t="shared" si="16"/>
        <v>3655.9377317999997</v>
      </c>
      <c r="AG220">
        <f t="shared" si="13"/>
        <v>0</v>
      </c>
      <c r="AH220" s="5">
        <f t="shared" si="14"/>
        <v>3655.9377317999997</v>
      </c>
      <c r="AJ220" t="s">
        <v>54</v>
      </c>
    </row>
    <row r="221" spans="1:36" x14ac:dyDescent="0.3">
      <c r="A221" t="s">
        <v>55</v>
      </c>
      <c r="B221" t="s">
        <v>55</v>
      </c>
      <c r="C221" t="s">
        <v>56</v>
      </c>
      <c r="D221" t="s">
        <v>126</v>
      </c>
      <c r="E221">
        <v>226</v>
      </c>
      <c r="F221" t="s">
        <v>393</v>
      </c>
      <c r="G221" t="s">
        <v>82</v>
      </c>
      <c r="H221" t="s">
        <v>40</v>
      </c>
      <c r="I221" s="4">
        <v>46041</v>
      </c>
      <c r="J221" s="4">
        <v>46129</v>
      </c>
      <c r="K221" t="s">
        <v>41</v>
      </c>
      <c r="L221" t="s">
        <v>394</v>
      </c>
      <c r="M221" t="s">
        <v>43</v>
      </c>
      <c r="N221" s="5">
        <f t="shared" si="15"/>
        <v>5312.993501500001</v>
      </c>
      <c r="O221" s="5">
        <v>2189.9699999999998</v>
      </c>
      <c r="P221" s="5">
        <v>0</v>
      </c>
      <c r="Q221" s="5">
        <v>401.08</v>
      </c>
      <c r="R221" s="5">
        <v>1803.0500000000002</v>
      </c>
      <c r="S221" s="5">
        <v>1301.8035015</v>
      </c>
      <c r="T221" s="5">
        <v>382.91</v>
      </c>
      <c r="U221">
        <v>0</v>
      </c>
      <c r="V221">
        <v>0</v>
      </c>
      <c r="X221">
        <v>0</v>
      </c>
      <c r="Y221" t="s">
        <v>44</v>
      </c>
      <c r="AD221" t="s">
        <v>45</v>
      </c>
      <c r="AE221" t="s">
        <v>46</v>
      </c>
      <c r="AF221" s="5">
        <f t="shared" si="16"/>
        <v>5312.993501500001</v>
      </c>
      <c r="AG221">
        <f t="shared" si="13"/>
        <v>0</v>
      </c>
      <c r="AH221" s="5">
        <f t="shared" si="14"/>
        <v>5312.993501500001</v>
      </c>
      <c r="AJ221" t="s">
        <v>54</v>
      </c>
    </row>
    <row r="222" spans="1:36" x14ac:dyDescent="0.3">
      <c r="A222" t="s">
        <v>55</v>
      </c>
      <c r="B222" t="s">
        <v>55</v>
      </c>
      <c r="C222" t="s">
        <v>56</v>
      </c>
      <c r="D222" t="s">
        <v>126</v>
      </c>
      <c r="E222">
        <v>227</v>
      </c>
      <c r="F222" t="s">
        <v>395</v>
      </c>
      <c r="G222" t="s">
        <v>396</v>
      </c>
      <c r="H222" t="s">
        <v>60</v>
      </c>
      <c r="I222" s="4">
        <v>46041</v>
      </c>
      <c r="J222" s="4"/>
      <c r="K222" t="s">
        <v>61</v>
      </c>
      <c r="L222" t="s">
        <v>42</v>
      </c>
      <c r="M222" t="s">
        <v>43</v>
      </c>
      <c r="N222" s="5">
        <f t="shared" si="15"/>
        <v>6241.0520195000008</v>
      </c>
      <c r="O222" s="5">
        <v>3049.35</v>
      </c>
      <c r="P222" s="5">
        <v>2551.4300000000003</v>
      </c>
      <c r="Q222" s="5">
        <v>0</v>
      </c>
      <c r="R222" s="5">
        <v>0</v>
      </c>
      <c r="S222" s="5">
        <v>640.27201949999994</v>
      </c>
      <c r="T222" s="5">
        <v>0</v>
      </c>
      <c r="U222">
        <v>1325.4399999999998</v>
      </c>
      <c r="V222">
        <v>0</v>
      </c>
      <c r="X222" t="s">
        <v>44</v>
      </c>
      <c r="Y222" t="s">
        <v>44</v>
      </c>
      <c r="AD222" t="s">
        <v>45</v>
      </c>
      <c r="AE222" t="s">
        <v>46</v>
      </c>
      <c r="AF222" s="5">
        <f t="shared" si="16"/>
        <v>7566.4920195000004</v>
      </c>
      <c r="AG222">
        <f t="shared" si="13"/>
        <v>0</v>
      </c>
      <c r="AH222" s="5">
        <f t="shared" si="14"/>
        <v>7566.4920195000004</v>
      </c>
      <c r="AJ222" t="s">
        <v>47</v>
      </c>
    </row>
    <row r="223" spans="1:36" x14ac:dyDescent="0.3">
      <c r="A223" t="s">
        <v>55</v>
      </c>
      <c r="B223" t="s">
        <v>55</v>
      </c>
      <c r="C223" t="s">
        <v>56</v>
      </c>
      <c r="E223">
        <v>228</v>
      </c>
      <c r="F223" t="s">
        <v>397</v>
      </c>
      <c r="G223" t="s">
        <v>82</v>
      </c>
      <c r="H223" t="s">
        <v>40</v>
      </c>
      <c r="I223" s="4">
        <v>46041</v>
      </c>
      <c r="J223" s="4">
        <v>46066</v>
      </c>
      <c r="K223" t="s">
        <v>41</v>
      </c>
      <c r="L223" t="s">
        <v>398</v>
      </c>
      <c r="M223" t="s">
        <v>43</v>
      </c>
      <c r="N223" s="5">
        <f t="shared" si="15"/>
        <v>2649.7980008999998</v>
      </c>
      <c r="O223" s="5">
        <v>2189.9699999999998</v>
      </c>
      <c r="P223" s="5">
        <v>0</v>
      </c>
      <c r="Q223" s="5">
        <v>0</v>
      </c>
      <c r="R223" s="5">
        <v>0</v>
      </c>
      <c r="S223" s="5">
        <v>459.82800089999995</v>
      </c>
      <c r="T223" s="5">
        <v>0</v>
      </c>
      <c r="U223">
        <v>0</v>
      </c>
      <c r="V223">
        <v>0</v>
      </c>
      <c r="X223">
        <v>0</v>
      </c>
      <c r="Y223" t="s">
        <v>44</v>
      </c>
      <c r="AD223" t="s">
        <v>45</v>
      </c>
      <c r="AE223" t="s">
        <v>46</v>
      </c>
      <c r="AF223" s="5">
        <f t="shared" si="16"/>
        <v>2649.7980008999998</v>
      </c>
      <c r="AG223">
        <f t="shared" si="13"/>
        <v>0</v>
      </c>
      <c r="AH223" s="5">
        <f t="shared" si="14"/>
        <v>2649.7980008999998</v>
      </c>
      <c r="AJ223" t="s">
        <v>54</v>
      </c>
    </row>
    <row r="224" spans="1:36" x14ac:dyDescent="0.3">
      <c r="A224" t="s">
        <v>55</v>
      </c>
      <c r="B224" t="s">
        <v>55</v>
      </c>
      <c r="C224" t="s">
        <v>56</v>
      </c>
      <c r="E224">
        <v>229</v>
      </c>
      <c r="F224" t="s">
        <v>399</v>
      </c>
      <c r="G224" t="s">
        <v>139</v>
      </c>
      <c r="H224" t="s">
        <v>40</v>
      </c>
      <c r="I224" s="4">
        <v>46041</v>
      </c>
      <c r="J224" s="4">
        <v>46134</v>
      </c>
      <c r="K224" t="s">
        <v>41</v>
      </c>
      <c r="L224" t="s">
        <v>400</v>
      </c>
      <c r="M224" t="s">
        <v>43</v>
      </c>
      <c r="N224" s="5">
        <f t="shared" si="15"/>
        <v>3862.6961283000001</v>
      </c>
      <c r="O224" s="5">
        <v>3192.39</v>
      </c>
      <c r="P224" s="5">
        <v>0</v>
      </c>
      <c r="Q224" s="5">
        <v>0</v>
      </c>
      <c r="R224" s="5">
        <v>0</v>
      </c>
      <c r="S224" s="5">
        <v>670.30612829999995</v>
      </c>
      <c r="T224" s="5">
        <v>0</v>
      </c>
      <c r="U224">
        <v>0</v>
      </c>
      <c r="V224">
        <v>0</v>
      </c>
      <c r="X224">
        <v>0</v>
      </c>
      <c r="Y224" t="s">
        <v>44</v>
      </c>
      <c r="AD224" t="s">
        <v>65</v>
      </c>
      <c r="AE224" t="s">
        <v>46</v>
      </c>
      <c r="AF224" s="5">
        <f t="shared" si="16"/>
        <v>3862.6961283000001</v>
      </c>
      <c r="AG224">
        <f t="shared" si="13"/>
        <v>0</v>
      </c>
      <c r="AH224" s="5">
        <f t="shared" si="14"/>
        <v>3862.6961283000001</v>
      </c>
      <c r="AJ224" t="s">
        <v>54</v>
      </c>
    </row>
    <row r="225" spans="1:36" x14ac:dyDescent="0.3">
      <c r="A225" t="s">
        <v>55</v>
      </c>
      <c r="B225" t="s">
        <v>55</v>
      </c>
      <c r="C225" t="s">
        <v>56</v>
      </c>
      <c r="D225" t="s">
        <v>261</v>
      </c>
      <c r="E225">
        <v>230</v>
      </c>
      <c r="F225" t="s">
        <v>401</v>
      </c>
      <c r="G225" t="s">
        <v>139</v>
      </c>
      <c r="H225" t="s">
        <v>60</v>
      </c>
      <c r="I225" s="4">
        <v>46041</v>
      </c>
      <c r="J225" s="4"/>
      <c r="K225" t="s">
        <v>61</v>
      </c>
      <c r="L225" t="s">
        <v>42</v>
      </c>
      <c r="M225" t="s">
        <v>43</v>
      </c>
      <c r="N225" s="5">
        <f t="shared" si="15"/>
        <v>5516.3072960000009</v>
      </c>
      <c r="O225" s="5">
        <v>3356.8</v>
      </c>
      <c r="P225" s="5">
        <v>1454.68</v>
      </c>
      <c r="Q225" s="5">
        <v>0</v>
      </c>
      <c r="R225" s="5">
        <v>0</v>
      </c>
      <c r="S225" s="5">
        <v>704.82729600000005</v>
      </c>
      <c r="T225" s="5">
        <v>0</v>
      </c>
      <c r="U225">
        <v>1115.7199999999998</v>
      </c>
      <c r="V225">
        <v>0</v>
      </c>
      <c r="X225" t="s">
        <v>44</v>
      </c>
      <c r="Y225" t="s">
        <v>44</v>
      </c>
      <c r="Z225">
        <v>15000</v>
      </c>
      <c r="AD225" t="s">
        <v>65</v>
      </c>
      <c r="AE225" t="s">
        <v>46</v>
      </c>
      <c r="AF225" s="5">
        <f t="shared" si="16"/>
        <v>6632.0272960000002</v>
      </c>
      <c r="AG225">
        <f t="shared" si="13"/>
        <v>15000</v>
      </c>
      <c r="AH225" s="5">
        <f t="shared" si="14"/>
        <v>21632.027296</v>
      </c>
      <c r="AJ225" t="s">
        <v>54</v>
      </c>
    </row>
    <row r="226" spans="1:36" x14ac:dyDescent="0.3">
      <c r="A226" t="s">
        <v>55</v>
      </c>
      <c r="B226" t="s">
        <v>55</v>
      </c>
      <c r="C226" t="s">
        <v>56</v>
      </c>
      <c r="D226" t="s">
        <v>185</v>
      </c>
      <c r="E226">
        <v>231</v>
      </c>
      <c r="F226" t="s">
        <v>402</v>
      </c>
      <c r="G226" t="s">
        <v>82</v>
      </c>
      <c r="H226" t="s">
        <v>40</v>
      </c>
      <c r="I226" s="4">
        <v>46041</v>
      </c>
      <c r="J226" s="4">
        <v>46085</v>
      </c>
      <c r="K226" t="s">
        <v>41</v>
      </c>
      <c r="L226" t="s">
        <v>403</v>
      </c>
      <c r="M226" t="s">
        <v>43</v>
      </c>
      <c r="N226" s="5">
        <f t="shared" si="15"/>
        <v>2649.7980008999998</v>
      </c>
      <c r="O226" s="5">
        <v>2189.9699999999998</v>
      </c>
      <c r="P226" s="5">
        <v>0</v>
      </c>
      <c r="Q226" s="5">
        <v>0</v>
      </c>
      <c r="R226" s="5">
        <v>0</v>
      </c>
      <c r="S226" s="5">
        <v>459.82800089999995</v>
      </c>
      <c r="T226" s="5">
        <v>0</v>
      </c>
      <c r="U226">
        <v>0</v>
      </c>
      <c r="V226">
        <v>0</v>
      </c>
      <c r="X226">
        <v>0</v>
      </c>
      <c r="Y226" t="s">
        <v>44</v>
      </c>
      <c r="AD226" t="s">
        <v>45</v>
      </c>
      <c r="AE226" t="s">
        <v>46</v>
      </c>
      <c r="AF226" s="5">
        <f t="shared" si="16"/>
        <v>2649.7980008999998</v>
      </c>
      <c r="AG226">
        <f t="shared" si="13"/>
        <v>0</v>
      </c>
      <c r="AH226" s="5">
        <f t="shared" si="14"/>
        <v>2649.7980008999998</v>
      </c>
      <c r="AJ226" t="s">
        <v>54</v>
      </c>
    </row>
    <row r="227" spans="1:36" x14ac:dyDescent="0.3">
      <c r="A227" t="s">
        <v>55</v>
      </c>
      <c r="B227" t="s">
        <v>55</v>
      </c>
      <c r="C227" t="s">
        <v>56</v>
      </c>
      <c r="D227" t="s">
        <v>261</v>
      </c>
      <c r="E227">
        <v>232</v>
      </c>
      <c r="F227" t="s">
        <v>404</v>
      </c>
      <c r="G227" t="s">
        <v>82</v>
      </c>
      <c r="H227" t="s">
        <v>40</v>
      </c>
      <c r="I227" s="4">
        <v>46041</v>
      </c>
      <c r="J227" s="4">
        <v>46129</v>
      </c>
      <c r="K227" t="s">
        <v>41</v>
      </c>
      <c r="L227" t="s">
        <v>405</v>
      </c>
      <c r="M227" t="s">
        <v>43</v>
      </c>
      <c r="N227" s="5">
        <f t="shared" si="15"/>
        <v>2649.7980008999998</v>
      </c>
      <c r="O227" s="5">
        <v>2189.9699999999998</v>
      </c>
      <c r="P227" s="5">
        <v>0</v>
      </c>
      <c r="Q227" s="5">
        <v>0</v>
      </c>
      <c r="R227" s="5">
        <v>0</v>
      </c>
      <c r="S227" s="5">
        <v>459.82800089999995</v>
      </c>
      <c r="T227" s="5">
        <v>0</v>
      </c>
      <c r="U227">
        <v>0</v>
      </c>
      <c r="V227">
        <v>0</v>
      </c>
      <c r="X227">
        <v>0</v>
      </c>
      <c r="Y227" t="s">
        <v>44</v>
      </c>
      <c r="AD227" t="s">
        <v>45</v>
      </c>
      <c r="AE227" t="s">
        <v>46</v>
      </c>
      <c r="AF227" s="5">
        <f t="shared" si="16"/>
        <v>2649.7980008999998</v>
      </c>
      <c r="AG227">
        <f t="shared" si="13"/>
        <v>0</v>
      </c>
      <c r="AH227" s="5">
        <f t="shared" si="14"/>
        <v>2649.7980008999998</v>
      </c>
      <c r="AJ227" t="s">
        <v>54</v>
      </c>
    </row>
    <row r="228" spans="1:36" x14ac:dyDescent="0.3">
      <c r="A228" t="s">
        <v>55</v>
      </c>
      <c r="B228" t="s">
        <v>55</v>
      </c>
      <c r="C228" t="s">
        <v>56</v>
      </c>
      <c r="D228" t="s">
        <v>285</v>
      </c>
      <c r="E228">
        <v>234</v>
      </c>
      <c r="F228" t="s">
        <v>406</v>
      </c>
      <c r="G228" t="s">
        <v>209</v>
      </c>
      <c r="H228" t="s">
        <v>40</v>
      </c>
      <c r="I228" s="4">
        <v>46041</v>
      </c>
      <c r="J228" s="4">
        <v>46148</v>
      </c>
      <c r="K228" t="s">
        <v>41</v>
      </c>
      <c r="L228" t="s">
        <v>42</v>
      </c>
      <c r="M228" t="s">
        <v>43</v>
      </c>
      <c r="N228" s="5">
        <f t="shared" si="15"/>
        <v>3224.2554577999999</v>
      </c>
      <c r="O228" s="5">
        <v>2664.74</v>
      </c>
      <c r="P228" s="5">
        <v>0</v>
      </c>
      <c r="Q228" s="5">
        <v>0</v>
      </c>
      <c r="R228" s="5">
        <v>0</v>
      </c>
      <c r="S228" s="5">
        <v>559.51545779999992</v>
      </c>
      <c r="T228" s="5">
        <v>0</v>
      </c>
      <c r="U228">
        <v>0</v>
      </c>
      <c r="V228">
        <v>0</v>
      </c>
      <c r="X228">
        <v>0</v>
      </c>
      <c r="Y228" t="s">
        <v>44</v>
      </c>
      <c r="AD228" t="s">
        <v>45</v>
      </c>
      <c r="AE228" t="s">
        <v>46</v>
      </c>
      <c r="AF228" s="5">
        <f t="shared" si="16"/>
        <v>3224.2554577999999</v>
      </c>
      <c r="AG228">
        <f t="shared" si="13"/>
        <v>0</v>
      </c>
      <c r="AH228" s="5">
        <f t="shared" si="14"/>
        <v>3224.2554577999999</v>
      </c>
      <c r="AJ228" t="s">
        <v>54</v>
      </c>
    </row>
    <row r="229" spans="1:36" x14ac:dyDescent="0.3">
      <c r="A229" t="s">
        <v>55</v>
      </c>
      <c r="B229" t="s">
        <v>55</v>
      </c>
      <c r="C229" t="s">
        <v>56</v>
      </c>
      <c r="D229" t="s">
        <v>57</v>
      </c>
      <c r="E229">
        <v>235</v>
      </c>
      <c r="F229" t="s">
        <v>407</v>
      </c>
      <c r="G229" t="s">
        <v>106</v>
      </c>
      <c r="H229" t="s">
        <v>40</v>
      </c>
      <c r="I229" s="4">
        <v>46041</v>
      </c>
      <c r="J229" s="4">
        <v>46174</v>
      </c>
      <c r="K229" t="s">
        <v>41</v>
      </c>
      <c r="L229" t="s">
        <v>42</v>
      </c>
      <c r="M229" t="s">
        <v>43</v>
      </c>
      <c r="N229" s="5">
        <f t="shared" si="15"/>
        <v>-9193.5584350000008</v>
      </c>
      <c r="O229" s="5">
        <v>5114.5</v>
      </c>
      <c r="P229" s="5">
        <v>541.15</v>
      </c>
      <c r="Q229" s="5">
        <v>0</v>
      </c>
      <c r="R229" s="5">
        <v>0</v>
      </c>
      <c r="S229" s="5">
        <v>1073.8915649999997</v>
      </c>
      <c r="T229" s="5">
        <v>15923.1</v>
      </c>
      <c r="U229">
        <v>0</v>
      </c>
      <c r="V229">
        <v>0</v>
      </c>
      <c r="X229">
        <v>0</v>
      </c>
      <c r="Y229">
        <v>0</v>
      </c>
      <c r="AD229" t="s">
        <v>45</v>
      </c>
      <c r="AE229" t="s">
        <v>46</v>
      </c>
      <c r="AF229" s="5">
        <f t="shared" si="16"/>
        <v>-9193.5584350000008</v>
      </c>
      <c r="AG229">
        <f t="shared" si="13"/>
        <v>0</v>
      </c>
      <c r="AH229" s="5">
        <f t="shared" si="14"/>
        <v>-9193.5584350000008</v>
      </c>
      <c r="AJ229" t="s">
        <v>54</v>
      </c>
    </row>
    <row r="230" spans="1:36" x14ac:dyDescent="0.3">
      <c r="A230" t="s">
        <v>55</v>
      </c>
      <c r="B230" t="s">
        <v>55</v>
      </c>
      <c r="C230" t="s">
        <v>56</v>
      </c>
      <c r="D230" t="s">
        <v>261</v>
      </c>
      <c r="E230">
        <v>236</v>
      </c>
      <c r="F230" t="s">
        <v>408</v>
      </c>
      <c r="G230" t="s">
        <v>209</v>
      </c>
      <c r="H230" t="s">
        <v>40</v>
      </c>
      <c r="I230" s="4">
        <v>46041</v>
      </c>
      <c r="J230" s="4">
        <v>46084</v>
      </c>
      <c r="K230" t="s">
        <v>41</v>
      </c>
      <c r="L230" t="s">
        <v>409</v>
      </c>
      <c r="M230" t="s">
        <v>43</v>
      </c>
      <c r="N230" s="5">
        <f t="shared" si="15"/>
        <v>3224.2554577999999</v>
      </c>
      <c r="O230" s="5">
        <v>2664.74</v>
      </c>
      <c r="P230" s="5">
        <v>0</v>
      </c>
      <c r="Q230" s="5">
        <v>0</v>
      </c>
      <c r="R230" s="5">
        <v>0</v>
      </c>
      <c r="S230" s="5">
        <v>559.51545779999992</v>
      </c>
      <c r="T230" s="5">
        <v>0</v>
      </c>
      <c r="U230">
        <v>0</v>
      </c>
      <c r="V230">
        <v>0</v>
      </c>
      <c r="X230">
        <v>0</v>
      </c>
      <c r="Y230" t="s">
        <v>44</v>
      </c>
      <c r="AD230" t="s">
        <v>45</v>
      </c>
      <c r="AE230" t="s">
        <v>46</v>
      </c>
      <c r="AF230" s="5">
        <f t="shared" si="16"/>
        <v>3224.2554577999999</v>
      </c>
      <c r="AG230">
        <f t="shared" si="13"/>
        <v>0</v>
      </c>
      <c r="AH230" s="5">
        <f t="shared" si="14"/>
        <v>3224.2554577999999</v>
      </c>
      <c r="AJ230" t="s">
        <v>54</v>
      </c>
    </row>
    <row r="231" spans="1:36" x14ac:dyDescent="0.3">
      <c r="A231" t="s">
        <v>55</v>
      </c>
      <c r="B231" t="s">
        <v>55</v>
      </c>
      <c r="C231" t="s">
        <v>56</v>
      </c>
      <c r="D231" t="s">
        <v>352</v>
      </c>
      <c r="E231">
        <v>237</v>
      </c>
      <c r="F231" t="s">
        <v>410</v>
      </c>
      <c r="G231" t="s">
        <v>82</v>
      </c>
      <c r="H231" t="s">
        <v>60</v>
      </c>
      <c r="I231" s="4">
        <v>46041</v>
      </c>
      <c r="J231" s="4"/>
      <c r="K231" t="s">
        <v>61</v>
      </c>
      <c r="L231" t="s">
        <v>42</v>
      </c>
      <c r="M231" t="s">
        <v>43</v>
      </c>
      <c r="N231" s="5">
        <f t="shared" si="15"/>
        <v>4490.5784174999999</v>
      </c>
      <c r="O231" s="5">
        <v>2302.75</v>
      </c>
      <c r="P231" s="5">
        <v>1704.32</v>
      </c>
      <c r="Q231" s="5">
        <v>0</v>
      </c>
      <c r="R231" s="5">
        <v>0</v>
      </c>
      <c r="S231" s="5">
        <v>483.50841750000001</v>
      </c>
      <c r="T231" s="5">
        <v>0</v>
      </c>
      <c r="U231">
        <v>1205.0399999999997</v>
      </c>
      <c r="V231">
        <v>0</v>
      </c>
      <c r="X231" t="s">
        <v>44</v>
      </c>
      <c r="Y231" t="s">
        <v>44</v>
      </c>
      <c r="AD231" t="s">
        <v>45</v>
      </c>
      <c r="AE231" t="s">
        <v>46</v>
      </c>
      <c r="AF231" s="5">
        <f t="shared" si="16"/>
        <v>5695.6184174999999</v>
      </c>
      <c r="AG231">
        <f t="shared" si="13"/>
        <v>0</v>
      </c>
      <c r="AH231" s="5">
        <f t="shared" si="14"/>
        <v>5695.6184174999999</v>
      </c>
      <c r="AJ231" t="s">
        <v>54</v>
      </c>
    </row>
    <row r="232" spans="1:36" x14ac:dyDescent="0.3">
      <c r="A232" t="s">
        <v>55</v>
      </c>
      <c r="B232" t="s">
        <v>55</v>
      </c>
      <c r="C232" t="s">
        <v>56</v>
      </c>
      <c r="D232" t="s">
        <v>129</v>
      </c>
      <c r="E232">
        <v>238</v>
      </c>
      <c r="F232" t="s">
        <v>411</v>
      </c>
      <c r="G232" t="s">
        <v>78</v>
      </c>
      <c r="H232" t="s">
        <v>68</v>
      </c>
      <c r="I232" s="4">
        <v>46041</v>
      </c>
      <c r="J232" s="4"/>
      <c r="K232" t="s">
        <v>61</v>
      </c>
      <c r="L232" t="s">
        <v>42</v>
      </c>
      <c r="M232" t="s">
        <v>43</v>
      </c>
      <c r="N232" s="5">
        <f t="shared" si="15"/>
        <v>3748.9296408999999</v>
      </c>
      <c r="O232" s="5">
        <v>2801.97</v>
      </c>
      <c r="P232" s="5">
        <v>358.63</v>
      </c>
      <c r="Q232" s="5">
        <v>0</v>
      </c>
      <c r="R232" s="5">
        <v>0</v>
      </c>
      <c r="S232" s="5">
        <v>588.32964089999996</v>
      </c>
      <c r="T232" s="5">
        <v>0</v>
      </c>
      <c r="U232">
        <v>1077.7199999999998</v>
      </c>
      <c r="V232">
        <v>0</v>
      </c>
      <c r="X232" t="s">
        <v>44</v>
      </c>
      <c r="Y232" t="s">
        <v>44</v>
      </c>
      <c r="AD232" t="s">
        <v>45</v>
      </c>
      <c r="AE232" t="s">
        <v>46</v>
      </c>
      <c r="AF232" s="5">
        <f t="shared" si="16"/>
        <v>4826.6496408999992</v>
      </c>
      <c r="AG232">
        <f t="shared" si="13"/>
        <v>0</v>
      </c>
      <c r="AH232" s="5">
        <f t="shared" si="14"/>
        <v>4826.6496408999992</v>
      </c>
      <c r="AJ232" t="s">
        <v>54</v>
      </c>
    </row>
    <row r="233" spans="1:36" x14ac:dyDescent="0.3">
      <c r="A233" t="s">
        <v>55</v>
      </c>
      <c r="B233" t="s">
        <v>55</v>
      </c>
      <c r="C233" t="s">
        <v>56</v>
      </c>
      <c r="E233">
        <v>239</v>
      </c>
      <c r="F233" t="s">
        <v>412</v>
      </c>
      <c r="G233" t="s">
        <v>82</v>
      </c>
      <c r="H233" t="s">
        <v>40</v>
      </c>
      <c r="I233" s="4">
        <v>46041</v>
      </c>
      <c r="J233" s="4">
        <v>46066</v>
      </c>
      <c r="K233" t="s">
        <v>41</v>
      </c>
      <c r="L233" t="s">
        <v>413</v>
      </c>
      <c r="M233" t="s">
        <v>43</v>
      </c>
      <c r="N233" s="5">
        <f t="shared" si="15"/>
        <v>3343.2199084999993</v>
      </c>
      <c r="O233" s="5">
        <v>2189.9699999999998</v>
      </c>
      <c r="P233" s="5">
        <v>0</v>
      </c>
      <c r="Q233" s="5">
        <v>324.2</v>
      </c>
      <c r="R233" s="5">
        <v>361.27</v>
      </c>
      <c r="S233" s="5">
        <v>704.0399084999998</v>
      </c>
      <c r="T233" s="5">
        <v>236.26000000000002</v>
      </c>
      <c r="U233">
        <v>0</v>
      </c>
      <c r="V233">
        <v>0</v>
      </c>
      <c r="X233">
        <v>0</v>
      </c>
      <c r="Y233" t="s">
        <v>44</v>
      </c>
      <c r="AD233" t="s">
        <v>45</v>
      </c>
      <c r="AE233" t="s">
        <v>46</v>
      </c>
      <c r="AF233" s="5">
        <f t="shared" si="16"/>
        <v>3343.2199084999993</v>
      </c>
      <c r="AG233">
        <f t="shared" si="13"/>
        <v>0</v>
      </c>
      <c r="AH233" s="5">
        <f t="shared" si="14"/>
        <v>3343.2199084999993</v>
      </c>
      <c r="AJ233" t="s">
        <v>54</v>
      </c>
    </row>
    <row r="234" spans="1:36" x14ac:dyDescent="0.3">
      <c r="A234" t="s">
        <v>55</v>
      </c>
      <c r="B234" t="s">
        <v>55</v>
      </c>
      <c r="C234" t="s">
        <v>56</v>
      </c>
      <c r="E234">
        <v>240</v>
      </c>
      <c r="F234" t="s">
        <v>414</v>
      </c>
      <c r="G234" t="s">
        <v>106</v>
      </c>
      <c r="H234" t="s">
        <v>40</v>
      </c>
      <c r="I234" s="4">
        <v>46041</v>
      </c>
      <c r="J234" s="4">
        <v>46063</v>
      </c>
      <c r="K234" t="s">
        <v>41</v>
      </c>
      <c r="L234" t="s">
        <v>415</v>
      </c>
      <c r="M234" t="s">
        <v>43</v>
      </c>
      <c r="N234" s="5">
        <f t="shared" si="15"/>
        <v>6188.3915649999999</v>
      </c>
      <c r="O234" s="5">
        <v>5114.5</v>
      </c>
      <c r="P234" s="5">
        <v>0</v>
      </c>
      <c r="Q234" s="5">
        <v>0</v>
      </c>
      <c r="R234" s="5">
        <v>0</v>
      </c>
      <c r="S234" s="5">
        <v>1073.8915649999997</v>
      </c>
      <c r="T234" s="5">
        <v>0</v>
      </c>
      <c r="U234">
        <v>0</v>
      </c>
      <c r="V234">
        <v>0</v>
      </c>
      <c r="X234">
        <v>0</v>
      </c>
      <c r="Y234" t="s">
        <v>44</v>
      </c>
      <c r="AD234" t="s">
        <v>45</v>
      </c>
      <c r="AE234" t="s">
        <v>46</v>
      </c>
      <c r="AF234" s="5">
        <f t="shared" si="16"/>
        <v>6188.3915649999999</v>
      </c>
      <c r="AG234">
        <f t="shared" si="13"/>
        <v>0</v>
      </c>
      <c r="AH234" s="5">
        <f t="shared" si="14"/>
        <v>6188.3915649999999</v>
      </c>
      <c r="AJ234" t="s">
        <v>54</v>
      </c>
    </row>
    <row r="235" spans="1:36" x14ac:dyDescent="0.3">
      <c r="A235" t="s">
        <v>55</v>
      </c>
      <c r="B235" t="s">
        <v>55</v>
      </c>
      <c r="C235" t="s">
        <v>56</v>
      </c>
      <c r="E235">
        <v>241</v>
      </c>
      <c r="F235" t="s">
        <v>416</v>
      </c>
      <c r="G235" t="s">
        <v>209</v>
      </c>
      <c r="H235" t="s">
        <v>40</v>
      </c>
      <c r="I235" s="4">
        <v>46041</v>
      </c>
      <c r="J235" s="4">
        <v>46069</v>
      </c>
      <c r="K235" t="s">
        <v>41</v>
      </c>
      <c r="L235" t="s">
        <v>417</v>
      </c>
      <c r="M235" t="s">
        <v>43</v>
      </c>
      <c r="N235" s="5">
        <f t="shared" si="15"/>
        <v>4406.5393525999998</v>
      </c>
      <c r="O235" s="5">
        <v>2664.74</v>
      </c>
      <c r="P235" s="5">
        <v>0</v>
      </c>
      <c r="Q235" s="5">
        <v>556.20000000000005</v>
      </c>
      <c r="R235" s="5">
        <v>377.5</v>
      </c>
      <c r="S235" s="5">
        <v>857.00935259999994</v>
      </c>
      <c r="T235" s="5">
        <v>48.910000000000004</v>
      </c>
      <c r="U235">
        <v>0</v>
      </c>
      <c r="V235">
        <v>0</v>
      </c>
      <c r="X235">
        <v>0</v>
      </c>
      <c r="Y235" t="s">
        <v>44</v>
      </c>
      <c r="AD235" t="s">
        <v>45</v>
      </c>
      <c r="AE235" t="s">
        <v>46</v>
      </c>
      <c r="AF235" s="5">
        <f t="shared" si="16"/>
        <v>4406.5393525999998</v>
      </c>
      <c r="AG235">
        <f t="shared" si="13"/>
        <v>0</v>
      </c>
      <c r="AH235" s="5">
        <f t="shared" si="14"/>
        <v>4406.5393525999998</v>
      </c>
      <c r="AJ235" t="s">
        <v>54</v>
      </c>
    </row>
    <row r="236" spans="1:36" x14ac:dyDescent="0.3">
      <c r="A236" t="s">
        <v>55</v>
      </c>
      <c r="B236" t="s">
        <v>55</v>
      </c>
      <c r="C236" t="s">
        <v>56</v>
      </c>
      <c r="D236" t="s">
        <v>285</v>
      </c>
      <c r="E236">
        <v>242</v>
      </c>
      <c r="F236" t="s">
        <v>418</v>
      </c>
      <c r="G236" t="s">
        <v>82</v>
      </c>
      <c r="H236" t="s">
        <v>40</v>
      </c>
      <c r="I236" s="4">
        <v>46041</v>
      </c>
      <c r="J236" s="4">
        <v>46134</v>
      </c>
      <c r="K236" t="s">
        <v>41</v>
      </c>
      <c r="L236" t="s">
        <v>419</v>
      </c>
      <c r="M236" t="s">
        <v>43</v>
      </c>
      <c r="N236" s="5">
        <f t="shared" si="15"/>
        <v>4715.7672321</v>
      </c>
      <c r="O236" s="5">
        <v>2189.9699999999998</v>
      </c>
      <c r="P236" s="5">
        <v>0</v>
      </c>
      <c r="Q236" s="5">
        <v>505.09</v>
      </c>
      <c r="R236" s="5">
        <v>1259.31</v>
      </c>
      <c r="S236" s="5">
        <v>1106.3172321</v>
      </c>
      <c r="T236" s="5">
        <v>344.92</v>
      </c>
      <c r="U236">
        <v>0</v>
      </c>
      <c r="V236">
        <v>0</v>
      </c>
      <c r="X236">
        <v>0</v>
      </c>
      <c r="Y236" t="s">
        <v>44</v>
      </c>
      <c r="AD236" t="s">
        <v>45</v>
      </c>
      <c r="AE236" t="s">
        <v>46</v>
      </c>
      <c r="AF236" s="5">
        <f t="shared" si="16"/>
        <v>4715.7672321</v>
      </c>
      <c r="AG236">
        <f t="shared" si="13"/>
        <v>0</v>
      </c>
      <c r="AH236" s="5">
        <f t="shared" si="14"/>
        <v>4715.7672321</v>
      </c>
      <c r="AJ236" t="s">
        <v>54</v>
      </c>
    </row>
    <row r="237" spans="1:36" x14ac:dyDescent="0.3">
      <c r="A237" t="s">
        <v>55</v>
      </c>
      <c r="B237" t="s">
        <v>55</v>
      </c>
      <c r="C237" t="s">
        <v>56</v>
      </c>
      <c r="D237" t="s">
        <v>192</v>
      </c>
      <c r="E237">
        <v>244</v>
      </c>
      <c r="F237" t="s">
        <v>420</v>
      </c>
      <c r="G237" t="s">
        <v>82</v>
      </c>
      <c r="H237" t="s">
        <v>40</v>
      </c>
      <c r="I237" s="4">
        <v>46041</v>
      </c>
      <c r="J237" s="4">
        <v>46129</v>
      </c>
      <c r="K237" t="s">
        <v>41</v>
      </c>
      <c r="L237" t="s">
        <v>421</v>
      </c>
      <c r="M237" t="s">
        <v>43</v>
      </c>
      <c r="N237" s="5">
        <f t="shared" si="15"/>
        <v>2891.7283025000002</v>
      </c>
      <c r="O237" s="5">
        <v>2189.9699999999998</v>
      </c>
      <c r="P237" s="5">
        <v>0</v>
      </c>
      <c r="Q237" s="5">
        <v>0</v>
      </c>
      <c r="R237" s="5">
        <v>232.8</v>
      </c>
      <c r="S237" s="5">
        <v>519.30830249999997</v>
      </c>
      <c r="T237" s="5">
        <v>50.35</v>
      </c>
      <c r="U237">
        <v>0</v>
      </c>
      <c r="V237">
        <v>0</v>
      </c>
      <c r="X237">
        <v>0</v>
      </c>
      <c r="Y237" t="s">
        <v>44</v>
      </c>
      <c r="AD237" t="s">
        <v>45</v>
      </c>
      <c r="AE237" t="s">
        <v>46</v>
      </c>
      <c r="AF237" s="5">
        <f t="shared" si="16"/>
        <v>2891.7283025000002</v>
      </c>
      <c r="AG237">
        <f t="shared" si="13"/>
        <v>0</v>
      </c>
      <c r="AH237" s="5">
        <f t="shared" si="14"/>
        <v>2891.7283025000002</v>
      </c>
      <c r="AJ237" t="s">
        <v>54</v>
      </c>
    </row>
    <row r="238" spans="1:36" x14ac:dyDescent="0.3">
      <c r="A238" t="s">
        <v>55</v>
      </c>
      <c r="B238" t="s">
        <v>55</v>
      </c>
      <c r="C238" t="s">
        <v>56</v>
      </c>
      <c r="D238" t="s">
        <v>185</v>
      </c>
      <c r="E238">
        <v>245</v>
      </c>
      <c r="F238" t="s">
        <v>422</v>
      </c>
      <c r="G238" t="s">
        <v>82</v>
      </c>
      <c r="H238" t="s">
        <v>40</v>
      </c>
      <c r="I238" s="4">
        <v>46041</v>
      </c>
      <c r="J238" s="4">
        <v>46129</v>
      </c>
      <c r="K238" t="s">
        <v>41</v>
      </c>
      <c r="L238" t="s">
        <v>423</v>
      </c>
      <c r="M238" t="s">
        <v>43</v>
      </c>
      <c r="N238" s="5">
        <f t="shared" si="15"/>
        <v>2649.7980008999998</v>
      </c>
      <c r="O238" s="5">
        <v>2189.9699999999998</v>
      </c>
      <c r="P238" s="5">
        <v>0</v>
      </c>
      <c r="Q238" s="5">
        <v>0</v>
      </c>
      <c r="R238" s="5">
        <v>0</v>
      </c>
      <c r="S238" s="5">
        <v>459.82800089999995</v>
      </c>
      <c r="T238" s="5">
        <v>0</v>
      </c>
      <c r="U238">
        <v>0</v>
      </c>
      <c r="V238">
        <v>0</v>
      </c>
      <c r="X238">
        <v>0</v>
      </c>
      <c r="Y238" t="s">
        <v>44</v>
      </c>
      <c r="AD238" t="s">
        <v>45</v>
      </c>
      <c r="AE238" t="s">
        <v>46</v>
      </c>
      <c r="AF238" s="5">
        <f t="shared" si="16"/>
        <v>2649.7980008999998</v>
      </c>
      <c r="AG238">
        <f t="shared" si="13"/>
        <v>0</v>
      </c>
      <c r="AH238" s="5">
        <f t="shared" si="14"/>
        <v>2649.7980008999998</v>
      </c>
      <c r="AJ238" t="s">
        <v>54</v>
      </c>
    </row>
    <row r="239" spans="1:36" x14ac:dyDescent="0.3">
      <c r="A239" t="s">
        <v>55</v>
      </c>
      <c r="B239" t="s">
        <v>55</v>
      </c>
      <c r="C239" t="s">
        <v>56</v>
      </c>
      <c r="D239" t="s">
        <v>187</v>
      </c>
      <c r="E239">
        <v>247</v>
      </c>
      <c r="F239" t="s">
        <v>424</v>
      </c>
      <c r="G239" t="s">
        <v>82</v>
      </c>
      <c r="H239" t="s">
        <v>60</v>
      </c>
      <c r="I239" s="4">
        <v>46041</v>
      </c>
      <c r="J239" s="4"/>
      <c r="K239" t="s">
        <v>61</v>
      </c>
      <c r="L239" t="s">
        <v>42</v>
      </c>
      <c r="M239" t="s">
        <v>43</v>
      </c>
      <c r="N239" s="5">
        <f t="shared" si="15"/>
        <v>6203.9066175999997</v>
      </c>
      <c r="O239" s="5">
        <v>2302.75</v>
      </c>
      <c r="P239" s="5">
        <v>1065.55</v>
      </c>
      <c r="Q239" s="5">
        <v>1385.14</v>
      </c>
      <c r="R239" s="5">
        <v>456.4</v>
      </c>
      <c r="S239" s="5">
        <v>1051.1266175999999</v>
      </c>
      <c r="T239" s="5">
        <v>57.06</v>
      </c>
      <c r="U239">
        <v>1218.3599999999997</v>
      </c>
      <c r="V239">
        <v>0</v>
      </c>
      <c r="X239" t="s">
        <v>44</v>
      </c>
      <c r="Y239" t="s">
        <v>44</v>
      </c>
      <c r="AD239" t="s">
        <v>45</v>
      </c>
      <c r="AE239" t="s">
        <v>46</v>
      </c>
      <c r="AF239" s="5">
        <f t="shared" si="16"/>
        <v>7422.2666175999993</v>
      </c>
      <c r="AG239">
        <f t="shared" si="13"/>
        <v>0</v>
      </c>
      <c r="AH239" s="5">
        <f t="shared" si="14"/>
        <v>7422.2666175999993</v>
      </c>
      <c r="AJ239" t="s">
        <v>54</v>
      </c>
    </row>
    <row r="240" spans="1:36" x14ac:dyDescent="0.3">
      <c r="A240" t="s">
        <v>55</v>
      </c>
      <c r="B240" t="s">
        <v>55</v>
      </c>
      <c r="C240" t="s">
        <v>56</v>
      </c>
      <c r="E240">
        <v>248</v>
      </c>
      <c r="F240" t="s">
        <v>425</v>
      </c>
      <c r="G240" t="s">
        <v>59</v>
      </c>
      <c r="H240" t="s">
        <v>40</v>
      </c>
      <c r="I240" s="4">
        <v>46041</v>
      </c>
      <c r="J240" s="4">
        <v>46066</v>
      </c>
      <c r="K240" t="s">
        <v>41</v>
      </c>
      <c r="L240" t="s">
        <v>426</v>
      </c>
      <c r="M240" t="s">
        <v>43</v>
      </c>
      <c r="N240" s="5">
        <f t="shared" si="15"/>
        <v>4930.1350568999997</v>
      </c>
      <c r="O240" s="5">
        <v>2664.74</v>
      </c>
      <c r="P240" s="5">
        <v>0</v>
      </c>
      <c r="Q240" s="5">
        <v>556.71</v>
      </c>
      <c r="R240" s="5">
        <v>584.38</v>
      </c>
      <c r="S240" s="5">
        <v>1166.3350568999999</v>
      </c>
      <c r="T240" s="5">
        <v>42.03</v>
      </c>
      <c r="U240">
        <v>0</v>
      </c>
      <c r="V240">
        <v>0</v>
      </c>
      <c r="X240">
        <v>0</v>
      </c>
      <c r="Y240" t="s">
        <v>44</v>
      </c>
      <c r="AD240" t="s">
        <v>45</v>
      </c>
      <c r="AE240" t="s">
        <v>46</v>
      </c>
      <c r="AF240" s="5">
        <f t="shared" si="16"/>
        <v>4930.1350568999997</v>
      </c>
      <c r="AG240">
        <f t="shared" si="13"/>
        <v>0</v>
      </c>
      <c r="AH240" s="5">
        <f t="shared" si="14"/>
        <v>4930.1350568999997</v>
      </c>
      <c r="AJ240" t="s">
        <v>54</v>
      </c>
    </row>
    <row r="241" spans="1:36" x14ac:dyDescent="0.3">
      <c r="A241" t="s">
        <v>55</v>
      </c>
      <c r="B241" t="s">
        <v>55</v>
      </c>
      <c r="C241" t="s">
        <v>56</v>
      </c>
      <c r="E241">
        <v>249</v>
      </c>
      <c r="F241" t="s">
        <v>427</v>
      </c>
      <c r="G241" t="s">
        <v>209</v>
      </c>
      <c r="H241" t="s">
        <v>40</v>
      </c>
      <c r="I241" s="4">
        <v>46041</v>
      </c>
      <c r="J241" s="4">
        <v>46069</v>
      </c>
      <c r="K241" t="s">
        <v>41</v>
      </c>
      <c r="L241" t="s">
        <v>428</v>
      </c>
      <c r="M241" t="s">
        <v>43</v>
      </c>
      <c r="N241" s="5">
        <f t="shared" si="15"/>
        <v>3224.2554577999999</v>
      </c>
      <c r="O241" s="5">
        <v>2664.74</v>
      </c>
      <c r="P241" s="5">
        <v>0</v>
      </c>
      <c r="Q241" s="5">
        <v>0</v>
      </c>
      <c r="R241" s="5">
        <v>0</v>
      </c>
      <c r="S241" s="5">
        <v>559.51545779999992</v>
      </c>
      <c r="T241" s="5">
        <v>0</v>
      </c>
      <c r="U241">
        <v>0</v>
      </c>
      <c r="V241">
        <v>0</v>
      </c>
      <c r="X241">
        <v>0</v>
      </c>
      <c r="Y241" t="s">
        <v>44</v>
      </c>
      <c r="AD241" t="s">
        <v>45</v>
      </c>
      <c r="AE241" t="s">
        <v>46</v>
      </c>
      <c r="AF241" s="5">
        <f t="shared" si="16"/>
        <v>3224.2554577999999</v>
      </c>
      <c r="AG241">
        <f t="shared" si="13"/>
        <v>0</v>
      </c>
      <c r="AH241" s="5">
        <f t="shared" si="14"/>
        <v>3224.2554577999999</v>
      </c>
      <c r="AJ241" t="s">
        <v>54</v>
      </c>
    </row>
    <row r="242" spans="1:36" x14ac:dyDescent="0.3">
      <c r="A242" t="s">
        <v>55</v>
      </c>
      <c r="B242" t="s">
        <v>55</v>
      </c>
      <c r="C242" t="s">
        <v>56</v>
      </c>
      <c r="D242" t="s">
        <v>83</v>
      </c>
      <c r="E242">
        <v>250</v>
      </c>
      <c r="F242" t="s">
        <v>429</v>
      </c>
      <c r="G242" t="s">
        <v>82</v>
      </c>
      <c r="H242" t="s">
        <v>40</v>
      </c>
      <c r="I242" s="4">
        <v>46041</v>
      </c>
      <c r="J242" s="4">
        <v>46134</v>
      </c>
      <c r="K242" t="s">
        <v>41</v>
      </c>
      <c r="L242" t="s">
        <v>430</v>
      </c>
      <c r="M242" t="s">
        <v>43</v>
      </c>
      <c r="N242" s="5">
        <f t="shared" si="15"/>
        <v>4271.0015609000002</v>
      </c>
      <c r="O242" s="5">
        <v>2189.9699999999998</v>
      </c>
      <c r="P242" s="5">
        <v>0</v>
      </c>
      <c r="Q242" s="5">
        <v>1219.48</v>
      </c>
      <c r="R242" s="5">
        <v>260.07</v>
      </c>
      <c r="S242" s="5">
        <v>784.86156089999997</v>
      </c>
      <c r="T242" s="5">
        <v>183.38</v>
      </c>
      <c r="U242">
        <v>0</v>
      </c>
      <c r="V242">
        <v>0</v>
      </c>
      <c r="X242">
        <v>0</v>
      </c>
      <c r="Y242" t="s">
        <v>44</v>
      </c>
      <c r="AD242" t="s">
        <v>45</v>
      </c>
      <c r="AE242" t="s">
        <v>46</v>
      </c>
      <c r="AF242" s="5">
        <f t="shared" si="16"/>
        <v>4271.0015609000002</v>
      </c>
      <c r="AG242">
        <f t="shared" si="13"/>
        <v>0</v>
      </c>
      <c r="AH242" s="5">
        <f t="shared" si="14"/>
        <v>4271.0015609000002</v>
      </c>
      <c r="AJ242" t="s">
        <v>54</v>
      </c>
    </row>
    <row r="243" spans="1:36" x14ac:dyDescent="0.3">
      <c r="A243" t="s">
        <v>55</v>
      </c>
      <c r="B243" t="s">
        <v>55</v>
      </c>
      <c r="C243" t="s">
        <v>56</v>
      </c>
      <c r="D243" t="s">
        <v>187</v>
      </c>
      <c r="E243">
        <v>251</v>
      </c>
      <c r="F243" t="s">
        <v>431</v>
      </c>
      <c r="G243" t="s">
        <v>82</v>
      </c>
      <c r="H243" t="s">
        <v>40</v>
      </c>
      <c r="I243" s="4">
        <v>46041</v>
      </c>
      <c r="J243" s="4">
        <v>46129</v>
      </c>
      <c r="K243" t="s">
        <v>41</v>
      </c>
      <c r="L243" t="s">
        <v>432</v>
      </c>
      <c r="M243" t="s">
        <v>43</v>
      </c>
      <c r="N243" s="5">
        <f t="shared" si="15"/>
        <v>4955.265052499999</v>
      </c>
      <c r="O243" s="5">
        <v>2189.9699999999998</v>
      </c>
      <c r="P243" s="5">
        <v>0</v>
      </c>
      <c r="Q243" s="5">
        <v>484.2</v>
      </c>
      <c r="R243" s="5">
        <v>1239.1199999999999</v>
      </c>
      <c r="S243" s="5">
        <v>1101.9750524999997</v>
      </c>
      <c r="T243" s="5">
        <v>60</v>
      </c>
      <c r="U243">
        <v>0</v>
      </c>
      <c r="V243">
        <v>0</v>
      </c>
      <c r="X243">
        <v>0</v>
      </c>
      <c r="Y243" t="s">
        <v>44</v>
      </c>
      <c r="AD243" t="s">
        <v>45</v>
      </c>
      <c r="AE243" t="s">
        <v>46</v>
      </c>
      <c r="AF243" s="5">
        <f t="shared" si="16"/>
        <v>4955.265052499999</v>
      </c>
      <c r="AG243">
        <f t="shared" si="13"/>
        <v>0</v>
      </c>
      <c r="AH243" s="5">
        <f t="shared" si="14"/>
        <v>4955.265052499999</v>
      </c>
      <c r="AJ243" t="s">
        <v>54</v>
      </c>
    </row>
    <row r="244" spans="1:36" x14ac:dyDescent="0.3">
      <c r="A244" t="s">
        <v>55</v>
      </c>
      <c r="B244" t="s">
        <v>55</v>
      </c>
      <c r="C244" t="s">
        <v>56</v>
      </c>
      <c r="E244">
        <v>252</v>
      </c>
      <c r="F244" t="s">
        <v>433</v>
      </c>
      <c r="G244" t="s">
        <v>82</v>
      </c>
      <c r="H244" t="s">
        <v>40</v>
      </c>
      <c r="I244" s="4">
        <v>46041</v>
      </c>
      <c r="J244" s="4">
        <v>46055</v>
      </c>
      <c r="K244" t="s">
        <v>41</v>
      </c>
      <c r="L244" t="s">
        <v>434</v>
      </c>
      <c r="M244" t="s">
        <v>43</v>
      </c>
      <c r="N244" s="5">
        <f t="shared" si="15"/>
        <v>2649.7980008999998</v>
      </c>
      <c r="O244" s="5">
        <v>2189.9699999999998</v>
      </c>
      <c r="P244" s="5">
        <v>0</v>
      </c>
      <c r="Q244" s="5">
        <v>0</v>
      </c>
      <c r="R244" s="5">
        <v>0</v>
      </c>
      <c r="S244" s="5">
        <v>459.82800089999995</v>
      </c>
      <c r="T244" s="5">
        <v>0</v>
      </c>
      <c r="U244">
        <v>0</v>
      </c>
      <c r="V244">
        <v>0</v>
      </c>
      <c r="X244">
        <v>0</v>
      </c>
      <c r="Y244" t="s">
        <v>44</v>
      </c>
      <c r="AD244" t="s">
        <v>45</v>
      </c>
      <c r="AE244" t="s">
        <v>46</v>
      </c>
      <c r="AF244" s="5">
        <f t="shared" si="16"/>
        <v>2649.7980008999998</v>
      </c>
      <c r="AG244">
        <f t="shared" si="13"/>
        <v>0</v>
      </c>
      <c r="AH244" s="5">
        <f t="shared" si="14"/>
        <v>2649.7980008999998</v>
      </c>
      <c r="AJ244" t="s">
        <v>54</v>
      </c>
    </row>
    <row r="245" spans="1:36" x14ac:dyDescent="0.3">
      <c r="A245" t="s">
        <v>55</v>
      </c>
      <c r="B245" t="s">
        <v>55</v>
      </c>
      <c r="C245" t="s">
        <v>56</v>
      </c>
      <c r="E245">
        <v>253</v>
      </c>
      <c r="F245" t="s">
        <v>435</v>
      </c>
      <c r="G245" t="s">
        <v>82</v>
      </c>
      <c r="H245" t="s">
        <v>40</v>
      </c>
      <c r="I245" s="4">
        <v>46041</v>
      </c>
      <c r="J245" s="4">
        <v>46069</v>
      </c>
      <c r="K245" t="s">
        <v>41</v>
      </c>
      <c r="L245" t="s">
        <v>436</v>
      </c>
      <c r="M245" t="s">
        <v>43</v>
      </c>
      <c r="N245" s="5">
        <f t="shared" si="15"/>
        <v>2723.7419958999994</v>
      </c>
      <c r="O245" s="5">
        <v>2189.9699999999998</v>
      </c>
      <c r="P245" s="5">
        <v>0</v>
      </c>
      <c r="Q245" s="5">
        <v>0</v>
      </c>
      <c r="R245" s="5">
        <v>66.91</v>
      </c>
      <c r="S245" s="5">
        <v>466.86199589999995</v>
      </c>
      <c r="T245" s="5">
        <v>0</v>
      </c>
      <c r="U245">
        <v>0</v>
      </c>
      <c r="V245">
        <v>0</v>
      </c>
      <c r="X245">
        <v>0</v>
      </c>
      <c r="Y245" t="s">
        <v>44</v>
      </c>
      <c r="AD245" t="s">
        <v>45</v>
      </c>
      <c r="AE245" t="s">
        <v>46</v>
      </c>
      <c r="AF245" s="5">
        <f t="shared" si="16"/>
        <v>2723.7419958999994</v>
      </c>
      <c r="AG245">
        <f t="shared" si="13"/>
        <v>0</v>
      </c>
      <c r="AH245" s="5">
        <f t="shared" si="14"/>
        <v>2723.7419958999994</v>
      </c>
      <c r="AJ245" t="s">
        <v>54</v>
      </c>
    </row>
    <row r="246" spans="1:36" x14ac:dyDescent="0.3">
      <c r="A246" t="s">
        <v>55</v>
      </c>
      <c r="B246" t="s">
        <v>55</v>
      </c>
      <c r="C246" t="s">
        <v>56</v>
      </c>
      <c r="D246" t="s">
        <v>192</v>
      </c>
      <c r="E246">
        <v>255</v>
      </c>
      <c r="F246" t="s">
        <v>437</v>
      </c>
      <c r="G246" t="s">
        <v>209</v>
      </c>
      <c r="H246" t="s">
        <v>40</v>
      </c>
      <c r="I246" s="4">
        <v>46041</v>
      </c>
      <c r="J246" s="4">
        <v>46066</v>
      </c>
      <c r="K246" t="s">
        <v>41</v>
      </c>
      <c r="L246" t="s">
        <v>438</v>
      </c>
      <c r="M246" t="s">
        <v>43</v>
      </c>
      <c r="N246" s="5">
        <f t="shared" si="15"/>
        <v>5728.9408219999987</v>
      </c>
      <c r="O246" s="5">
        <v>2664.74</v>
      </c>
      <c r="P246" s="5">
        <v>0</v>
      </c>
      <c r="Q246" s="5">
        <v>324.2</v>
      </c>
      <c r="R246" s="5">
        <v>1653.91</v>
      </c>
      <c r="S246" s="5">
        <v>1086.0908219999997</v>
      </c>
      <c r="T246" s="5">
        <v>0</v>
      </c>
      <c r="U246">
        <v>0</v>
      </c>
      <c r="V246">
        <v>0</v>
      </c>
      <c r="X246">
        <v>0</v>
      </c>
      <c r="Y246" t="s">
        <v>44</v>
      </c>
      <c r="AD246" t="s">
        <v>45</v>
      </c>
      <c r="AE246" t="s">
        <v>46</v>
      </c>
      <c r="AF246" s="5">
        <f t="shared" si="16"/>
        <v>5728.9408219999987</v>
      </c>
      <c r="AG246">
        <f t="shared" si="13"/>
        <v>0</v>
      </c>
      <c r="AH246" s="5">
        <f t="shared" si="14"/>
        <v>5728.9408219999987</v>
      </c>
      <c r="AJ246" t="s">
        <v>54</v>
      </c>
    </row>
    <row r="247" spans="1:36" x14ac:dyDescent="0.3">
      <c r="A247" t="s">
        <v>55</v>
      </c>
      <c r="B247" t="s">
        <v>55</v>
      </c>
      <c r="C247" t="s">
        <v>56</v>
      </c>
      <c r="D247" t="s">
        <v>227</v>
      </c>
      <c r="E247">
        <v>256</v>
      </c>
      <c r="F247" t="s">
        <v>439</v>
      </c>
      <c r="G247" t="s">
        <v>59</v>
      </c>
      <c r="H247" t="s">
        <v>60</v>
      </c>
      <c r="I247" s="4">
        <v>46041</v>
      </c>
      <c r="J247" s="4"/>
      <c r="K247" t="s">
        <v>61</v>
      </c>
      <c r="L247" t="s">
        <v>42</v>
      </c>
      <c r="M247" t="s">
        <v>43</v>
      </c>
      <c r="N247" s="5">
        <f t="shared" si="15"/>
        <v>7252.9808905</v>
      </c>
      <c r="O247" s="5">
        <v>2801.97</v>
      </c>
      <c r="P247" s="5">
        <v>2124.2600000000002</v>
      </c>
      <c r="Q247" s="5">
        <v>1160.43</v>
      </c>
      <c r="R247" s="5">
        <v>319.89999999999998</v>
      </c>
      <c r="S247" s="5">
        <v>1019.1208905</v>
      </c>
      <c r="T247" s="5">
        <v>172.7</v>
      </c>
      <c r="U247">
        <v>1316.5599999999997</v>
      </c>
      <c r="V247">
        <v>0</v>
      </c>
      <c r="X247" t="s">
        <v>44</v>
      </c>
      <c r="Y247" t="s">
        <v>44</v>
      </c>
      <c r="AD247" t="s">
        <v>45</v>
      </c>
      <c r="AE247" t="s">
        <v>46</v>
      </c>
      <c r="AF247" s="5">
        <f t="shared" si="16"/>
        <v>8569.5408905000004</v>
      </c>
      <c r="AG247">
        <f t="shared" si="13"/>
        <v>0</v>
      </c>
      <c r="AH247" s="5">
        <f t="shared" si="14"/>
        <v>8569.5408905000004</v>
      </c>
      <c r="AJ247" t="s">
        <v>54</v>
      </c>
    </row>
    <row r="248" spans="1:36" x14ac:dyDescent="0.3">
      <c r="A248" t="s">
        <v>48</v>
      </c>
      <c r="B248" t="s">
        <v>51</v>
      </c>
      <c r="C248" t="s">
        <v>37</v>
      </c>
      <c r="D248" t="s">
        <v>102</v>
      </c>
      <c r="E248">
        <v>257</v>
      </c>
      <c r="F248" t="s">
        <v>440</v>
      </c>
      <c r="G248" t="s">
        <v>104</v>
      </c>
      <c r="H248" t="s">
        <v>128</v>
      </c>
      <c r="I248" s="4">
        <v>46041</v>
      </c>
      <c r="J248" s="4"/>
      <c r="K248" t="s">
        <v>61</v>
      </c>
      <c r="L248" t="s">
        <v>42</v>
      </c>
      <c r="M248" t="s">
        <v>43</v>
      </c>
      <c r="N248" s="5">
        <f t="shared" si="15"/>
        <v>5206.5373182999992</v>
      </c>
      <c r="O248" s="5">
        <v>2819.39</v>
      </c>
      <c r="P248" s="5">
        <v>1795.1599999999999</v>
      </c>
      <c r="Q248" s="5">
        <v>0</v>
      </c>
      <c r="R248" s="5">
        <v>0</v>
      </c>
      <c r="S248" s="5">
        <v>591.98731829999997</v>
      </c>
      <c r="T248" s="5">
        <v>0</v>
      </c>
      <c r="U248">
        <v>1423.6399999999999</v>
      </c>
      <c r="V248">
        <v>0</v>
      </c>
      <c r="X248" t="s">
        <v>44</v>
      </c>
      <c r="Y248" t="s">
        <v>44</v>
      </c>
      <c r="AD248" t="s">
        <v>45</v>
      </c>
      <c r="AE248" t="s">
        <v>46</v>
      </c>
      <c r="AF248" s="5">
        <f t="shared" si="16"/>
        <v>6630.1773182999987</v>
      </c>
      <c r="AG248">
        <f t="shared" si="13"/>
        <v>0</v>
      </c>
      <c r="AH248" s="5">
        <f t="shared" si="14"/>
        <v>6630.1773182999987</v>
      </c>
      <c r="AJ248" t="s">
        <v>54</v>
      </c>
    </row>
    <row r="249" spans="1:36" x14ac:dyDescent="0.3">
      <c r="A249" t="s">
        <v>55</v>
      </c>
      <c r="B249" t="s">
        <v>55</v>
      </c>
      <c r="C249" t="s">
        <v>56</v>
      </c>
      <c r="D249" t="s">
        <v>261</v>
      </c>
      <c r="E249">
        <v>258</v>
      </c>
      <c r="F249" t="s">
        <v>441</v>
      </c>
      <c r="G249" t="s">
        <v>82</v>
      </c>
      <c r="H249" t="s">
        <v>40</v>
      </c>
      <c r="I249" s="4">
        <v>46041</v>
      </c>
      <c r="J249" s="4">
        <v>46105</v>
      </c>
      <c r="K249" t="s">
        <v>41</v>
      </c>
      <c r="L249" t="s">
        <v>442</v>
      </c>
      <c r="M249" t="s">
        <v>43</v>
      </c>
      <c r="N249" s="5">
        <f t="shared" si="15"/>
        <v>2649.7980008999998</v>
      </c>
      <c r="O249" s="5">
        <v>2189.9699999999998</v>
      </c>
      <c r="P249" s="5">
        <v>0</v>
      </c>
      <c r="Q249" s="5">
        <v>0</v>
      </c>
      <c r="R249" s="5">
        <v>0</v>
      </c>
      <c r="S249" s="5">
        <v>459.82800089999995</v>
      </c>
      <c r="T249" s="5">
        <v>0</v>
      </c>
      <c r="U249">
        <v>0</v>
      </c>
      <c r="V249">
        <v>0</v>
      </c>
      <c r="X249">
        <v>0</v>
      </c>
      <c r="Y249" t="s">
        <v>44</v>
      </c>
      <c r="AD249" t="s">
        <v>45</v>
      </c>
      <c r="AE249" t="s">
        <v>46</v>
      </c>
      <c r="AF249" s="5">
        <f t="shared" si="16"/>
        <v>2649.7980008999998</v>
      </c>
      <c r="AG249">
        <f t="shared" si="13"/>
        <v>0</v>
      </c>
      <c r="AH249" s="5">
        <f t="shared" si="14"/>
        <v>2649.7980008999998</v>
      </c>
      <c r="AJ249" t="s">
        <v>54</v>
      </c>
    </row>
    <row r="250" spans="1:36" x14ac:dyDescent="0.3">
      <c r="A250" t="s">
        <v>55</v>
      </c>
      <c r="B250" t="s">
        <v>55</v>
      </c>
      <c r="C250" t="s">
        <v>56</v>
      </c>
      <c r="D250" t="s">
        <v>199</v>
      </c>
      <c r="E250">
        <v>259</v>
      </c>
      <c r="F250" t="s">
        <v>443</v>
      </c>
      <c r="G250" t="s">
        <v>82</v>
      </c>
      <c r="H250" t="s">
        <v>40</v>
      </c>
      <c r="I250" s="4">
        <v>46041</v>
      </c>
      <c r="J250" s="4">
        <v>46101</v>
      </c>
      <c r="K250" t="s">
        <v>41</v>
      </c>
      <c r="L250" t="s">
        <v>444</v>
      </c>
      <c r="M250" t="s">
        <v>43</v>
      </c>
      <c r="N250" s="5">
        <f t="shared" si="15"/>
        <v>3101.6202748999995</v>
      </c>
      <c r="O250" s="5">
        <v>2189.9699999999998</v>
      </c>
      <c r="P250" s="5">
        <v>0</v>
      </c>
      <c r="Q250" s="5">
        <v>324.2</v>
      </c>
      <c r="R250" s="5">
        <v>59.55</v>
      </c>
      <c r="S250" s="5">
        <v>527.90027489999989</v>
      </c>
      <c r="T250" s="5">
        <v>0</v>
      </c>
      <c r="U250">
        <v>0</v>
      </c>
      <c r="V250">
        <v>0</v>
      </c>
      <c r="X250">
        <v>0</v>
      </c>
      <c r="Y250" t="s">
        <v>44</v>
      </c>
      <c r="AD250" t="s">
        <v>45</v>
      </c>
      <c r="AE250" t="s">
        <v>46</v>
      </c>
      <c r="AF250" s="5">
        <f t="shared" si="16"/>
        <v>3101.6202748999995</v>
      </c>
      <c r="AG250">
        <f t="shared" si="13"/>
        <v>0</v>
      </c>
      <c r="AH250" s="5">
        <f t="shared" si="14"/>
        <v>3101.6202748999995</v>
      </c>
      <c r="AJ250" t="s">
        <v>54</v>
      </c>
    </row>
    <row r="251" spans="1:36" x14ac:dyDescent="0.3">
      <c r="A251" t="s">
        <v>55</v>
      </c>
      <c r="B251" t="s">
        <v>55</v>
      </c>
      <c r="C251" t="s">
        <v>56</v>
      </c>
      <c r="D251" t="s">
        <v>352</v>
      </c>
      <c r="E251">
        <v>260</v>
      </c>
      <c r="F251" t="s">
        <v>445</v>
      </c>
      <c r="G251" t="s">
        <v>59</v>
      </c>
      <c r="H251" t="s">
        <v>40</v>
      </c>
      <c r="I251" s="4">
        <v>46041</v>
      </c>
      <c r="J251" s="4">
        <v>46153</v>
      </c>
      <c r="K251" t="s">
        <v>41</v>
      </c>
      <c r="L251" t="s">
        <v>42</v>
      </c>
      <c r="M251" t="s">
        <v>43</v>
      </c>
      <c r="N251" s="5">
        <f t="shared" si="15"/>
        <v>7678.8843307999996</v>
      </c>
      <c r="O251" s="5">
        <v>2664.74</v>
      </c>
      <c r="P251" s="5">
        <v>0</v>
      </c>
      <c r="Q251" s="5">
        <v>760.16000000000008</v>
      </c>
      <c r="R251" s="5">
        <v>2564.08</v>
      </c>
      <c r="S251" s="5">
        <v>1750.2343308</v>
      </c>
      <c r="T251" s="5">
        <v>60.33</v>
      </c>
      <c r="U251">
        <v>0</v>
      </c>
      <c r="V251">
        <v>0</v>
      </c>
      <c r="X251">
        <v>0</v>
      </c>
      <c r="Y251" t="s">
        <v>44</v>
      </c>
      <c r="AD251" t="s">
        <v>45</v>
      </c>
      <c r="AE251" t="s">
        <v>46</v>
      </c>
      <c r="AF251" s="5">
        <f t="shared" si="16"/>
        <v>7678.8843307999996</v>
      </c>
      <c r="AG251">
        <f t="shared" si="13"/>
        <v>0</v>
      </c>
      <c r="AH251" s="5">
        <f t="shared" si="14"/>
        <v>7678.8843307999996</v>
      </c>
      <c r="AJ251" t="s">
        <v>54</v>
      </c>
    </row>
    <row r="252" spans="1:36" x14ac:dyDescent="0.3">
      <c r="A252" t="s">
        <v>55</v>
      </c>
      <c r="B252" t="s">
        <v>55</v>
      </c>
      <c r="C252" t="s">
        <v>56</v>
      </c>
      <c r="E252">
        <v>261</v>
      </c>
      <c r="F252" t="s">
        <v>446</v>
      </c>
      <c r="G252" t="s">
        <v>82</v>
      </c>
      <c r="H252" t="s">
        <v>40</v>
      </c>
      <c r="I252" s="4">
        <v>46041</v>
      </c>
      <c r="J252" s="4">
        <v>46134</v>
      </c>
      <c r="K252" t="s">
        <v>41</v>
      </c>
      <c r="L252" t="s">
        <v>447</v>
      </c>
      <c r="M252" t="s">
        <v>43</v>
      </c>
      <c r="N252" s="5">
        <f t="shared" si="15"/>
        <v>2649.7980008999998</v>
      </c>
      <c r="O252" s="5">
        <v>2189.9699999999998</v>
      </c>
      <c r="P252" s="5">
        <v>0</v>
      </c>
      <c r="Q252" s="5">
        <v>0</v>
      </c>
      <c r="R252" s="5">
        <v>0</v>
      </c>
      <c r="S252" s="5">
        <v>459.82800089999995</v>
      </c>
      <c r="T252" s="5">
        <v>0</v>
      </c>
      <c r="U252">
        <v>0</v>
      </c>
      <c r="V252">
        <v>0</v>
      </c>
      <c r="X252">
        <v>0</v>
      </c>
      <c r="Y252" t="s">
        <v>44</v>
      </c>
      <c r="AD252" t="s">
        <v>45</v>
      </c>
      <c r="AE252" t="s">
        <v>46</v>
      </c>
      <c r="AF252" s="5">
        <f t="shared" si="16"/>
        <v>2649.7980008999998</v>
      </c>
      <c r="AG252">
        <f t="shared" si="13"/>
        <v>0</v>
      </c>
      <c r="AH252" s="5">
        <f t="shared" si="14"/>
        <v>2649.7980008999998</v>
      </c>
      <c r="AJ252" t="s">
        <v>54</v>
      </c>
    </row>
    <row r="253" spans="1:36" x14ac:dyDescent="0.3">
      <c r="A253" t="s">
        <v>36</v>
      </c>
      <c r="B253" t="s">
        <v>179</v>
      </c>
      <c r="C253" t="s">
        <v>37</v>
      </c>
      <c r="D253" t="s">
        <v>317</v>
      </c>
      <c r="E253">
        <v>262</v>
      </c>
      <c r="F253" t="s">
        <v>448</v>
      </c>
      <c r="G253" t="s">
        <v>449</v>
      </c>
      <c r="H253" t="s">
        <v>60</v>
      </c>
      <c r="I253" s="4">
        <v>46044</v>
      </c>
      <c r="J253" s="4"/>
      <c r="K253" t="s">
        <v>61</v>
      </c>
      <c r="L253" t="s">
        <v>42</v>
      </c>
      <c r="M253" t="s">
        <v>43</v>
      </c>
      <c r="N253" s="5">
        <f t="shared" si="15"/>
        <v>5872.0145398999994</v>
      </c>
      <c r="O253" s="5">
        <v>2786.48</v>
      </c>
      <c r="P253" s="5">
        <v>196.01</v>
      </c>
      <c r="Q253" s="5">
        <v>1497.51</v>
      </c>
      <c r="R253" s="5">
        <v>451.95</v>
      </c>
      <c r="S253" s="5">
        <v>1162.9545399000001</v>
      </c>
      <c r="T253" s="5">
        <v>222.89000000000001</v>
      </c>
      <c r="U253">
        <v>1133.4799999999998</v>
      </c>
      <c r="V253">
        <v>0</v>
      </c>
      <c r="X253" t="s">
        <v>44</v>
      </c>
      <c r="Y253" t="s">
        <v>44</v>
      </c>
      <c r="AD253" t="s">
        <v>45</v>
      </c>
      <c r="AE253" t="s">
        <v>46</v>
      </c>
      <c r="AF253" s="5">
        <f t="shared" si="16"/>
        <v>7005.4945398999989</v>
      </c>
      <c r="AG253">
        <f t="shared" si="13"/>
        <v>0</v>
      </c>
      <c r="AH253" s="5">
        <f t="shared" si="14"/>
        <v>7005.4945398999989</v>
      </c>
      <c r="AJ253" t="s">
        <v>47</v>
      </c>
    </row>
    <row r="254" spans="1:36" x14ac:dyDescent="0.3">
      <c r="A254" t="s">
        <v>55</v>
      </c>
      <c r="B254" t="s">
        <v>55</v>
      </c>
      <c r="C254" t="s">
        <v>56</v>
      </c>
      <c r="E254">
        <v>263</v>
      </c>
      <c r="F254" t="s">
        <v>450</v>
      </c>
      <c r="G254" t="s">
        <v>82</v>
      </c>
      <c r="H254" t="s">
        <v>40</v>
      </c>
      <c r="I254" s="4">
        <v>46055</v>
      </c>
      <c r="J254" s="4">
        <v>46071</v>
      </c>
      <c r="K254" t="s">
        <v>41</v>
      </c>
      <c r="L254" t="s">
        <v>42</v>
      </c>
      <c r="M254" t="s">
        <v>43</v>
      </c>
      <c r="N254" s="5">
        <f t="shared" si="15"/>
        <v>2649.7980008999998</v>
      </c>
      <c r="O254" s="5">
        <v>2189.9699999999998</v>
      </c>
      <c r="P254" s="5">
        <v>0</v>
      </c>
      <c r="Q254" s="5">
        <v>0</v>
      </c>
      <c r="R254" s="5">
        <v>0</v>
      </c>
      <c r="S254" s="5">
        <v>459.82800089999995</v>
      </c>
      <c r="T254" s="5">
        <v>0</v>
      </c>
      <c r="U254">
        <v>0</v>
      </c>
      <c r="V254">
        <v>0</v>
      </c>
      <c r="X254">
        <v>0</v>
      </c>
      <c r="Y254" t="s">
        <v>44</v>
      </c>
      <c r="AD254" t="s">
        <v>45</v>
      </c>
      <c r="AE254" t="s">
        <v>46</v>
      </c>
      <c r="AF254" s="5">
        <f t="shared" si="16"/>
        <v>2649.7980008999998</v>
      </c>
      <c r="AG254">
        <f t="shared" si="13"/>
        <v>0</v>
      </c>
      <c r="AH254" s="5">
        <f t="shared" si="14"/>
        <v>2649.7980008999998</v>
      </c>
      <c r="AJ254" t="s">
        <v>47</v>
      </c>
    </row>
    <row r="255" spans="1:36" x14ac:dyDescent="0.3">
      <c r="A255" t="s">
        <v>55</v>
      </c>
      <c r="B255" t="s">
        <v>55</v>
      </c>
      <c r="C255" t="s">
        <v>56</v>
      </c>
      <c r="D255" t="s">
        <v>192</v>
      </c>
      <c r="E255">
        <v>264</v>
      </c>
      <c r="F255" t="s">
        <v>451</v>
      </c>
      <c r="G255" t="s">
        <v>82</v>
      </c>
      <c r="H255" t="s">
        <v>68</v>
      </c>
      <c r="I255" s="4">
        <v>46055</v>
      </c>
      <c r="J255" s="4"/>
      <c r="K255" t="s">
        <v>61</v>
      </c>
      <c r="L255" t="s">
        <v>42</v>
      </c>
      <c r="M255" t="s">
        <v>43</v>
      </c>
      <c r="N255" s="5">
        <f t="shared" si="15"/>
        <v>4118.4384175000005</v>
      </c>
      <c r="O255" s="5">
        <v>2302.75</v>
      </c>
      <c r="P255" s="5">
        <v>1332.18</v>
      </c>
      <c r="Q255" s="5">
        <v>0</v>
      </c>
      <c r="R255" s="5">
        <v>0</v>
      </c>
      <c r="S255" s="5">
        <v>483.50841750000001</v>
      </c>
      <c r="T255" s="5">
        <v>0</v>
      </c>
      <c r="U255">
        <v>1312.12</v>
      </c>
      <c r="V255">
        <v>0</v>
      </c>
      <c r="X255" t="s">
        <v>44</v>
      </c>
      <c r="Y255" t="s">
        <v>44</v>
      </c>
      <c r="AD255" t="s">
        <v>45</v>
      </c>
      <c r="AE255" t="s">
        <v>46</v>
      </c>
      <c r="AF255" s="5">
        <f t="shared" si="16"/>
        <v>5430.5584175000004</v>
      </c>
      <c r="AG255">
        <f t="shared" si="13"/>
        <v>0</v>
      </c>
      <c r="AH255" s="5">
        <f t="shared" si="14"/>
        <v>5430.5584175000004</v>
      </c>
      <c r="AJ255" t="s">
        <v>54</v>
      </c>
    </row>
    <row r="256" spans="1:36" x14ac:dyDescent="0.3">
      <c r="A256" t="s">
        <v>55</v>
      </c>
      <c r="B256" t="s">
        <v>55</v>
      </c>
      <c r="C256" t="s">
        <v>56</v>
      </c>
      <c r="E256">
        <v>265</v>
      </c>
      <c r="F256" t="s">
        <v>452</v>
      </c>
      <c r="G256" t="s">
        <v>82</v>
      </c>
      <c r="H256" t="s">
        <v>40</v>
      </c>
      <c r="I256" s="4">
        <v>46055</v>
      </c>
      <c r="J256" s="4">
        <v>46084</v>
      </c>
      <c r="K256" t="s">
        <v>41</v>
      </c>
      <c r="L256" t="s">
        <v>42</v>
      </c>
      <c r="M256" t="s">
        <v>43</v>
      </c>
      <c r="N256" s="5">
        <f t="shared" si="15"/>
        <v>2649.7980008999998</v>
      </c>
      <c r="O256" s="5">
        <v>2189.9699999999998</v>
      </c>
      <c r="P256" s="5">
        <v>0</v>
      </c>
      <c r="Q256" s="5">
        <v>0</v>
      </c>
      <c r="R256" s="5">
        <v>0</v>
      </c>
      <c r="S256" s="5">
        <v>459.82800089999995</v>
      </c>
      <c r="T256" s="5">
        <v>0</v>
      </c>
      <c r="U256">
        <v>0</v>
      </c>
      <c r="V256">
        <v>0</v>
      </c>
      <c r="X256">
        <v>0</v>
      </c>
      <c r="Y256" t="s">
        <v>44</v>
      </c>
      <c r="AD256" t="s">
        <v>45</v>
      </c>
      <c r="AE256" t="s">
        <v>46</v>
      </c>
      <c r="AF256" s="5">
        <f t="shared" si="16"/>
        <v>2649.7980008999998</v>
      </c>
      <c r="AG256">
        <f t="shared" si="13"/>
        <v>0</v>
      </c>
      <c r="AH256" s="5">
        <f t="shared" si="14"/>
        <v>2649.7980008999998</v>
      </c>
      <c r="AJ256" t="s">
        <v>54</v>
      </c>
    </row>
    <row r="257" spans="1:36" x14ac:dyDescent="0.3">
      <c r="A257" t="s">
        <v>55</v>
      </c>
      <c r="B257" t="s">
        <v>55</v>
      </c>
      <c r="C257" t="s">
        <v>56</v>
      </c>
      <c r="D257" t="s">
        <v>192</v>
      </c>
      <c r="E257">
        <v>266</v>
      </c>
      <c r="F257" t="s">
        <v>453</v>
      </c>
      <c r="G257" t="s">
        <v>82</v>
      </c>
      <c r="H257" t="s">
        <v>40</v>
      </c>
      <c r="I257" s="4">
        <v>46055</v>
      </c>
      <c r="J257" s="4">
        <v>46149</v>
      </c>
      <c r="K257" t="s">
        <v>41</v>
      </c>
      <c r="L257" t="s">
        <v>42</v>
      </c>
      <c r="M257" t="s">
        <v>43</v>
      </c>
      <c r="N257" s="5">
        <f t="shared" si="15"/>
        <v>2649.7980008999998</v>
      </c>
      <c r="O257" s="5">
        <v>2189.9699999999998</v>
      </c>
      <c r="P257" s="5">
        <v>0</v>
      </c>
      <c r="Q257" s="5">
        <v>0</v>
      </c>
      <c r="R257" s="5">
        <v>0</v>
      </c>
      <c r="S257" s="5">
        <v>459.82800089999995</v>
      </c>
      <c r="T257" s="5">
        <v>0</v>
      </c>
      <c r="U257">
        <v>0</v>
      </c>
      <c r="V257">
        <v>0</v>
      </c>
      <c r="X257">
        <v>0</v>
      </c>
      <c r="Y257" t="s">
        <v>44</v>
      </c>
      <c r="AD257" t="s">
        <v>45</v>
      </c>
      <c r="AE257" t="s">
        <v>46</v>
      </c>
      <c r="AF257" s="5">
        <f t="shared" si="16"/>
        <v>2649.7980008999998</v>
      </c>
      <c r="AG257">
        <f t="shared" si="13"/>
        <v>0</v>
      </c>
      <c r="AH257" s="5">
        <f t="shared" si="14"/>
        <v>2649.7980008999998</v>
      </c>
      <c r="AJ257" t="s">
        <v>54</v>
      </c>
    </row>
    <row r="258" spans="1:36" x14ac:dyDescent="0.3">
      <c r="A258" t="s">
        <v>48</v>
      </c>
      <c r="B258" t="s">
        <v>51</v>
      </c>
      <c r="C258" t="s">
        <v>37</v>
      </c>
      <c r="D258" t="s">
        <v>102</v>
      </c>
      <c r="E258">
        <v>267</v>
      </c>
      <c r="F258" t="s">
        <v>454</v>
      </c>
      <c r="G258" t="s">
        <v>104</v>
      </c>
      <c r="H258" t="s">
        <v>60</v>
      </c>
      <c r="I258" s="4">
        <v>46055</v>
      </c>
      <c r="J258" s="4"/>
      <c r="K258" t="s">
        <v>61</v>
      </c>
      <c r="L258" t="s">
        <v>42</v>
      </c>
      <c r="M258" t="s">
        <v>43</v>
      </c>
      <c r="N258" s="5">
        <f t="shared" si="15"/>
        <v>4047.3173182999999</v>
      </c>
      <c r="O258" s="5">
        <v>2819.39</v>
      </c>
      <c r="P258" s="5">
        <v>635.94000000000005</v>
      </c>
      <c r="Q258" s="5">
        <v>0</v>
      </c>
      <c r="R258" s="5">
        <v>0</v>
      </c>
      <c r="S258" s="5">
        <v>591.98731829999997</v>
      </c>
      <c r="T258" s="5">
        <v>0</v>
      </c>
      <c r="U258">
        <v>1095.48</v>
      </c>
      <c r="V258">
        <v>0</v>
      </c>
      <c r="X258" t="s">
        <v>44</v>
      </c>
      <c r="Y258" t="s">
        <v>44</v>
      </c>
      <c r="AD258" t="s">
        <v>45</v>
      </c>
      <c r="AE258" t="s">
        <v>46</v>
      </c>
      <c r="AF258" s="5">
        <f t="shared" si="16"/>
        <v>5142.7973182999995</v>
      </c>
      <c r="AG258">
        <f t="shared" si="13"/>
        <v>0</v>
      </c>
      <c r="AH258" s="5">
        <f t="shared" si="14"/>
        <v>5142.7973182999995</v>
      </c>
      <c r="AJ258" t="s">
        <v>47</v>
      </c>
    </row>
    <row r="259" spans="1:36" x14ac:dyDescent="0.3">
      <c r="A259" t="s">
        <v>55</v>
      </c>
      <c r="B259" t="s">
        <v>55</v>
      </c>
      <c r="C259" t="s">
        <v>56</v>
      </c>
      <c r="E259">
        <v>268</v>
      </c>
      <c r="F259" t="s">
        <v>455</v>
      </c>
      <c r="G259" t="s">
        <v>209</v>
      </c>
      <c r="H259" t="s">
        <v>68</v>
      </c>
      <c r="I259" s="4">
        <v>46055</v>
      </c>
      <c r="J259" s="4"/>
      <c r="K259" t="s">
        <v>61</v>
      </c>
      <c r="L259" t="s">
        <v>42</v>
      </c>
      <c r="M259" t="s">
        <v>43</v>
      </c>
      <c r="N259" s="5">
        <f t="shared" si="15"/>
        <v>4355.5096408999998</v>
      </c>
      <c r="O259" s="5">
        <v>2801.97</v>
      </c>
      <c r="P259" s="5">
        <v>965.21</v>
      </c>
      <c r="Q259" s="5">
        <v>0</v>
      </c>
      <c r="R259" s="5">
        <v>0</v>
      </c>
      <c r="S259" s="5">
        <v>588.32964089999996</v>
      </c>
      <c r="T259" s="5">
        <v>0</v>
      </c>
      <c r="U259">
        <v>1048.5999999999999</v>
      </c>
      <c r="V259">
        <v>0</v>
      </c>
      <c r="X259" t="s">
        <v>44</v>
      </c>
      <c r="Y259" t="s">
        <v>44</v>
      </c>
      <c r="AD259" t="s">
        <v>45</v>
      </c>
      <c r="AE259" t="s">
        <v>46</v>
      </c>
      <c r="AF259" s="5">
        <f t="shared" si="16"/>
        <v>5404.1096409000002</v>
      </c>
      <c r="AG259">
        <f t="shared" ref="AG259:AG322" si="17">V259+Z259</f>
        <v>0</v>
      </c>
      <c r="AH259" s="5">
        <f t="shared" ref="AH259:AH322" si="18">AG259+AF259</f>
        <v>5404.1096409000002</v>
      </c>
      <c r="AJ259" t="s">
        <v>54</v>
      </c>
    </row>
    <row r="260" spans="1:36" x14ac:dyDescent="0.3">
      <c r="A260" t="s">
        <v>48</v>
      </c>
      <c r="B260" t="s">
        <v>51</v>
      </c>
      <c r="C260" t="s">
        <v>37</v>
      </c>
      <c r="D260" t="s">
        <v>126</v>
      </c>
      <c r="E260">
        <v>269</v>
      </c>
      <c r="F260" t="s">
        <v>456</v>
      </c>
      <c r="G260" t="s">
        <v>104</v>
      </c>
      <c r="H260" t="s">
        <v>60</v>
      </c>
      <c r="I260" s="4">
        <v>46055</v>
      </c>
      <c r="J260" s="4"/>
      <c r="K260" t="s">
        <v>61</v>
      </c>
      <c r="L260" t="s">
        <v>42</v>
      </c>
      <c r="M260" t="s">
        <v>43</v>
      </c>
      <c r="N260" s="5">
        <f t="shared" ref="N260:N323" si="19">O260+P260+Q260+R260-T260+S260</f>
        <v>5505.2002991999989</v>
      </c>
      <c r="O260" s="5">
        <v>2819.39</v>
      </c>
      <c r="P260" s="5">
        <v>1148.77</v>
      </c>
      <c r="Q260" s="5">
        <v>409.04</v>
      </c>
      <c r="R260" s="5">
        <v>372.86</v>
      </c>
      <c r="S260" s="5">
        <v>806.99029919999987</v>
      </c>
      <c r="T260" s="5">
        <v>51.85</v>
      </c>
      <c r="U260">
        <v>1227.2399999999998</v>
      </c>
      <c r="V260">
        <v>0</v>
      </c>
      <c r="X260" t="s">
        <v>44</v>
      </c>
      <c r="Y260" t="s">
        <v>44</v>
      </c>
      <c r="AD260" t="s">
        <v>45</v>
      </c>
      <c r="AE260" t="s">
        <v>46</v>
      </c>
      <c r="AF260" s="5">
        <f t="shared" ref="AF260:AF323" si="20">N260+U260+W260</f>
        <v>6732.4402991999987</v>
      </c>
      <c r="AG260">
        <f t="shared" si="17"/>
        <v>0</v>
      </c>
      <c r="AH260" s="5">
        <f t="shared" si="18"/>
        <v>6732.4402991999987</v>
      </c>
      <c r="AJ260" t="s">
        <v>47</v>
      </c>
    </row>
    <row r="261" spans="1:36" x14ac:dyDescent="0.3">
      <c r="A261" t="s">
        <v>55</v>
      </c>
      <c r="B261" t="s">
        <v>55</v>
      </c>
      <c r="C261" t="s">
        <v>56</v>
      </c>
      <c r="D261" t="s">
        <v>83</v>
      </c>
      <c r="E261">
        <v>270</v>
      </c>
      <c r="F261" t="s">
        <v>457</v>
      </c>
      <c r="G261" t="s">
        <v>209</v>
      </c>
      <c r="H261" t="s">
        <v>40</v>
      </c>
      <c r="I261" s="4">
        <v>46055</v>
      </c>
      <c r="J261" s="4">
        <v>46105</v>
      </c>
      <c r="K261" t="s">
        <v>41</v>
      </c>
      <c r="L261" t="s">
        <v>42</v>
      </c>
      <c r="M261" t="s">
        <v>43</v>
      </c>
      <c r="N261" s="5">
        <f t="shared" si="19"/>
        <v>3224.2554577999999</v>
      </c>
      <c r="O261" s="5">
        <v>2664.74</v>
      </c>
      <c r="P261" s="5">
        <v>0</v>
      </c>
      <c r="Q261" s="5">
        <v>0</v>
      </c>
      <c r="R261" s="5">
        <v>0</v>
      </c>
      <c r="S261" s="5">
        <v>559.51545779999992</v>
      </c>
      <c r="T261" s="5">
        <v>0</v>
      </c>
      <c r="U261">
        <v>0</v>
      </c>
      <c r="V261">
        <v>0</v>
      </c>
      <c r="X261">
        <v>0</v>
      </c>
      <c r="Y261" t="s">
        <v>44</v>
      </c>
      <c r="AD261" t="s">
        <v>45</v>
      </c>
      <c r="AE261" t="s">
        <v>46</v>
      </c>
      <c r="AF261" s="5">
        <f t="shared" si="20"/>
        <v>3224.2554577999999</v>
      </c>
      <c r="AG261">
        <f t="shared" si="17"/>
        <v>0</v>
      </c>
      <c r="AH261" s="5">
        <f t="shared" si="18"/>
        <v>3224.2554577999999</v>
      </c>
      <c r="AJ261" t="s">
        <v>54</v>
      </c>
    </row>
    <row r="262" spans="1:36" x14ac:dyDescent="0.3">
      <c r="A262" t="s">
        <v>55</v>
      </c>
      <c r="B262" t="s">
        <v>55</v>
      </c>
      <c r="C262" t="s">
        <v>56</v>
      </c>
      <c r="D262" t="s">
        <v>126</v>
      </c>
      <c r="E262">
        <v>271</v>
      </c>
      <c r="F262" t="s">
        <v>458</v>
      </c>
      <c r="G262" t="s">
        <v>82</v>
      </c>
      <c r="H262" t="s">
        <v>128</v>
      </c>
      <c r="I262" s="4">
        <v>46055</v>
      </c>
      <c r="J262" s="4"/>
      <c r="K262" t="s">
        <v>61</v>
      </c>
      <c r="L262" t="s">
        <v>42</v>
      </c>
      <c r="M262" t="s">
        <v>43</v>
      </c>
      <c r="N262" s="5">
        <f t="shared" si="19"/>
        <v>3048.4784175000004</v>
      </c>
      <c r="O262" s="5">
        <v>2302.75</v>
      </c>
      <c r="P262" s="5">
        <v>262.22000000000003</v>
      </c>
      <c r="Q262" s="5">
        <v>0</v>
      </c>
      <c r="R262" s="5">
        <v>0</v>
      </c>
      <c r="S262" s="5">
        <v>483.50841750000001</v>
      </c>
      <c r="T262" s="5">
        <v>0</v>
      </c>
      <c r="U262">
        <v>1120.1599999999999</v>
      </c>
      <c r="V262">
        <v>0</v>
      </c>
      <c r="X262" t="s">
        <v>44</v>
      </c>
      <c r="Y262" t="s">
        <v>44</v>
      </c>
      <c r="AD262" t="s">
        <v>45</v>
      </c>
      <c r="AE262" t="s">
        <v>46</v>
      </c>
      <c r="AF262" s="5">
        <f t="shared" si="20"/>
        <v>4168.6384175000003</v>
      </c>
      <c r="AG262">
        <f t="shared" si="17"/>
        <v>0</v>
      </c>
      <c r="AH262" s="5">
        <f t="shared" si="18"/>
        <v>4168.6384175000003</v>
      </c>
      <c r="AJ262" t="s">
        <v>47</v>
      </c>
    </row>
    <row r="263" spans="1:36" x14ac:dyDescent="0.3">
      <c r="A263" t="s">
        <v>55</v>
      </c>
      <c r="B263" t="s">
        <v>55</v>
      </c>
      <c r="C263" t="s">
        <v>56</v>
      </c>
      <c r="D263" t="s">
        <v>126</v>
      </c>
      <c r="E263">
        <v>272</v>
      </c>
      <c r="F263" t="s">
        <v>459</v>
      </c>
      <c r="G263" t="s">
        <v>64</v>
      </c>
      <c r="H263" t="s">
        <v>60</v>
      </c>
      <c r="I263" s="4">
        <v>46055</v>
      </c>
      <c r="J263" s="4"/>
      <c r="K263" t="s">
        <v>61</v>
      </c>
      <c r="L263" t="s">
        <v>42</v>
      </c>
      <c r="M263" t="s">
        <v>43</v>
      </c>
      <c r="N263" s="5">
        <f t="shared" si="19"/>
        <v>5553.7747588000002</v>
      </c>
      <c r="O263" s="5">
        <v>3049.35</v>
      </c>
      <c r="P263" s="5">
        <v>951.66</v>
      </c>
      <c r="Q263" s="5">
        <v>324.2</v>
      </c>
      <c r="R263" s="5">
        <v>401.47</v>
      </c>
      <c r="S263" s="5">
        <v>1005.3447588</v>
      </c>
      <c r="T263" s="5">
        <v>178.25</v>
      </c>
      <c r="U263">
        <v>1289.9199999999998</v>
      </c>
      <c r="V263">
        <v>0</v>
      </c>
      <c r="X263" t="s">
        <v>44</v>
      </c>
      <c r="Y263" t="s">
        <v>44</v>
      </c>
      <c r="Z263">
        <v>5000</v>
      </c>
      <c r="AD263" t="s">
        <v>65</v>
      </c>
      <c r="AE263" t="s">
        <v>46</v>
      </c>
      <c r="AF263" s="5">
        <f t="shared" si="20"/>
        <v>6843.6947588000003</v>
      </c>
      <c r="AG263">
        <f t="shared" si="17"/>
        <v>5000</v>
      </c>
      <c r="AH263" s="5">
        <f t="shared" si="18"/>
        <v>11843.6947588</v>
      </c>
      <c r="AJ263" t="s">
        <v>47</v>
      </c>
    </row>
    <row r="264" spans="1:36" x14ac:dyDescent="0.3">
      <c r="A264" t="s">
        <v>55</v>
      </c>
      <c r="B264" t="s">
        <v>55</v>
      </c>
      <c r="C264" t="s">
        <v>56</v>
      </c>
      <c r="D264" t="s">
        <v>126</v>
      </c>
      <c r="E264">
        <v>273</v>
      </c>
      <c r="F264" t="s">
        <v>460</v>
      </c>
      <c r="G264" t="s">
        <v>82</v>
      </c>
      <c r="H264" t="s">
        <v>40</v>
      </c>
      <c r="I264" s="4">
        <v>46055</v>
      </c>
      <c r="J264" s="4">
        <v>46128</v>
      </c>
      <c r="K264" t="s">
        <v>41</v>
      </c>
      <c r="L264" t="s">
        <v>42</v>
      </c>
      <c r="M264" t="s">
        <v>43</v>
      </c>
      <c r="N264" s="5">
        <f t="shared" si="19"/>
        <v>2649.7980008999998</v>
      </c>
      <c r="O264" s="5">
        <v>2189.9699999999998</v>
      </c>
      <c r="P264" s="5">
        <v>0</v>
      </c>
      <c r="Q264" s="5">
        <v>0</v>
      </c>
      <c r="R264" s="5">
        <v>0</v>
      </c>
      <c r="S264" s="5">
        <v>459.82800089999995</v>
      </c>
      <c r="T264" s="5">
        <v>0</v>
      </c>
      <c r="U264">
        <v>0</v>
      </c>
      <c r="V264">
        <v>0</v>
      </c>
      <c r="X264">
        <v>0</v>
      </c>
      <c r="Y264" t="s">
        <v>44</v>
      </c>
      <c r="AD264" t="s">
        <v>45</v>
      </c>
      <c r="AE264" t="s">
        <v>46</v>
      </c>
      <c r="AF264" s="5">
        <f t="shared" si="20"/>
        <v>2649.7980008999998</v>
      </c>
      <c r="AG264">
        <f t="shared" si="17"/>
        <v>0</v>
      </c>
      <c r="AH264" s="5">
        <f t="shared" si="18"/>
        <v>2649.7980008999998</v>
      </c>
      <c r="AJ264" t="s">
        <v>54</v>
      </c>
    </row>
    <row r="265" spans="1:36" x14ac:dyDescent="0.3">
      <c r="A265" t="s">
        <v>55</v>
      </c>
      <c r="B265" t="s">
        <v>55</v>
      </c>
      <c r="C265" t="s">
        <v>56</v>
      </c>
      <c r="D265" t="s">
        <v>373</v>
      </c>
      <c r="E265">
        <v>274</v>
      </c>
      <c r="F265" t="s">
        <v>461</v>
      </c>
      <c r="G265" t="s">
        <v>133</v>
      </c>
      <c r="H265" t="s">
        <v>40</v>
      </c>
      <c r="I265" s="4">
        <v>46055</v>
      </c>
      <c r="J265" s="4">
        <v>46126</v>
      </c>
      <c r="K265" t="s">
        <v>41</v>
      </c>
      <c r="L265" t="s">
        <v>42</v>
      </c>
      <c r="M265" t="s">
        <v>43</v>
      </c>
      <c r="N265" s="5">
        <f t="shared" si="19"/>
        <v>6379.4174574999997</v>
      </c>
      <c r="O265" s="5">
        <v>4452</v>
      </c>
      <c r="P265" s="5">
        <v>0</v>
      </c>
      <c r="Q265" s="5">
        <v>372.49</v>
      </c>
      <c r="R265" s="5">
        <v>397.52</v>
      </c>
      <c r="S265" s="5">
        <v>1330.1074574999998</v>
      </c>
      <c r="T265" s="5">
        <v>172.7</v>
      </c>
      <c r="U265">
        <v>0</v>
      </c>
      <c r="V265">
        <v>0</v>
      </c>
      <c r="X265">
        <v>0</v>
      </c>
      <c r="Y265" t="s">
        <v>44</v>
      </c>
      <c r="AD265" t="s">
        <v>88</v>
      </c>
      <c r="AE265" t="s">
        <v>46</v>
      </c>
      <c r="AF265" s="5">
        <f t="shared" si="20"/>
        <v>6379.4174574999997</v>
      </c>
      <c r="AG265">
        <f t="shared" si="17"/>
        <v>0</v>
      </c>
      <c r="AH265" s="5">
        <f t="shared" si="18"/>
        <v>6379.4174574999997</v>
      </c>
      <c r="AJ265" t="s">
        <v>54</v>
      </c>
    </row>
    <row r="266" spans="1:36" x14ac:dyDescent="0.3">
      <c r="A266" t="s">
        <v>55</v>
      </c>
      <c r="B266" t="s">
        <v>55</v>
      </c>
      <c r="C266" t="s">
        <v>56</v>
      </c>
      <c r="D266" t="s">
        <v>261</v>
      </c>
      <c r="E266">
        <v>275</v>
      </c>
      <c r="F266" t="s">
        <v>462</v>
      </c>
      <c r="G266" t="s">
        <v>133</v>
      </c>
      <c r="H266" t="s">
        <v>60</v>
      </c>
      <c r="I266" s="4">
        <v>46055</v>
      </c>
      <c r="J266" s="4"/>
      <c r="K266" t="s">
        <v>61</v>
      </c>
      <c r="L266" t="s">
        <v>42</v>
      </c>
      <c r="M266" t="s">
        <v>43</v>
      </c>
      <c r="N266" s="5">
        <f t="shared" si="19"/>
        <v>8791.5426251999979</v>
      </c>
      <c r="O266" s="5">
        <v>4681.28</v>
      </c>
      <c r="P266" s="5">
        <v>2217.64</v>
      </c>
      <c r="Q266" s="5">
        <v>136.36000000000001</v>
      </c>
      <c r="R266" s="5">
        <v>554.86</v>
      </c>
      <c r="S266" s="5">
        <v>1406.6226251999994</v>
      </c>
      <c r="T266" s="5">
        <v>205.22</v>
      </c>
      <c r="U266">
        <v>1231.6799999999998</v>
      </c>
      <c r="V266">
        <v>0</v>
      </c>
      <c r="X266" t="s">
        <v>44</v>
      </c>
      <c r="Y266" t="s">
        <v>44</v>
      </c>
      <c r="Z266">
        <v>15000</v>
      </c>
      <c r="AD266" t="s">
        <v>88</v>
      </c>
      <c r="AE266" t="s">
        <v>46</v>
      </c>
      <c r="AF266" s="5">
        <f t="shared" si="20"/>
        <v>10023.222625199998</v>
      </c>
      <c r="AG266">
        <f t="shared" si="17"/>
        <v>15000</v>
      </c>
      <c r="AH266" s="5">
        <f t="shared" si="18"/>
        <v>25023.222625199996</v>
      </c>
      <c r="AJ266" t="s">
        <v>54</v>
      </c>
    </row>
    <row r="267" spans="1:36" x14ac:dyDescent="0.3">
      <c r="A267" t="s">
        <v>55</v>
      </c>
      <c r="B267" t="s">
        <v>55</v>
      </c>
      <c r="C267" t="s">
        <v>56</v>
      </c>
      <c r="D267" t="s">
        <v>227</v>
      </c>
      <c r="E267">
        <v>276</v>
      </c>
      <c r="F267" t="s">
        <v>463</v>
      </c>
      <c r="G267" t="s">
        <v>82</v>
      </c>
      <c r="H267" t="s">
        <v>60</v>
      </c>
      <c r="I267" s="4">
        <v>46055</v>
      </c>
      <c r="J267" s="4"/>
      <c r="K267" t="s">
        <v>61</v>
      </c>
      <c r="L267" t="s">
        <v>42</v>
      </c>
      <c r="M267" t="s">
        <v>43</v>
      </c>
      <c r="N267" s="5">
        <f t="shared" si="19"/>
        <v>6169.391233899999</v>
      </c>
      <c r="O267" s="5">
        <v>2302.75</v>
      </c>
      <c r="P267" s="5">
        <v>1414.2</v>
      </c>
      <c r="Q267" s="5">
        <v>998.24</v>
      </c>
      <c r="R267" s="5">
        <v>451.27</v>
      </c>
      <c r="S267" s="5">
        <v>1060.1112338999999</v>
      </c>
      <c r="T267" s="5">
        <v>57.18</v>
      </c>
      <c r="U267">
        <v>1312.12</v>
      </c>
      <c r="V267">
        <v>0</v>
      </c>
      <c r="X267" t="s">
        <v>44</v>
      </c>
      <c r="Y267" t="s">
        <v>44</v>
      </c>
      <c r="AD267" t="s">
        <v>45</v>
      </c>
      <c r="AE267" t="s">
        <v>46</v>
      </c>
      <c r="AF267" s="5">
        <f t="shared" si="20"/>
        <v>7481.5112338999988</v>
      </c>
      <c r="AG267">
        <f t="shared" si="17"/>
        <v>0</v>
      </c>
      <c r="AH267" s="5">
        <f t="shared" si="18"/>
        <v>7481.5112338999988</v>
      </c>
      <c r="AJ267" t="s">
        <v>54</v>
      </c>
    </row>
    <row r="268" spans="1:36" x14ac:dyDescent="0.3">
      <c r="A268" t="s">
        <v>55</v>
      </c>
      <c r="B268" t="s">
        <v>55</v>
      </c>
      <c r="C268" t="s">
        <v>56</v>
      </c>
      <c r="E268">
        <v>277</v>
      </c>
      <c r="F268" t="s">
        <v>464</v>
      </c>
      <c r="G268" t="s">
        <v>59</v>
      </c>
      <c r="H268" t="s">
        <v>60</v>
      </c>
      <c r="I268" s="4">
        <v>46055</v>
      </c>
      <c r="J268" s="4"/>
      <c r="K268" t="s">
        <v>61</v>
      </c>
      <c r="L268" t="s">
        <v>42</v>
      </c>
      <c r="M268" t="s">
        <v>43</v>
      </c>
      <c r="N268" s="5">
        <f t="shared" si="19"/>
        <v>7256.3266600999996</v>
      </c>
      <c r="O268" s="5">
        <v>2801.97</v>
      </c>
      <c r="P268" s="5">
        <v>986.69</v>
      </c>
      <c r="Q268" s="5">
        <v>348.91999999999996</v>
      </c>
      <c r="R268" s="5">
        <v>1830.46</v>
      </c>
      <c r="S268" s="5">
        <v>1348.2866600999998</v>
      </c>
      <c r="T268" s="5">
        <v>60</v>
      </c>
      <c r="U268">
        <v>1312.12</v>
      </c>
      <c r="V268">
        <v>0</v>
      </c>
      <c r="X268" t="s">
        <v>44</v>
      </c>
      <c r="Y268" t="s">
        <v>44</v>
      </c>
      <c r="AD268" t="s">
        <v>45</v>
      </c>
      <c r="AE268" t="s">
        <v>46</v>
      </c>
      <c r="AF268" s="5">
        <f t="shared" si="20"/>
        <v>8568.4466600999986</v>
      </c>
      <c r="AG268">
        <f t="shared" si="17"/>
        <v>0</v>
      </c>
      <c r="AH268" s="5">
        <f t="shared" si="18"/>
        <v>8568.4466600999986</v>
      </c>
      <c r="AJ268" t="s">
        <v>54</v>
      </c>
    </row>
    <row r="269" spans="1:36" x14ac:dyDescent="0.3">
      <c r="A269" t="s">
        <v>55</v>
      </c>
      <c r="B269" t="s">
        <v>55</v>
      </c>
      <c r="C269" t="s">
        <v>56</v>
      </c>
      <c r="E269">
        <v>278</v>
      </c>
      <c r="F269" t="s">
        <v>465</v>
      </c>
      <c r="G269" t="s">
        <v>82</v>
      </c>
      <c r="H269" t="s">
        <v>40</v>
      </c>
      <c r="I269" s="4">
        <v>46055</v>
      </c>
      <c r="J269" s="4">
        <v>46149</v>
      </c>
      <c r="K269" t="s">
        <v>41</v>
      </c>
      <c r="L269" t="s">
        <v>42</v>
      </c>
      <c r="M269" t="s">
        <v>43</v>
      </c>
      <c r="N269" s="5">
        <f t="shared" si="19"/>
        <v>2649.7980008999998</v>
      </c>
      <c r="O269" s="5">
        <v>2189.9699999999998</v>
      </c>
      <c r="P269" s="5">
        <v>0</v>
      </c>
      <c r="Q269" s="5">
        <v>0</v>
      </c>
      <c r="R269" s="5">
        <v>0</v>
      </c>
      <c r="S269" s="5">
        <v>459.82800089999995</v>
      </c>
      <c r="T269" s="5">
        <v>0</v>
      </c>
      <c r="U269">
        <v>0</v>
      </c>
      <c r="V269">
        <v>0</v>
      </c>
      <c r="X269">
        <v>0</v>
      </c>
      <c r="Y269" t="s">
        <v>44</v>
      </c>
      <c r="AD269" t="s">
        <v>45</v>
      </c>
      <c r="AE269" t="s">
        <v>46</v>
      </c>
      <c r="AF269" s="5">
        <f t="shared" si="20"/>
        <v>2649.7980008999998</v>
      </c>
      <c r="AG269">
        <f t="shared" si="17"/>
        <v>0</v>
      </c>
      <c r="AH269" s="5">
        <f t="shared" si="18"/>
        <v>2649.7980008999998</v>
      </c>
      <c r="AJ269" t="s">
        <v>54</v>
      </c>
    </row>
    <row r="270" spans="1:36" x14ac:dyDescent="0.3">
      <c r="A270" t="s">
        <v>55</v>
      </c>
      <c r="B270" t="s">
        <v>55</v>
      </c>
      <c r="C270" t="s">
        <v>56</v>
      </c>
      <c r="D270" t="s">
        <v>227</v>
      </c>
      <c r="E270">
        <v>279</v>
      </c>
      <c r="F270" t="s">
        <v>466</v>
      </c>
      <c r="G270" t="s">
        <v>82</v>
      </c>
      <c r="H270" t="s">
        <v>40</v>
      </c>
      <c r="I270" s="4">
        <v>46055</v>
      </c>
      <c r="J270" s="4">
        <v>46083</v>
      </c>
      <c r="K270" t="s">
        <v>41</v>
      </c>
      <c r="L270" t="s">
        <v>42</v>
      </c>
      <c r="M270" t="s">
        <v>43</v>
      </c>
      <c r="N270" s="5">
        <f t="shared" si="19"/>
        <v>2649.7980008999998</v>
      </c>
      <c r="O270" s="5">
        <v>2189.9699999999998</v>
      </c>
      <c r="P270" s="5">
        <v>0</v>
      </c>
      <c r="Q270" s="5">
        <v>0</v>
      </c>
      <c r="R270" s="5">
        <v>0</v>
      </c>
      <c r="S270" s="5">
        <v>459.82800089999995</v>
      </c>
      <c r="T270" s="5">
        <v>0</v>
      </c>
      <c r="U270">
        <v>0</v>
      </c>
      <c r="V270">
        <v>0</v>
      </c>
      <c r="X270">
        <v>0</v>
      </c>
      <c r="Y270" t="s">
        <v>44</v>
      </c>
      <c r="AD270" t="s">
        <v>45</v>
      </c>
      <c r="AE270" t="s">
        <v>46</v>
      </c>
      <c r="AF270" s="5">
        <f t="shared" si="20"/>
        <v>2649.7980008999998</v>
      </c>
      <c r="AG270">
        <f t="shared" si="17"/>
        <v>0</v>
      </c>
      <c r="AH270" s="5">
        <f t="shared" si="18"/>
        <v>2649.7980008999998</v>
      </c>
      <c r="AJ270" t="s">
        <v>54</v>
      </c>
    </row>
    <row r="271" spans="1:36" x14ac:dyDescent="0.3">
      <c r="A271" t="s">
        <v>55</v>
      </c>
      <c r="B271" t="s">
        <v>55</v>
      </c>
      <c r="C271" t="s">
        <v>56</v>
      </c>
      <c r="E271">
        <v>280</v>
      </c>
      <c r="F271" t="s">
        <v>467</v>
      </c>
      <c r="G271" t="s">
        <v>396</v>
      </c>
      <c r="H271" t="s">
        <v>60</v>
      </c>
      <c r="I271" s="4">
        <v>46062</v>
      </c>
      <c r="J271" s="4"/>
      <c r="K271" t="s">
        <v>61</v>
      </c>
      <c r="L271" t="s">
        <v>42</v>
      </c>
      <c r="M271" t="s">
        <v>43</v>
      </c>
      <c r="N271" s="5">
        <f t="shared" si="19"/>
        <v>5805.3220194999994</v>
      </c>
      <c r="O271" s="5">
        <v>3049.35</v>
      </c>
      <c r="P271" s="5">
        <v>2115.6999999999998</v>
      </c>
      <c r="Q271" s="5">
        <v>0</v>
      </c>
      <c r="R271" s="5">
        <v>0</v>
      </c>
      <c r="S271" s="5">
        <v>640.27201949999994</v>
      </c>
      <c r="T271" s="5">
        <v>0</v>
      </c>
      <c r="U271">
        <v>1236.1199999999999</v>
      </c>
      <c r="V271">
        <v>0</v>
      </c>
      <c r="W271">
        <v>600</v>
      </c>
      <c r="X271">
        <v>0</v>
      </c>
      <c r="Y271">
        <v>0</v>
      </c>
      <c r="Z271">
        <v>2900</v>
      </c>
      <c r="AD271" t="s">
        <v>45</v>
      </c>
      <c r="AE271" t="s">
        <v>46</v>
      </c>
      <c r="AF271" s="5">
        <f t="shared" si="20"/>
        <v>7641.4420194999993</v>
      </c>
      <c r="AG271">
        <f t="shared" si="17"/>
        <v>2900</v>
      </c>
      <c r="AH271" s="5">
        <f t="shared" si="18"/>
        <v>10541.442019499998</v>
      </c>
      <c r="AJ271" t="s">
        <v>54</v>
      </c>
    </row>
    <row r="272" spans="1:36" x14ac:dyDescent="0.3">
      <c r="A272" t="s">
        <v>55</v>
      </c>
      <c r="B272" t="s">
        <v>55</v>
      </c>
      <c r="C272" t="s">
        <v>56</v>
      </c>
      <c r="D272" t="s">
        <v>261</v>
      </c>
      <c r="E272">
        <v>281</v>
      </c>
      <c r="F272" t="s">
        <v>468</v>
      </c>
      <c r="G272" t="s">
        <v>82</v>
      </c>
      <c r="H272" t="s">
        <v>60</v>
      </c>
      <c r="I272" s="4">
        <v>46062</v>
      </c>
      <c r="J272" s="4"/>
      <c r="K272" t="s">
        <v>61</v>
      </c>
      <c r="L272" t="s">
        <v>42</v>
      </c>
      <c r="M272" t="s">
        <v>43</v>
      </c>
      <c r="N272" s="5">
        <f t="shared" si="19"/>
        <v>3447.6184175000003</v>
      </c>
      <c r="O272" s="5">
        <v>2302.75</v>
      </c>
      <c r="P272" s="5">
        <v>661.36</v>
      </c>
      <c r="Q272" s="5">
        <v>0</v>
      </c>
      <c r="R272" s="5">
        <v>0</v>
      </c>
      <c r="S272" s="5">
        <v>483.50841750000001</v>
      </c>
      <c r="T272" s="5">
        <v>0</v>
      </c>
      <c r="U272">
        <v>1341.2399999999998</v>
      </c>
      <c r="V272">
        <v>0</v>
      </c>
      <c r="X272" t="s">
        <v>44</v>
      </c>
      <c r="Y272" t="s">
        <v>44</v>
      </c>
      <c r="AD272" t="s">
        <v>45</v>
      </c>
      <c r="AE272" t="s">
        <v>46</v>
      </c>
      <c r="AF272" s="5">
        <f t="shared" si="20"/>
        <v>4788.8584174999996</v>
      </c>
      <c r="AG272">
        <f t="shared" si="17"/>
        <v>0</v>
      </c>
      <c r="AH272" s="5">
        <f t="shared" si="18"/>
        <v>4788.8584174999996</v>
      </c>
      <c r="AJ272" t="s">
        <v>54</v>
      </c>
    </row>
    <row r="273" spans="1:36" x14ac:dyDescent="0.3">
      <c r="A273" t="s">
        <v>55</v>
      </c>
      <c r="B273" t="s">
        <v>55</v>
      </c>
      <c r="C273" t="s">
        <v>56</v>
      </c>
      <c r="D273" t="s">
        <v>352</v>
      </c>
      <c r="E273">
        <v>282</v>
      </c>
      <c r="F273" t="s">
        <v>469</v>
      </c>
      <c r="G273" t="s">
        <v>209</v>
      </c>
      <c r="H273" t="s">
        <v>40</v>
      </c>
      <c r="I273" s="4">
        <v>46062</v>
      </c>
      <c r="J273" s="4">
        <v>46150</v>
      </c>
      <c r="K273" t="s">
        <v>41</v>
      </c>
      <c r="L273" t="s">
        <v>42</v>
      </c>
      <c r="M273" t="s">
        <v>43</v>
      </c>
      <c r="N273" s="5">
        <f t="shared" si="19"/>
        <v>4114.0076902000001</v>
      </c>
      <c r="O273" s="5">
        <v>2664.74</v>
      </c>
      <c r="P273" s="5">
        <v>0</v>
      </c>
      <c r="Q273" s="5">
        <v>324.44</v>
      </c>
      <c r="R273" s="5">
        <v>376.69</v>
      </c>
      <c r="S273" s="5">
        <v>916.23769019999986</v>
      </c>
      <c r="T273" s="5">
        <v>168.1</v>
      </c>
      <c r="U273">
        <v>0</v>
      </c>
      <c r="V273">
        <v>0</v>
      </c>
      <c r="X273">
        <v>0</v>
      </c>
      <c r="Y273" t="s">
        <v>44</v>
      </c>
      <c r="AD273" t="s">
        <v>45</v>
      </c>
      <c r="AE273" t="s">
        <v>46</v>
      </c>
      <c r="AF273" s="5">
        <f t="shared" si="20"/>
        <v>4114.0076902000001</v>
      </c>
      <c r="AG273">
        <f t="shared" si="17"/>
        <v>0</v>
      </c>
      <c r="AH273" s="5">
        <f t="shared" si="18"/>
        <v>4114.0076902000001</v>
      </c>
      <c r="AJ273" t="s">
        <v>54</v>
      </c>
    </row>
    <row r="274" spans="1:36" x14ac:dyDescent="0.3">
      <c r="A274" t="s">
        <v>55</v>
      </c>
      <c r="B274" t="s">
        <v>55</v>
      </c>
      <c r="C274" t="s">
        <v>56</v>
      </c>
      <c r="D274" t="s">
        <v>192</v>
      </c>
      <c r="E274">
        <v>283</v>
      </c>
      <c r="F274" t="s">
        <v>470</v>
      </c>
      <c r="G274" t="s">
        <v>209</v>
      </c>
      <c r="H274">
        <v>0</v>
      </c>
      <c r="I274" s="4">
        <v>46062</v>
      </c>
      <c r="J274" s="4"/>
      <c r="K274" t="s">
        <v>178</v>
      </c>
      <c r="L274" t="s">
        <v>42</v>
      </c>
      <c r="M274" t="s">
        <v>43</v>
      </c>
      <c r="N274" s="5">
        <f t="shared" si="19"/>
        <v>4097.5829742766991</v>
      </c>
      <c r="O274" s="5">
        <v>2801.9741099999997</v>
      </c>
      <c r="P274" s="5">
        <v>0</v>
      </c>
      <c r="Q274" s="5">
        <v>400.2</v>
      </c>
      <c r="R274" s="5">
        <v>282.12</v>
      </c>
      <c r="S274" s="5">
        <v>790.17886427669987</v>
      </c>
      <c r="T274" s="5">
        <v>176.89</v>
      </c>
      <c r="U274">
        <v>102.11999999999989</v>
      </c>
      <c r="V274">
        <v>0</v>
      </c>
      <c r="X274" t="s">
        <v>44</v>
      </c>
      <c r="Y274" t="s">
        <v>44</v>
      </c>
      <c r="AD274" t="s">
        <v>45</v>
      </c>
      <c r="AE274" t="s">
        <v>46</v>
      </c>
      <c r="AF274" s="5">
        <f t="shared" si="20"/>
        <v>4199.702974276699</v>
      </c>
      <c r="AG274">
        <f t="shared" si="17"/>
        <v>0</v>
      </c>
      <c r="AH274" s="5">
        <f t="shared" si="18"/>
        <v>4199.702974276699</v>
      </c>
      <c r="AJ274" t="s">
        <v>54</v>
      </c>
    </row>
    <row r="275" spans="1:36" x14ac:dyDescent="0.3">
      <c r="A275" t="s">
        <v>55</v>
      </c>
      <c r="B275" t="s">
        <v>55</v>
      </c>
      <c r="C275" t="s">
        <v>56</v>
      </c>
      <c r="D275" t="s">
        <v>375</v>
      </c>
      <c r="E275">
        <v>284</v>
      </c>
      <c r="F275" t="s">
        <v>471</v>
      </c>
      <c r="G275" t="s">
        <v>133</v>
      </c>
      <c r="H275" t="s">
        <v>40</v>
      </c>
      <c r="I275" s="4">
        <v>46062</v>
      </c>
      <c r="J275" s="4">
        <v>46128</v>
      </c>
      <c r="K275" t="s">
        <v>41</v>
      </c>
      <c r="L275" t="s">
        <v>42</v>
      </c>
      <c r="M275" t="s">
        <v>43</v>
      </c>
      <c r="N275" s="5">
        <f t="shared" si="19"/>
        <v>5386.7864399999999</v>
      </c>
      <c r="O275" s="5">
        <v>4452</v>
      </c>
      <c r="P275" s="5">
        <v>0</v>
      </c>
      <c r="Q275" s="5">
        <v>0</v>
      </c>
      <c r="R275" s="5">
        <v>0</v>
      </c>
      <c r="S275" s="5">
        <v>934.78643999999997</v>
      </c>
      <c r="T275" s="5">
        <v>0</v>
      </c>
      <c r="U275">
        <v>0</v>
      </c>
      <c r="V275">
        <v>0</v>
      </c>
      <c r="X275">
        <v>0</v>
      </c>
      <c r="Y275" t="s">
        <v>44</v>
      </c>
      <c r="AD275" t="s">
        <v>88</v>
      </c>
      <c r="AE275" t="s">
        <v>46</v>
      </c>
      <c r="AF275" s="5">
        <f t="shared" si="20"/>
        <v>5386.7864399999999</v>
      </c>
      <c r="AG275">
        <f t="shared" si="17"/>
        <v>0</v>
      </c>
      <c r="AH275" s="5">
        <f t="shared" si="18"/>
        <v>5386.7864399999999</v>
      </c>
      <c r="AJ275" t="s">
        <v>54</v>
      </c>
    </row>
    <row r="276" spans="1:36" x14ac:dyDescent="0.3">
      <c r="A276" t="s">
        <v>55</v>
      </c>
      <c r="B276" t="s">
        <v>55</v>
      </c>
      <c r="C276" t="s">
        <v>56</v>
      </c>
      <c r="E276">
        <v>285</v>
      </c>
      <c r="F276" t="s">
        <v>472</v>
      </c>
      <c r="G276" t="s">
        <v>133</v>
      </c>
      <c r="H276" t="s">
        <v>40</v>
      </c>
      <c r="I276" s="4">
        <v>46062</v>
      </c>
      <c r="J276" s="4">
        <v>46129</v>
      </c>
      <c r="K276" t="s">
        <v>41</v>
      </c>
      <c r="L276" t="s">
        <v>42</v>
      </c>
      <c r="M276" t="s">
        <v>43</v>
      </c>
      <c r="N276" s="5">
        <f t="shared" si="19"/>
        <v>5386.7864399999999</v>
      </c>
      <c r="O276" s="5">
        <v>4452</v>
      </c>
      <c r="P276" s="5">
        <v>0</v>
      </c>
      <c r="Q276" s="5">
        <v>0</v>
      </c>
      <c r="R276" s="5">
        <v>0</v>
      </c>
      <c r="S276" s="5">
        <v>934.78643999999997</v>
      </c>
      <c r="T276" s="5">
        <v>0</v>
      </c>
      <c r="U276">
        <v>0</v>
      </c>
      <c r="V276">
        <v>0</v>
      </c>
      <c r="X276">
        <v>0</v>
      </c>
      <c r="Y276" t="s">
        <v>44</v>
      </c>
      <c r="AD276" t="s">
        <v>88</v>
      </c>
      <c r="AE276" t="s">
        <v>46</v>
      </c>
      <c r="AF276" s="5">
        <f t="shared" si="20"/>
        <v>5386.7864399999999</v>
      </c>
      <c r="AG276">
        <f t="shared" si="17"/>
        <v>0</v>
      </c>
      <c r="AH276" s="5">
        <f t="shared" si="18"/>
        <v>5386.7864399999999</v>
      </c>
      <c r="AJ276" t="s">
        <v>54</v>
      </c>
    </row>
    <row r="277" spans="1:36" x14ac:dyDescent="0.3">
      <c r="A277" t="s">
        <v>55</v>
      </c>
      <c r="B277" t="s">
        <v>55</v>
      </c>
      <c r="C277" t="s">
        <v>56</v>
      </c>
      <c r="D277" t="s">
        <v>339</v>
      </c>
      <c r="E277">
        <v>286</v>
      </c>
      <c r="F277" t="s">
        <v>473</v>
      </c>
      <c r="G277" t="s">
        <v>133</v>
      </c>
      <c r="H277" t="s">
        <v>68</v>
      </c>
      <c r="I277" s="4">
        <v>46062</v>
      </c>
      <c r="J277" s="4"/>
      <c r="K277" t="s">
        <v>61</v>
      </c>
      <c r="L277" t="s">
        <v>42</v>
      </c>
      <c r="M277" t="s">
        <v>43</v>
      </c>
      <c r="N277" s="5">
        <f t="shared" si="19"/>
        <v>10427.238397500001</v>
      </c>
      <c r="O277" s="5">
        <v>4681.28</v>
      </c>
      <c r="P277" s="5">
        <v>4020.14</v>
      </c>
      <c r="Q277" s="5">
        <v>324.2</v>
      </c>
      <c r="R277" s="5">
        <v>218.38</v>
      </c>
      <c r="S277" s="5">
        <v>1183.5483974999997</v>
      </c>
      <c r="T277" s="5">
        <v>0.31</v>
      </c>
      <c r="U277">
        <v>1358.9999999999998</v>
      </c>
      <c r="V277">
        <v>0</v>
      </c>
      <c r="X277" t="s">
        <v>44</v>
      </c>
      <c r="Y277" t="s">
        <v>44</v>
      </c>
      <c r="Z277">
        <v>15000</v>
      </c>
      <c r="AD277" t="s">
        <v>88</v>
      </c>
      <c r="AE277" t="s">
        <v>46</v>
      </c>
      <c r="AF277" s="5">
        <f t="shared" si="20"/>
        <v>11786.238397500001</v>
      </c>
      <c r="AG277">
        <f t="shared" si="17"/>
        <v>15000</v>
      </c>
      <c r="AH277" s="5">
        <f t="shared" si="18"/>
        <v>26786.238397500001</v>
      </c>
      <c r="AJ277" t="s">
        <v>54</v>
      </c>
    </row>
    <row r="278" spans="1:36" x14ac:dyDescent="0.3">
      <c r="A278" t="s">
        <v>55</v>
      </c>
      <c r="B278" t="s">
        <v>55</v>
      </c>
      <c r="C278" t="s">
        <v>56</v>
      </c>
      <c r="E278">
        <v>287</v>
      </c>
      <c r="F278" t="s">
        <v>474</v>
      </c>
      <c r="G278" t="s">
        <v>82</v>
      </c>
      <c r="H278" t="s">
        <v>40</v>
      </c>
      <c r="I278" s="4">
        <v>46062</v>
      </c>
      <c r="J278" s="4">
        <v>46113</v>
      </c>
      <c r="K278" t="s">
        <v>41</v>
      </c>
      <c r="L278" t="s">
        <v>42</v>
      </c>
      <c r="M278" t="s">
        <v>43</v>
      </c>
      <c r="N278" s="5">
        <f t="shared" si="19"/>
        <v>3307.3363453000002</v>
      </c>
      <c r="O278" s="5">
        <v>2189.9699999999998</v>
      </c>
      <c r="P278" s="5">
        <v>0</v>
      </c>
      <c r="Q278" s="5">
        <v>324.2</v>
      </c>
      <c r="R278" s="5">
        <v>381.88</v>
      </c>
      <c r="S278" s="5">
        <v>885.75634530000002</v>
      </c>
      <c r="T278" s="5">
        <v>474.47</v>
      </c>
      <c r="U278">
        <v>0</v>
      </c>
      <c r="V278">
        <v>0</v>
      </c>
      <c r="X278">
        <v>0</v>
      </c>
      <c r="Y278" t="s">
        <v>44</v>
      </c>
      <c r="AD278" t="s">
        <v>45</v>
      </c>
      <c r="AE278" t="s">
        <v>46</v>
      </c>
      <c r="AF278" s="5">
        <f t="shared" si="20"/>
        <v>3307.3363453000002</v>
      </c>
      <c r="AG278">
        <f t="shared" si="17"/>
        <v>0</v>
      </c>
      <c r="AH278" s="5">
        <f t="shared" si="18"/>
        <v>3307.3363453000002</v>
      </c>
      <c r="AJ278" t="s">
        <v>54</v>
      </c>
    </row>
    <row r="279" spans="1:36" x14ac:dyDescent="0.3">
      <c r="A279" t="s">
        <v>55</v>
      </c>
      <c r="B279" t="s">
        <v>55</v>
      </c>
      <c r="C279" t="s">
        <v>56</v>
      </c>
      <c r="D279" t="s">
        <v>373</v>
      </c>
      <c r="E279">
        <v>288</v>
      </c>
      <c r="F279" t="s">
        <v>475</v>
      </c>
      <c r="G279" t="s">
        <v>209</v>
      </c>
      <c r="H279" t="s">
        <v>68</v>
      </c>
      <c r="I279" s="4">
        <v>46065</v>
      </c>
      <c r="J279" s="4"/>
      <c r="K279" t="s">
        <v>61</v>
      </c>
      <c r="L279" t="s">
        <v>42</v>
      </c>
      <c r="M279" t="s">
        <v>43</v>
      </c>
      <c r="N279" s="5">
        <f t="shared" si="19"/>
        <v>4770.2796409000002</v>
      </c>
      <c r="O279" s="5">
        <v>2801.97</v>
      </c>
      <c r="P279" s="5">
        <v>1379.98</v>
      </c>
      <c r="Q279" s="5">
        <v>0</v>
      </c>
      <c r="R279" s="5">
        <v>0</v>
      </c>
      <c r="S279" s="5">
        <v>588.32964089999996</v>
      </c>
      <c r="T279" s="5">
        <v>0</v>
      </c>
      <c r="U279">
        <v>1146.7999999999997</v>
      </c>
      <c r="V279">
        <v>0</v>
      </c>
      <c r="X279" t="s">
        <v>44</v>
      </c>
      <c r="Y279" t="s">
        <v>44</v>
      </c>
      <c r="AD279" t="s">
        <v>45</v>
      </c>
      <c r="AE279" t="s">
        <v>46</v>
      </c>
      <c r="AF279" s="5">
        <f t="shared" si="20"/>
        <v>5917.0796408999995</v>
      </c>
      <c r="AG279">
        <f t="shared" si="17"/>
        <v>0</v>
      </c>
      <c r="AH279" s="5">
        <f t="shared" si="18"/>
        <v>5917.0796408999995</v>
      </c>
      <c r="AJ279" t="s">
        <v>54</v>
      </c>
    </row>
    <row r="280" spans="1:36" s="6" customFormat="1" x14ac:dyDescent="0.3">
      <c r="A280" s="6" t="s">
        <v>55</v>
      </c>
      <c r="B280" s="6" t="s">
        <v>55</v>
      </c>
      <c r="C280" s="6" t="s">
        <v>56</v>
      </c>
      <c r="D280" s="6" t="s">
        <v>57</v>
      </c>
      <c r="E280" s="6">
        <v>289</v>
      </c>
      <c r="F280" s="6" t="s">
        <v>476</v>
      </c>
      <c r="G280" s="6" t="s">
        <v>135</v>
      </c>
      <c r="H280" t="s">
        <v>60</v>
      </c>
      <c r="I280" s="4">
        <v>46065</v>
      </c>
      <c r="J280" s="4"/>
      <c r="K280" s="6" t="s">
        <v>61</v>
      </c>
      <c r="L280" t="s">
        <v>42</v>
      </c>
      <c r="M280" s="6" t="s">
        <v>43</v>
      </c>
      <c r="N280" s="5">
        <f t="shared" si="19"/>
        <v>11944.515718000001</v>
      </c>
      <c r="O280" s="5">
        <v>6464.62</v>
      </c>
      <c r="P280" s="5">
        <v>3270.44</v>
      </c>
      <c r="Q280" s="5">
        <v>324.2</v>
      </c>
      <c r="R280" s="5">
        <v>323.62</v>
      </c>
      <c r="S280" s="5">
        <v>1597.7457180000001</v>
      </c>
      <c r="T280" s="5">
        <v>36.11</v>
      </c>
      <c r="U280" s="6">
        <v>1414.7599999999998</v>
      </c>
      <c r="V280" s="6">
        <v>2300</v>
      </c>
      <c r="W280" s="6">
        <v>1200</v>
      </c>
      <c r="X280" s="6" t="s">
        <v>477</v>
      </c>
      <c r="Y280" s="6" t="s">
        <v>478</v>
      </c>
      <c r="AD280" s="6" t="s">
        <v>45</v>
      </c>
      <c r="AE280" s="6" t="s">
        <v>46</v>
      </c>
      <c r="AF280" s="7">
        <f t="shared" si="20"/>
        <v>14559.275718000001</v>
      </c>
      <c r="AG280" s="6">
        <f t="shared" si="17"/>
        <v>2300</v>
      </c>
      <c r="AH280" s="7">
        <f t="shared" si="18"/>
        <v>16859.275718000001</v>
      </c>
      <c r="AJ280" s="6" t="s">
        <v>54</v>
      </c>
    </row>
    <row r="281" spans="1:36" x14ac:dyDescent="0.3">
      <c r="A281" t="s">
        <v>55</v>
      </c>
      <c r="B281" t="s">
        <v>55</v>
      </c>
      <c r="C281" t="s">
        <v>56</v>
      </c>
      <c r="E281">
        <v>290</v>
      </c>
      <c r="F281" t="s">
        <v>479</v>
      </c>
      <c r="G281" t="s">
        <v>133</v>
      </c>
      <c r="H281" t="s">
        <v>40</v>
      </c>
      <c r="I281" s="4">
        <v>46065</v>
      </c>
      <c r="J281" s="4">
        <v>46147</v>
      </c>
      <c r="K281" t="s">
        <v>41</v>
      </c>
      <c r="L281" t="s">
        <v>42</v>
      </c>
      <c r="M281" t="s">
        <v>43</v>
      </c>
      <c r="N281" s="5">
        <f t="shared" si="19"/>
        <v>6072.2093328000001</v>
      </c>
      <c r="O281" s="5">
        <v>4452</v>
      </c>
      <c r="P281" s="5">
        <v>0</v>
      </c>
      <c r="Q281" s="5">
        <v>281.70999999999998</v>
      </c>
      <c r="R281" s="5">
        <v>354.32</v>
      </c>
      <c r="S281" s="5">
        <v>1197.2993328</v>
      </c>
      <c r="T281" s="5">
        <v>213.11999999999998</v>
      </c>
      <c r="U281">
        <v>0</v>
      </c>
      <c r="V281">
        <v>0</v>
      </c>
      <c r="X281">
        <v>0</v>
      </c>
      <c r="Y281" t="s">
        <v>44</v>
      </c>
      <c r="AD281" t="s">
        <v>45</v>
      </c>
      <c r="AE281" t="s">
        <v>46</v>
      </c>
      <c r="AF281" s="5">
        <f t="shared" si="20"/>
        <v>6072.2093328000001</v>
      </c>
      <c r="AG281">
        <f t="shared" si="17"/>
        <v>0</v>
      </c>
      <c r="AH281" s="5">
        <f t="shared" si="18"/>
        <v>6072.2093328000001</v>
      </c>
      <c r="AJ281" t="s">
        <v>54</v>
      </c>
    </row>
    <row r="282" spans="1:36" x14ac:dyDescent="0.3">
      <c r="A282" t="s">
        <v>55</v>
      </c>
      <c r="B282" t="s">
        <v>55</v>
      </c>
      <c r="C282" t="s">
        <v>56</v>
      </c>
      <c r="D282" t="s">
        <v>352</v>
      </c>
      <c r="E282">
        <v>291</v>
      </c>
      <c r="F282" t="s">
        <v>480</v>
      </c>
      <c r="G282" t="s">
        <v>82</v>
      </c>
      <c r="H282" t="s">
        <v>40</v>
      </c>
      <c r="I282" s="4">
        <v>46065</v>
      </c>
      <c r="J282" s="4">
        <v>46132</v>
      </c>
      <c r="K282" t="s">
        <v>41</v>
      </c>
      <c r="L282" t="s">
        <v>42</v>
      </c>
      <c r="M282" t="s">
        <v>43</v>
      </c>
      <c r="N282" s="5">
        <f t="shared" si="19"/>
        <v>2649.7980008999998</v>
      </c>
      <c r="O282" s="5">
        <v>2189.9699999999998</v>
      </c>
      <c r="P282" s="5">
        <v>0</v>
      </c>
      <c r="Q282" s="5">
        <v>0</v>
      </c>
      <c r="R282" s="5">
        <v>0</v>
      </c>
      <c r="S282" s="5">
        <v>459.82800089999995</v>
      </c>
      <c r="T282" s="5">
        <v>0</v>
      </c>
      <c r="U282">
        <v>0</v>
      </c>
      <c r="V282">
        <v>0</v>
      </c>
      <c r="X282">
        <v>0</v>
      </c>
      <c r="Y282" t="s">
        <v>44</v>
      </c>
      <c r="AD282" t="s">
        <v>45</v>
      </c>
      <c r="AE282" t="s">
        <v>46</v>
      </c>
      <c r="AF282" s="5">
        <f t="shared" si="20"/>
        <v>2649.7980008999998</v>
      </c>
      <c r="AG282">
        <f t="shared" si="17"/>
        <v>0</v>
      </c>
      <c r="AH282" s="5">
        <f t="shared" si="18"/>
        <v>2649.7980008999998</v>
      </c>
      <c r="AJ282" t="s">
        <v>54</v>
      </c>
    </row>
    <row r="283" spans="1:36" x14ac:dyDescent="0.3">
      <c r="A283" t="s">
        <v>89</v>
      </c>
      <c r="B283" t="s">
        <v>143</v>
      </c>
      <c r="C283" t="s">
        <v>37</v>
      </c>
      <c r="D283" t="s">
        <v>144</v>
      </c>
      <c r="E283">
        <v>292</v>
      </c>
      <c r="F283" t="s">
        <v>481</v>
      </c>
      <c r="G283" t="s">
        <v>482</v>
      </c>
      <c r="H283" t="s">
        <v>60</v>
      </c>
      <c r="I283" s="4">
        <v>46065</v>
      </c>
      <c r="J283" s="4"/>
      <c r="K283" t="s">
        <v>61</v>
      </c>
      <c r="L283" t="s">
        <v>42</v>
      </c>
      <c r="M283" t="s">
        <v>43</v>
      </c>
      <c r="N283" s="5">
        <f t="shared" si="19"/>
        <v>6212.8997729000012</v>
      </c>
      <c r="O283" s="5">
        <v>3195.53</v>
      </c>
      <c r="P283" s="5">
        <v>487.84</v>
      </c>
      <c r="Q283" s="5">
        <v>1314.2</v>
      </c>
      <c r="R283" s="5">
        <v>358.01</v>
      </c>
      <c r="S283" s="5">
        <v>1049.3397728999998</v>
      </c>
      <c r="T283" s="5">
        <v>192.01999999999998</v>
      </c>
      <c r="U283">
        <v>1218.3599999999999</v>
      </c>
      <c r="V283">
        <v>0</v>
      </c>
      <c r="X283" t="s">
        <v>44</v>
      </c>
      <c r="Y283" t="s">
        <v>44</v>
      </c>
      <c r="AD283" t="s">
        <v>45</v>
      </c>
      <c r="AE283" t="s">
        <v>46</v>
      </c>
      <c r="AF283" s="5">
        <f t="shared" si="20"/>
        <v>7431.2597729000008</v>
      </c>
      <c r="AG283">
        <f t="shared" si="17"/>
        <v>0</v>
      </c>
      <c r="AH283" s="5">
        <f t="shared" si="18"/>
        <v>7431.2597729000008</v>
      </c>
      <c r="AJ283" t="s">
        <v>54</v>
      </c>
    </row>
    <row r="284" spans="1:36" x14ac:dyDescent="0.3">
      <c r="A284" t="s">
        <v>55</v>
      </c>
      <c r="B284" t="s">
        <v>55</v>
      </c>
      <c r="C284" t="s">
        <v>56</v>
      </c>
      <c r="D284" t="s">
        <v>352</v>
      </c>
      <c r="E284">
        <v>293</v>
      </c>
      <c r="F284" t="s">
        <v>483</v>
      </c>
      <c r="G284" t="s">
        <v>82</v>
      </c>
      <c r="H284" t="s">
        <v>40</v>
      </c>
      <c r="I284" s="4">
        <v>46065</v>
      </c>
      <c r="J284" s="4">
        <v>46146</v>
      </c>
      <c r="K284" t="s">
        <v>41</v>
      </c>
      <c r="L284" t="s">
        <v>42</v>
      </c>
      <c r="M284" t="s">
        <v>43</v>
      </c>
      <c r="N284" s="5">
        <f t="shared" si="19"/>
        <v>3298.6000718999994</v>
      </c>
      <c r="O284" s="5">
        <v>2189.9699999999998</v>
      </c>
      <c r="P284" s="5">
        <v>0</v>
      </c>
      <c r="Q284" s="5">
        <v>324.2</v>
      </c>
      <c r="R284" s="5">
        <v>294.85000000000002</v>
      </c>
      <c r="S284" s="5">
        <v>536.3200718999999</v>
      </c>
      <c r="T284" s="5">
        <v>46.74</v>
      </c>
      <c r="U284">
        <v>0</v>
      </c>
      <c r="V284">
        <v>0</v>
      </c>
      <c r="X284">
        <v>0</v>
      </c>
      <c r="Y284" t="s">
        <v>44</v>
      </c>
      <c r="AD284" t="s">
        <v>45</v>
      </c>
      <c r="AE284" t="s">
        <v>46</v>
      </c>
      <c r="AF284" s="5">
        <f t="shared" si="20"/>
        <v>3298.6000718999994</v>
      </c>
      <c r="AG284">
        <f t="shared" si="17"/>
        <v>0</v>
      </c>
      <c r="AH284" s="5">
        <f t="shared" si="18"/>
        <v>3298.6000718999994</v>
      </c>
      <c r="AJ284" t="s">
        <v>54</v>
      </c>
    </row>
    <row r="285" spans="1:36" x14ac:dyDescent="0.3">
      <c r="A285" t="s">
        <v>55</v>
      </c>
      <c r="B285" t="s">
        <v>55</v>
      </c>
      <c r="C285" t="s">
        <v>56</v>
      </c>
      <c r="E285">
        <v>294</v>
      </c>
      <c r="F285" t="s">
        <v>484</v>
      </c>
      <c r="G285" t="s">
        <v>59</v>
      </c>
      <c r="H285" t="s">
        <v>40</v>
      </c>
      <c r="I285" s="4">
        <v>46073</v>
      </c>
      <c r="J285" s="4">
        <v>46129</v>
      </c>
      <c r="K285" t="s">
        <v>41</v>
      </c>
      <c r="L285" t="s">
        <v>42</v>
      </c>
      <c r="M285" t="s">
        <v>43</v>
      </c>
      <c r="N285" s="5">
        <f t="shared" si="19"/>
        <v>3224.2554577999999</v>
      </c>
      <c r="O285" s="5">
        <v>2664.74</v>
      </c>
      <c r="P285" s="5">
        <v>0</v>
      </c>
      <c r="Q285" s="5">
        <v>0</v>
      </c>
      <c r="R285" s="5">
        <v>0</v>
      </c>
      <c r="S285" s="5">
        <v>559.51545779999992</v>
      </c>
      <c r="T285" s="5">
        <v>0</v>
      </c>
      <c r="U285">
        <v>0</v>
      </c>
      <c r="V285">
        <v>0</v>
      </c>
      <c r="X285">
        <v>0</v>
      </c>
      <c r="Y285" t="s">
        <v>44</v>
      </c>
      <c r="AF285" s="5">
        <f t="shared" si="20"/>
        <v>3224.2554577999999</v>
      </c>
      <c r="AG285">
        <f t="shared" si="17"/>
        <v>0</v>
      </c>
      <c r="AH285" s="5">
        <f t="shared" si="18"/>
        <v>3224.2554577999999</v>
      </c>
      <c r="AJ285" t="s">
        <v>54</v>
      </c>
    </row>
    <row r="286" spans="1:36" x14ac:dyDescent="0.3">
      <c r="A286" t="s">
        <v>277</v>
      </c>
      <c r="B286" t="s">
        <v>55</v>
      </c>
      <c r="C286" t="s">
        <v>56</v>
      </c>
      <c r="D286" t="s">
        <v>339</v>
      </c>
      <c r="E286">
        <v>295</v>
      </c>
      <c r="F286" t="s">
        <v>485</v>
      </c>
      <c r="G286" t="s">
        <v>82</v>
      </c>
      <c r="H286" t="s">
        <v>68</v>
      </c>
      <c r="I286" s="4">
        <v>46073</v>
      </c>
      <c r="J286" s="4" t="s">
        <v>44</v>
      </c>
      <c r="K286" t="s">
        <v>41</v>
      </c>
      <c r="L286" t="s">
        <v>42</v>
      </c>
      <c r="M286" t="s">
        <v>43</v>
      </c>
      <c r="N286" s="5">
        <f t="shared" si="19"/>
        <v>-113.75545320000015</v>
      </c>
      <c r="O286" s="5">
        <v>2302.75</v>
      </c>
      <c r="P286" s="5">
        <v>292.34000000000003</v>
      </c>
      <c r="Q286" s="5">
        <v>986.66000000000008</v>
      </c>
      <c r="R286" s="5">
        <v>1641.76</v>
      </c>
      <c r="S286" s="5">
        <v>1244.7945468</v>
      </c>
      <c r="T286" s="5">
        <v>6582.06</v>
      </c>
      <c r="U286">
        <v>0</v>
      </c>
      <c r="V286">
        <v>0</v>
      </c>
      <c r="X286" t="s">
        <v>44</v>
      </c>
      <c r="Y286" t="s">
        <v>44</v>
      </c>
      <c r="AF286" s="5">
        <f t="shared" si="20"/>
        <v>-113.75545320000015</v>
      </c>
      <c r="AG286">
        <f t="shared" si="17"/>
        <v>0</v>
      </c>
      <c r="AH286" s="5">
        <f t="shared" si="18"/>
        <v>-113.75545320000015</v>
      </c>
      <c r="AJ286" t="s">
        <v>54</v>
      </c>
    </row>
    <row r="287" spans="1:36" x14ac:dyDescent="0.3">
      <c r="A287" t="s">
        <v>55</v>
      </c>
      <c r="B287" t="s">
        <v>55</v>
      </c>
      <c r="C287" t="s">
        <v>56</v>
      </c>
      <c r="D287" t="s">
        <v>285</v>
      </c>
      <c r="E287">
        <v>296</v>
      </c>
      <c r="F287" t="s">
        <v>486</v>
      </c>
      <c r="G287" t="s">
        <v>82</v>
      </c>
      <c r="H287" t="s">
        <v>60</v>
      </c>
      <c r="I287" s="4">
        <v>46073</v>
      </c>
      <c r="J287" s="4" t="s">
        <v>44</v>
      </c>
      <c r="K287" t="s">
        <v>61</v>
      </c>
      <c r="L287" t="s">
        <v>42</v>
      </c>
      <c r="M287" t="s">
        <v>43</v>
      </c>
      <c r="N287" s="5">
        <f t="shared" si="19"/>
        <v>4022.3184175000006</v>
      </c>
      <c r="O287" s="5">
        <v>2302.75</v>
      </c>
      <c r="P287" s="5">
        <v>1236.0600000000002</v>
      </c>
      <c r="Q287" s="5">
        <v>0</v>
      </c>
      <c r="R287" s="5">
        <v>0</v>
      </c>
      <c r="S287" s="5">
        <v>483.50841750000001</v>
      </c>
      <c r="T287" s="5">
        <v>0</v>
      </c>
      <c r="U287">
        <v>1307.6799999999998</v>
      </c>
      <c r="V287">
        <v>0</v>
      </c>
      <c r="X287" t="s">
        <v>44</v>
      </c>
      <c r="Y287" t="s">
        <v>44</v>
      </c>
      <c r="AF287" s="5">
        <f t="shared" si="20"/>
        <v>5329.9984175000009</v>
      </c>
      <c r="AG287">
        <f t="shared" si="17"/>
        <v>0</v>
      </c>
      <c r="AH287" s="5">
        <f t="shared" si="18"/>
        <v>5329.9984175000009</v>
      </c>
      <c r="AJ287" t="s">
        <v>54</v>
      </c>
    </row>
    <row r="288" spans="1:36" x14ac:dyDescent="0.3">
      <c r="A288" t="s">
        <v>277</v>
      </c>
      <c r="B288" t="s">
        <v>55</v>
      </c>
      <c r="C288" t="s">
        <v>56</v>
      </c>
      <c r="D288" t="s">
        <v>375</v>
      </c>
      <c r="E288">
        <v>297</v>
      </c>
      <c r="F288" t="s">
        <v>487</v>
      </c>
      <c r="G288" t="s">
        <v>82</v>
      </c>
      <c r="H288" t="s">
        <v>68</v>
      </c>
      <c r="I288" s="4">
        <v>46073</v>
      </c>
      <c r="J288" s="4" t="s">
        <v>44</v>
      </c>
      <c r="K288" t="s">
        <v>61</v>
      </c>
      <c r="L288" t="s">
        <v>42</v>
      </c>
      <c r="M288" t="s">
        <v>43</v>
      </c>
      <c r="N288" s="5">
        <f t="shared" si="19"/>
        <v>6933.0459406999998</v>
      </c>
      <c r="O288" s="5">
        <v>2302.75</v>
      </c>
      <c r="P288" s="5">
        <v>2036.29</v>
      </c>
      <c r="Q288" s="5">
        <v>1070.44</v>
      </c>
      <c r="R288" s="5">
        <v>734.59</v>
      </c>
      <c r="S288" s="5">
        <v>1113.9559406999997</v>
      </c>
      <c r="T288" s="5">
        <v>324.98</v>
      </c>
      <c r="U288">
        <v>1452.7599999999995</v>
      </c>
      <c r="V288">
        <v>0</v>
      </c>
      <c r="X288" t="s">
        <v>44</v>
      </c>
      <c r="Y288" t="s">
        <v>44</v>
      </c>
      <c r="AF288" s="5">
        <f t="shared" si="20"/>
        <v>8385.8059407000001</v>
      </c>
      <c r="AG288">
        <f t="shared" si="17"/>
        <v>0</v>
      </c>
      <c r="AH288" s="5">
        <f t="shared" si="18"/>
        <v>8385.8059407000001</v>
      </c>
      <c r="AJ288" t="s">
        <v>54</v>
      </c>
    </row>
    <row r="289" spans="1:36" x14ac:dyDescent="0.3">
      <c r="A289" t="s">
        <v>55</v>
      </c>
      <c r="B289" t="s">
        <v>55</v>
      </c>
      <c r="C289" t="s">
        <v>56</v>
      </c>
      <c r="D289" t="s">
        <v>373</v>
      </c>
      <c r="E289">
        <v>298</v>
      </c>
      <c r="F289" t="s">
        <v>488</v>
      </c>
      <c r="G289" t="s">
        <v>82</v>
      </c>
      <c r="H289" t="s">
        <v>40</v>
      </c>
      <c r="I289" s="4">
        <v>46073</v>
      </c>
      <c r="J289" s="4" t="s">
        <v>44</v>
      </c>
      <c r="K289" t="s">
        <v>41</v>
      </c>
      <c r="L289" t="s">
        <v>42</v>
      </c>
      <c r="M289" t="s">
        <v>43</v>
      </c>
      <c r="N289" s="5">
        <f t="shared" si="19"/>
        <v>459.82800089999995</v>
      </c>
      <c r="O289" s="5">
        <v>0</v>
      </c>
      <c r="P289" s="5">
        <v>0</v>
      </c>
      <c r="Q289" s="5">
        <v>0</v>
      </c>
      <c r="R289" s="5">
        <v>0</v>
      </c>
      <c r="S289" s="5">
        <v>459.82800089999995</v>
      </c>
      <c r="T289" s="5">
        <v>0</v>
      </c>
      <c r="U289">
        <v>0</v>
      </c>
      <c r="V289">
        <v>0</v>
      </c>
      <c r="X289" t="s">
        <v>40</v>
      </c>
      <c r="Y289" t="s">
        <v>40</v>
      </c>
      <c r="AF289" s="5">
        <f t="shared" si="20"/>
        <v>459.82800089999995</v>
      </c>
      <c r="AG289">
        <f t="shared" si="17"/>
        <v>0</v>
      </c>
      <c r="AH289" s="5">
        <f t="shared" si="18"/>
        <v>459.82800089999995</v>
      </c>
      <c r="AJ289" t="s">
        <v>54</v>
      </c>
    </row>
    <row r="290" spans="1:36" x14ac:dyDescent="0.3">
      <c r="A290" t="s">
        <v>277</v>
      </c>
      <c r="B290" t="s">
        <v>55</v>
      </c>
      <c r="C290" t="s">
        <v>56</v>
      </c>
      <c r="D290" t="s">
        <v>57</v>
      </c>
      <c r="E290">
        <v>299</v>
      </c>
      <c r="F290" t="s">
        <v>489</v>
      </c>
      <c r="G290" t="s">
        <v>106</v>
      </c>
      <c r="H290" t="s">
        <v>68</v>
      </c>
      <c r="I290" s="4">
        <v>46073</v>
      </c>
      <c r="J290" s="4">
        <v>46205</v>
      </c>
      <c r="K290" t="s">
        <v>41</v>
      </c>
      <c r="L290" t="s">
        <v>42</v>
      </c>
      <c r="M290" t="s">
        <v>43</v>
      </c>
      <c r="N290" s="5">
        <f t="shared" si="19"/>
        <v>10791.772827499999</v>
      </c>
      <c r="O290" s="5">
        <v>5377.9</v>
      </c>
      <c r="P290" s="5">
        <v>2543.38</v>
      </c>
      <c r="Q290" s="5">
        <v>478.87</v>
      </c>
      <c r="R290" s="5">
        <v>1109.8399999999999</v>
      </c>
      <c r="S290" s="5">
        <v>1712.4628274999998</v>
      </c>
      <c r="T290" s="5">
        <v>430.68</v>
      </c>
      <c r="U290">
        <v>1423.6399999999999</v>
      </c>
      <c r="V290">
        <v>0</v>
      </c>
      <c r="X290" t="s">
        <v>44</v>
      </c>
      <c r="Y290" t="s">
        <v>44</v>
      </c>
      <c r="AF290" s="5">
        <f t="shared" si="20"/>
        <v>12215.412827499998</v>
      </c>
      <c r="AG290">
        <f t="shared" si="17"/>
        <v>0</v>
      </c>
      <c r="AH290" s="5">
        <f t="shared" si="18"/>
        <v>12215.412827499998</v>
      </c>
      <c r="AJ290" t="s">
        <v>54</v>
      </c>
    </row>
    <row r="291" spans="1:36" x14ac:dyDescent="0.3">
      <c r="A291" t="s">
        <v>277</v>
      </c>
      <c r="B291" t="s">
        <v>55</v>
      </c>
      <c r="C291" t="s">
        <v>56</v>
      </c>
      <c r="D291" t="s">
        <v>375</v>
      </c>
      <c r="E291">
        <v>300</v>
      </c>
      <c r="F291" t="s">
        <v>490</v>
      </c>
      <c r="G291" t="s">
        <v>82</v>
      </c>
      <c r="H291" t="s">
        <v>68</v>
      </c>
      <c r="I291" s="4">
        <v>46073</v>
      </c>
      <c r="J291" s="4"/>
      <c r="K291" t="s">
        <v>61</v>
      </c>
      <c r="L291" t="s">
        <v>42</v>
      </c>
      <c r="M291" t="s">
        <v>43</v>
      </c>
      <c r="N291" s="5">
        <f t="shared" si="19"/>
        <v>6961.9352784463499</v>
      </c>
      <c r="O291" s="5">
        <v>2302.753455</v>
      </c>
      <c r="P291" s="5">
        <v>1204.19</v>
      </c>
      <c r="Q291" s="5">
        <v>1243.01</v>
      </c>
      <c r="R291" s="5">
        <v>1073.76</v>
      </c>
      <c r="S291" s="5">
        <v>1210.1418234463499</v>
      </c>
      <c r="T291" s="5">
        <v>71.92</v>
      </c>
      <c r="U291">
        <v>1079.6799999999998</v>
      </c>
      <c r="V291">
        <v>0</v>
      </c>
      <c r="X291" t="s">
        <v>44</v>
      </c>
      <c r="Y291" t="s">
        <v>44</v>
      </c>
      <c r="AF291" s="5">
        <f t="shared" si="20"/>
        <v>8041.6152784463502</v>
      </c>
      <c r="AG291">
        <f t="shared" si="17"/>
        <v>0</v>
      </c>
      <c r="AH291" s="5">
        <f t="shared" si="18"/>
        <v>8041.6152784463502</v>
      </c>
      <c r="AJ291" t="s">
        <v>54</v>
      </c>
    </row>
    <row r="292" spans="1:36" x14ac:dyDescent="0.3">
      <c r="A292" t="s">
        <v>55</v>
      </c>
      <c r="B292" t="s">
        <v>55</v>
      </c>
      <c r="C292" t="s">
        <v>56</v>
      </c>
      <c r="D292" t="s">
        <v>375</v>
      </c>
      <c r="E292">
        <v>301</v>
      </c>
      <c r="F292" t="s">
        <v>491</v>
      </c>
      <c r="G292" t="s">
        <v>82</v>
      </c>
      <c r="H292" t="s">
        <v>68</v>
      </c>
      <c r="I292" s="4">
        <v>46073</v>
      </c>
      <c r="J292" s="4"/>
      <c r="K292" t="s">
        <v>61</v>
      </c>
      <c r="L292" t="s">
        <v>42</v>
      </c>
      <c r="M292" t="s">
        <v>43</v>
      </c>
      <c r="N292" s="5">
        <f t="shared" si="19"/>
        <v>4824.2184175000002</v>
      </c>
      <c r="O292" s="5">
        <v>2302.75</v>
      </c>
      <c r="P292" s="5">
        <v>2037.9600000000003</v>
      </c>
      <c r="Q292" s="5">
        <v>0</v>
      </c>
      <c r="R292" s="5">
        <v>0</v>
      </c>
      <c r="S292" s="5">
        <v>483.50841750000001</v>
      </c>
      <c r="T292" s="5">
        <v>0</v>
      </c>
      <c r="U292">
        <v>1376.7599999999998</v>
      </c>
      <c r="V292">
        <v>0</v>
      </c>
      <c r="X292" t="s">
        <v>44</v>
      </c>
      <c r="Y292" t="s">
        <v>44</v>
      </c>
      <c r="AF292" s="5">
        <f t="shared" si="20"/>
        <v>6200.9784175000004</v>
      </c>
      <c r="AG292">
        <f t="shared" si="17"/>
        <v>0</v>
      </c>
      <c r="AH292" s="5">
        <f t="shared" si="18"/>
        <v>6200.9784175000004</v>
      </c>
      <c r="AJ292" t="s">
        <v>54</v>
      </c>
    </row>
    <row r="293" spans="1:36" x14ac:dyDescent="0.3">
      <c r="A293" t="s">
        <v>55</v>
      </c>
      <c r="B293" t="s">
        <v>55</v>
      </c>
      <c r="C293" t="s">
        <v>56</v>
      </c>
      <c r="D293" t="s">
        <v>339</v>
      </c>
      <c r="E293">
        <v>302</v>
      </c>
      <c r="F293" t="s">
        <v>492</v>
      </c>
      <c r="G293" t="s">
        <v>82</v>
      </c>
      <c r="H293" t="s">
        <v>68</v>
      </c>
      <c r="I293" s="4">
        <v>46073</v>
      </c>
      <c r="J293" s="4"/>
      <c r="K293" t="s">
        <v>61</v>
      </c>
      <c r="L293" t="s">
        <v>42</v>
      </c>
      <c r="M293" t="s">
        <v>43</v>
      </c>
      <c r="N293" s="5">
        <f t="shared" si="19"/>
        <v>5670.9845516999994</v>
      </c>
      <c r="O293" s="5">
        <v>2302.75</v>
      </c>
      <c r="P293" s="5">
        <v>1414.49</v>
      </c>
      <c r="Q293" s="5">
        <v>816.68000000000006</v>
      </c>
      <c r="R293" s="5">
        <v>387.62</v>
      </c>
      <c r="S293" s="5">
        <v>934.70455170000014</v>
      </c>
      <c r="T293" s="5">
        <v>185.26</v>
      </c>
      <c r="U293">
        <v>1303.2399999999998</v>
      </c>
      <c r="V293">
        <v>0</v>
      </c>
      <c r="X293" t="s">
        <v>44</v>
      </c>
      <c r="Y293" t="s">
        <v>44</v>
      </c>
      <c r="AF293" s="5">
        <f t="shared" si="20"/>
        <v>6974.2245516999992</v>
      </c>
      <c r="AG293">
        <f t="shared" si="17"/>
        <v>0</v>
      </c>
      <c r="AH293" s="5">
        <f t="shared" si="18"/>
        <v>6974.2245516999992</v>
      </c>
      <c r="AJ293" t="s">
        <v>54</v>
      </c>
    </row>
    <row r="294" spans="1:36" x14ac:dyDescent="0.3">
      <c r="A294" t="s">
        <v>277</v>
      </c>
      <c r="B294" t="s">
        <v>55</v>
      </c>
      <c r="C294" t="s">
        <v>56</v>
      </c>
      <c r="D294" t="s">
        <v>375</v>
      </c>
      <c r="E294">
        <v>303</v>
      </c>
      <c r="F294" t="s">
        <v>493</v>
      </c>
      <c r="G294" t="s">
        <v>209</v>
      </c>
      <c r="H294" t="s">
        <v>68</v>
      </c>
      <c r="I294" s="4">
        <v>46073</v>
      </c>
      <c r="J294" s="4"/>
      <c r="K294" t="s">
        <v>61</v>
      </c>
      <c r="L294" t="s">
        <v>42</v>
      </c>
      <c r="M294" t="s">
        <v>43</v>
      </c>
      <c r="N294" s="5">
        <f t="shared" si="19"/>
        <v>6561.0509249000006</v>
      </c>
      <c r="O294" s="5">
        <v>2801.97</v>
      </c>
      <c r="P294" s="5">
        <v>1444.57</v>
      </c>
      <c r="Q294" s="5">
        <v>1353.65</v>
      </c>
      <c r="R294" s="5">
        <v>129.59</v>
      </c>
      <c r="S294" s="5">
        <v>873.30092490000004</v>
      </c>
      <c r="T294" s="5">
        <v>42.03</v>
      </c>
      <c r="U294">
        <v>1359</v>
      </c>
      <c r="V294">
        <v>0</v>
      </c>
      <c r="X294" t="s">
        <v>44</v>
      </c>
      <c r="Y294" t="s">
        <v>44</v>
      </c>
      <c r="AF294" s="5">
        <f t="shared" si="20"/>
        <v>7920.0509249000006</v>
      </c>
      <c r="AG294">
        <f t="shared" si="17"/>
        <v>0</v>
      </c>
      <c r="AH294" s="5">
        <f t="shared" si="18"/>
        <v>7920.0509249000006</v>
      </c>
      <c r="AJ294" t="s">
        <v>54</v>
      </c>
    </row>
    <row r="295" spans="1:36" x14ac:dyDescent="0.3">
      <c r="A295" t="s">
        <v>89</v>
      </c>
      <c r="B295" t="s">
        <v>161</v>
      </c>
      <c r="C295" t="s">
        <v>56</v>
      </c>
      <c r="E295">
        <v>304</v>
      </c>
      <c r="F295" t="s">
        <v>494</v>
      </c>
      <c r="G295" t="s">
        <v>82</v>
      </c>
      <c r="H295" t="s">
        <v>60</v>
      </c>
      <c r="I295" s="4">
        <v>46073</v>
      </c>
      <c r="J295" s="4" t="s">
        <v>44</v>
      </c>
      <c r="K295" t="s">
        <v>61</v>
      </c>
      <c r="L295" t="s">
        <v>42</v>
      </c>
      <c r="M295" t="s">
        <v>43</v>
      </c>
      <c r="N295" s="5">
        <f t="shared" si="19"/>
        <v>4761.6320194999998</v>
      </c>
      <c r="O295" s="5">
        <v>3049.35</v>
      </c>
      <c r="P295" s="5">
        <v>1072.01</v>
      </c>
      <c r="Q295" s="5">
        <v>0</v>
      </c>
      <c r="R295" s="5">
        <v>0</v>
      </c>
      <c r="S295" s="5">
        <v>640.27201949999994</v>
      </c>
      <c r="T295" s="5">
        <v>0</v>
      </c>
      <c r="U295">
        <v>1307.6799999999998</v>
      </c>
      <c r="V295">
        <v>0</v>
      </c>
      <c r="X295" t="s">
        <v>44</v>
      </c>
      <c r="Y295" t="s">
        <v>44</v>
      </c>
      <c r="AF295" s="5">
        <f t="shared" si="20"/>
        <v>6069.3120194999992</v>
      </c>
      <c r="AG295">
        <f t="shared" si="17"/>
        <v>0</v>
      </c>
      <c r="AH295" s="5">
        <f t="shared" si="18"/>
        <v>6069.3120194999992</v>
      </c>
      <c r="AJ295" t="s">
        <v>54</v>
      </c>
    </row>
    <row r="296" spans="1:36" x14ac:dyDescent="0.3">
      <c r="A296" t="s">
        <v>277</v>
      </c>
      <c r="B296" t="s">
        <v>55</v>
      </c>
      <c r="C296" t="s">
        <v>56</v>
      </c>
      <c r="D296" t="s">
        <v>285</v>
      </c>
      <c r="E296">
        <v>305</v>
      </c>
      <c r="F296" t="s">
        <v>495</v>
      </c>
      <c r="G296" t="s">
        <v>82</v>
      </c>
      <c r="H296" t="s">
        <v>68</v>
      </c>
      <c r="I296" s="4">
        <v>46073</v>
      </c>
      <c r="J296" s="4"/>
      <c r="K296" t="s">
        <v>61</v>
      </c>
      <c r="L296" t="s">
        <v>42</v>
      </c>
      <c r="M296" t="s">
        <v>43</v>
      </c>
      <c r="N296" s="5">
        <f t="shared" si="19"/>
        <v>4765.0684174999997</v>
      </c>
      <c r="O296" s="5">
        <v>2302.75</v>
      </c>
      <c r="P296" s="5">
        <v>1978.81</v>
      </c>
      <c r="Q296" s="5">
        <v>0</v>
      </c>
      <c r="R296" s="5">
        <v>0</v>
      </c>
      <c r="S296" s="5">
        <v>483.50841750000001</v>
      </c>
      <c r="T296" s="5">
        <v>0</v>
      </c>
      <c r="U296">
        <v>1354.56</v>
      </c>
      <c r="V296">
        <v>0</v>
      </c>
      <c r="X296" t="s">
        <v>44</v>
      </c>
      <c r="Y296" t="s">
        <v>44</v>
      </c>
      <c r="AF296" s="5">
        <f t="shared" si="20"/>
        <v>6119.6284175000001</v>
      </c>
      <c r="AG296">
        <f t="shared" si="17"/>
        <v>0</v>
      </c>
      <c r="AH296" s="5">
        <f t="shared" si="18"/>
        <v>6119.6284175000001</v>
      </c>
      <c r="AJ296" t="s">
        <v>54</v>
      </c>
    </row>
    <row r="297" spans="1:36" x14ac:dyDescent="0.3">
      <c r="A297" t="s">
        <v>55</v>
      </c>
      <c r="B297" t="s">
        <v>55</v>
      </c>
      <c r="C297" t="s">
        <v>56</v>
      </c>
      <c r="D297" t="s">
        <v>339</v>
      </c>
      <c r="E297">
        <v>306</v>
      </c>
      <c r="F297" t="s">
        <v>496</v>
      </c>
      <c r="G297" t="s">
        <v>59</v>
      </c>
      <c r="H297" t="s">
        <v>60</v>
      </c>
      <c r="I297" s="4">
        <v>46073</v>
      </c>
      <c r="J297" s="4"/>
      <c r="K297" t="s">
        <v>61</v>
      </c>
      <c r="L297" t="s">
        <v>42</v>
      </c>
      <c r="M297" t="s">
        <v>43</v>
      </c>
      <c r="N297" s="5">
        <f t="shared" si="19"/>
        <v>7664.6766752000003</v>
      </c>
      <c r="O297" s="5">
        <v>2801.97</v>
      </c>
      <c r="P297" s="5">
        <v>1317.6399999999999</v>
      </c>
      <c r="Q297" s="5">
        <v>628.62</v>
      </c>
      <c r="R297" s="5">
        <v>1598.17</v>
      </c>
      <c r="S297" s="5">
        <v>1378.2766752000002</v>
      </c>
      <c r="T297" s="5">
        <v>60</v>
      </c>
      <c r="U297">
        <v>1097.96</v>
      </c>
      <c r="V297">
        <v>0</v>
      </c>
      <c r="X297" t="s">
        <v>44</v>
      </c>
      <c r="Y297" t="s">
        <v>44</v>
      </c>
      <c r="AF297" s="5">
        <f t="shared" si="20"/>
        <v>8762.6366751999994</v>
      </c>
      <c r="AG297">
        <f t="shared" si="17"/>
        <v>0</v>
      </c>
      <c r="AH297" s="5">
        <f t="shared" si="18"/>
        <v>8762.6366751999994</v>
      </c>
      <c r="AJ297" t="s">
        <v>54</v>
      </c>
    </row>
    <row r="298" spans="1:36" x14ac:dyDescent="0.3">
      <c r="A298" t="s">
        <v>277</v>
      </c>
      <c r="B298" t="s">
        <v>55</v>
      </c>
      <c r="C298" t="s">
        <v>56</v>
      </c>
      <c r="D298" t="s">
        <v>375</v>
      </c>
      <c r="E298">
        <v>307</v>
      </c>
      <c r="F298" t="s">
        <v>497</v>
      </c>
      <c r="G298" t="s">
        <v>59</v>
      </c>
      <c r="H298" t="s">
        <v>68</v>
      </c>
      <c r="I298" s="4">
        <v>46073</v>
      </c>
      <c r="J298" s="4"/>
      <c r="K298" t="s">
        <v>61</v>
      </c>
      <c r="L298" t="s">
        <v>42</v>
      </c>
      <c r="M298" t="s">
        <v>43</v>
      </c>
      <c r="N298" s="5">
        <f t="shared" si="19"/>
        <v>4775.1196409000004</v>
      </c>
      <c r="O298" s="5">
        <v>2801.97</v>
      </c>
      <c r="P298" s="5">
        <v>1384.82</v>
      </c>
      <c r="Q298" s="5">
        <v>0</v>
      </c>
      <c r="R298" s="5">
        <v>0</v>
      </c>
      <c r="S298" s="5">
        <v>588.32964089999996</v>
      </c>
      <c r="T298" s="5">
        <v>0</v>
      </c>
      <c r="U298">
        <v>1423.6399999999999</v>
      </c>
      <c r="V298">
        <v>0</v>
      </c>
      <c r="X298" t="s">
        <v>44</v>
      </c>
      <c r="Y298" t="s">
        <v>44</v>
      </c>
      <c r="AF298" s="5">
        <f t="shared" si="20"/>
        <v>6198.7596408999998</v>
      </c>
      <c r="AG298">
        <f t="shared" si="17"/>
        <v>0</v>
      </c>
      <c r="AH298" s="5">
        <f t="shared" si="18"/>
        <v>6198.7596408999998</v>
      </c>
      <c r="AJ298" t="s">
        <v>54</v>
      </c>
    </row>
    <row r="299" spans="1:36" x14ac:dyDescent="0.3">
      <c r="A299" t="s">
        <v>48</v>
      </c>
      <c r="B299" t="s">
        <v>51</v>
      </c>
      <c r="C299" t="s">
        <v>37</v>
      </c>
      <c r="E299">
        <v>308</v>
      </c>
      <c r="F299" t="s">
        <v>498</v>
      </c>
      <c r="G299" t="s">
        <v>104</v>
      </c>
      <c r="H299" t="s">
        <v>40</v>
      </c>
      <c r="I299" s="4">
        <v>46083</v>
      </c>
      <c r="J299" s="4">
        <v>46085</v>
      </c>
      <c r="K299" t="s">
        <v>41</v>
      </c>
      <c r="L299" t="s">
        <v>42</v>
      </c>
      <c r="M299" t="s">
        <v>43</v>
      </c>
      <c r="N299" s="5">
        <f t="shared" si="19"/>
        <v>3244.2925610000002</v>
      </c>
      <c r="O299" s="5">
        <v>2681.3</v>
      </c>
      <c r="P299" s="5">
        <v>0</v>
      </c>
      <c r="Q299" s="5">
        <v>0</v>
      </c>
      <c r="R299" s="5">
        <v>0</v>
      </c>
      <c r="S299" s="5">
        <v>562.99256100000002</v>
      </c>
      <c r="T299" s="5">
        <v>0</v>
      </c>
      <c r="U299">
        <v>0</v>
      </c>
      <c r="V299">
        <v>0</v>
      </c>
      <c r="X299">
        <v>0</v>
      </c>
      <c r="Y299" t="s">
        <v>44</v>
      </c>
      <c r="AF299" s="5">
        <f t="shared" si="20"/>
        <v>3244.2925610000002</v>
      </c>
      <c r="AG299">
        <f t="shared" si="17"/>
        <v>0</v>
      </c>
      <c r="AH299" s="5">
        <f t="shared" si="18"/>
        <v>3244.2925610000002</v>
      </c>
      <c r="AJ299" t="s">
        <v>54</v>
      </c>
    </row>
    <row r="300" spans="1:36" x14ac:dyDescent="0.3">
      <c r="A300" t="s">
        <v>55</v>
      </c>
      <c r="B300" t="s">
        <v>55</v>
      </c>
      <c r="C300" t="s">
        <v>56</v>
      </c>
      <c r="E300">
        <v>309</v>
      </c>
      <c r="F300" t="s">
        <v>499</v>
      </c>
      <c r="G300" t="s">
        <v>82</v>
      </c>
      <c r="H300" t="s">
        <v>60</v>
      </c>
      <c r="I300" s="4">
        <v>46086</v>
      </c>
      <c r="J300" s="4"/>
      <c r="K300" t="s">
        <v>61</v>
      </c>
      <c r="L300" t="s">
        <v>42</v>
      </c>
      <c r="M300" t="s">
        <v>43</v>
      </c>
      <c r="N300" s="5">
        <f t="shared" si="19"/>
        <v>4697.5020919999997</v>
      </c>
      <c r="O300" s="5">
        <v>2302.75</v>
      </c>
      <c r="P300" s="5">
        <v>1190.44</v>
      </c>
      <c r="Q300" s="5">
        <v>338.71999999999997</v>
      </c>
      <c r="R300" s="5">
        <v>311.04000000000002</v>
      </c>
      <c r="S300" s="5">
        <v>727.25209200000006</v>
      </c>
      <c r="T300" s="5">
        <v>172.7</v>
      </c>
      <c r="U300">
        <v>1231.6799999999998</v>
      </c>
      <c r="V300">
        <v>0</v>
      </c>
      <c r="X300" t="s">
        <v>44</v>
      </c>
      <c r="Y300" t="s">
        <v>44</v>
      </c>
      <c r="AF300" s="5">
        <f t="shared" si="20"/>
        <v>5929.1820919999991</v>
      </c>
      <c r="AG300">
        <f t="shared" si="17"/>
        <v>0</v>
      </c>
      <c r="AH300" s="5">
        <f t="shared" si="18"/>
        <v>5929.1820919999991</v>
      </c>
      <c r="AJ300" t="s">
        <v>54</v>
      </c>
    </row>
    <row r="301" spans="1:36" x14ac:dyDescent="0.3">
      <c r="A301" t="s">
        <v>55</v>
      </c>
      <c r="B301" t="s">
        <v>55</v>
      </c>
      <c r="C301" t="s">
        <v>56</v>
      </c>
      <c r="E301">
        <v>310</v>
      </c>
      <c r="F301" t="s">
        <v>500</v>
      </c>
      <c r="G301" t="s">
        <v>82</v>
      </c>
      <c r="H301" t="s">
        <v>68</v>
      </c>
      <c r="I301" s="4">
        <v>46086</v>
      </c>
      <c r="J301" s="4" t="s">
        <v>44</v>
      </c>
      <c r="K301" t="s">
        <v>61</v>
      </c>
      <c r="L301" t="s">
        <v>42</v>
      </c>
      <c r="M301" t="s">
        <v>43</v>
      </c>
      <c r="N301" s="5">
        <f t="shared" si="19"/>
        <v>6616.6719259000001</v>
      </c>
      <c r="O301" s="5">
        <v>2302.75</v>
      </c>
      <c r="P301" s="5">
        <v>2096.1999999999998</v>
      </c>
      <c r="Q301" s="5">
        <v>930.26</v>
      </c>
      <c r="R301" s="5">
        <v>511.95</v>
      </c>
      <c r="S301" s="5">
        <v>1027.2719259</v>
      </c>
      <c r="T301" s="5">
        <v>251.76</v>
      </c>
      <c r="U301">
        <v>1443.8799999999997</v>
      </c>
      <c r="V301">
        <v>0</v>
      </c>
      <c r="X301" t="s">
        <v>44</v>
      </c>
      <c r="Y301" t="s">
        <v>44</v>
      </c>
      <c r="AF301" s="5">
        <f t="shared" si="20"/>
        <v>8060.5519258999993</v>
      </c>
      <c r="AG301">
        <f t="shared" si="17"/>
        <v>0</v>
      </c>
      <c r="AH301" s="5">
        <f t="shared" si="18"/>
        <v>8060.5519258999993</v>
      </c>
      <c r="AJ301" t="s">
        <v>54</v>
      </c>
    </row>
    <row r="302" spans="1:36" x14ac:dyDescent="0.3">
      <c r="A302" t="s">
        <v>48</v>
      </c>
      <c r="B302" t="s">
        <v>48</v>
      </c>
      <c r="C302" t="s">
        <v>37</v>
      </c>
      <c r="D302" t="s">
        <v>317</v>
      </c>
      <c r="E302">
        <v>311</v>
      </c>
      <c r="F302" t="s">
        <v>501</v>
      </c>
      <c r="G302" t="s">
        <v>39</v>
      </c>
      <c r="H302" t="s">
        <v>60</v>
      </c>
      <c r="I302" s="4">
        <v>46083</v>
      </c>
      <c r="J302" s="4"/>
      <c r="K302" t="s">
        <v>61</v>
      </c>
      <c r="L302" t="s">
        <v>42</v>
      </c>
      <c r="M302" t="s">
        <v>43</v>
      </c>
      <c r="N302" s="5">
        <f t="shared" si="19"/>
        <v>4713.7454341000002</v>
      </c>
      <c r="O302" s="5">
        <v>3195.53</v>
      </c>
      <c r="P302" s="5">
        <v>847.25</v>
      </c>
      <c r="Q302" s="5">
        <v>0</v>
      </c>
      <c r="R302" s="5">
        <v>0</v>
      </c>
      <c r="S302" s="5">
        <v>670.96543410000004</v>
      </c>
      <c r="T302" s="5">
        <v>0</v>
      </c>
      <c r="U302">
        <v>1325.4399999999996</v>
      </c>
      <c r="V302">
        <v>0</v>
      </c>
      <c r="X302" t="s">
        <v>44</v>
      </c>
      <c r="Y302" t="s">
        <v>44</v>
      </c>
      <c r="AF302" s="5">
        <f t="shared" si="20"/>
        <v>6039.1854340999998</v>
      </c>
      <c r="AG302">
        <f t="shared" si="17"/>
        <v>0</v>
      </c>
      <c r="AH302" s="5">
        <f t="shared" si="18"/>
        <v>6039.1854340999998</v>
      </c>
      <c r="AJ302" t="s">
        <v>47</v>
      </c>
    </row>
    <row r="303" spans="1:36" x14ac:dyDescent="0.3">
      <c r="A303" t="s">
        <v>55</v>
      </c>
      <c r="B303" t="s">
        <v>55</v>
      </c>
      <c r="C303" t="s">
        <v>56</v>
      </c>
      <c r="E303">
        <v>312</v>
      </c>
      <c r="F303" t="s">
        <v>502</v>
      </c>
      <c r="G303" t="s">
        <v>59</v>
      </c>
      <c r="H303" t="s">
        <v>60</v>
      </c>
      <c r="I303" s="4">
        <v>46086</v>
      </c>
      <c r="J303" s="4" t="s">
        <v>44</v>
      </c>
      <c r="K303" t="s">
        <v>61</v>
      </c>
      <c r="L303" t="s">
        <v>42</v>
      </c>
      <c r="M303" t="s">
        <v>43</v>
      </c>
      <c r="N303" s="5">
        <f t="shared" si="19"/>
        <v>7713.0554400000001</v>
      </c>
      <c r="O303" s="5">
        <v>2801.97</v>
      </c>
      <c r="P303" s="5">
        <v>1344.71</v>
      </c>
      <c r="Q303" s="5">
        <v>329.89</v>
      </c>
      <c r="R303" s="5">
        <v>1794.7800000000002</v>
      </c>
      <c r="S303" s="5">
        <v>1501.70544</v>
      </c>
      <c r="T303" s="5">
        <v>60</v>
      </c>
      <c r="U303">
        <v>1316.5599999999997</v>
      </c>
      <c r="V303">
        <v>0</v>
      </c>
      <c r="X303" t="s">
        <v>44</v>
      </c>
      <c r="Y303" t="s">
        <v>44</v>
      </c>
      <c r="AF303" s="5">
        <f t="shared" si="20"/>
        <v>9029.6154399999996</v>
      </c>
      <c r="AG303">
        <f t="shared" si="17"/>
        <v>0</v>
      </c>
      <c r="AH303" s="5">
        <f t="shared" si="18"/>
        <v>9029.6154399999996</v>
      </c>
      <c r="AJ303" t="s">
        <v>54</v>
      </c>
    </row>
    <row r="304" spans="1:36" x14ac:dyDescent="0.3">
      <c r="A304" t="s">
        <v>55</v>
      </c>
      <c r="B304" t="s">
        <v>55</v>
      </c>
      <c r="C304" t="s">
        <v>56</v>
      </c>
      <c r="E304">
        <v>313</v>
      </c>
      <c r="F304" t="s">
        <v>503</v>
      </c>
      <c r="G304" t="s">
        <v>82</v>
      </c>
      <c r="H304" t="s">
        <v>40</v>
      </c>
      <c r="I304" s="4">
        <v>46086</v>
      </c>
      <c r="J304" s="4" t="s">
        <v>44</v>
      </c>
      <c r="K304" t="s">
        <v>41</v>
      </c>
      <c r="L304" t="s">
        <v>42</v>
      </c>
      <c r="M304" t="s">
        <v>43</v>
      </c>
      <c r="N304" s="5">
        <f t="shared" si="19"/>
        <v>4039.5099121999992</v>
      </c>
      <c r="O304" s="5">
        <v>2189.9699999999998</v>
      </c>
      <c r="P304" s="5">
        <v>0</v>
      </c>
      <c r="Q304" s="5">
        <v>518.64</v>
      </c>
      <c r="R304" s="5">
        <v>667.18</v>
      </c>
      <c r="S304" s="5">
        <v>1082.6599122</v>
      </c>
      <c r="T304" s="5">
        <v>418.94000000000005</v>
      </c>
      <c r="U304">
        <v>0</v>
      </c>
      <c r="V304">
        <v>0</v>
      </c>
      <c r="X304" t="s">
        <v>44</v>
      </c>
      <c r="Y304" t="s">
        <v>44</v>
      </c>
      <c r="AF304" s="5">
        <f t="shared" si="20"/>
        <v>4039.5099121999992</v>
      </c>
      <c r="AG304">
        <f t="shared" si="17"/>
        <v>0</v>
      </c>
      <c r="AH304" s="5">
        <f t="shared" si="18"/>
        <v>4039.5099121999992</v>
      </c>
      <c r="AJ304" t="s">
        <v>54</v>
      </c>
    </row>
    <row r="305" spans="1:36" x14ac:dyDescent="0.3">
      <c r="A305" t="s">
        <v>55</v>
      </c>
      <c r="B305" t="s">
        <v>55</v>
      </c>
      <c r="C305" t="s">
        <v>56</v>
      </c>
      <c r="E305">
        <v>314</v>
      </c>
      <c r="F305" t="s">
        <v>504</v>
      </c>
      <c r="G305" t="s">
        <v>133</v>
      </c>
      <c r="H305" t="s">
        <v>60</v>
      </c>
      <c r="I305" s="4">
        <v>46086</v>
      </c>
      <c r="J305" s="4"/>
      <c r="K305" t="s">
        <v>61</v>
      </c>
      <c r="L305" t="s">
        <v>42</v>
      </c>
      <c r="M305" t="s">
        <v>43</v>
      </c>
      <c r="N305" s="5">
        <f t="shared" si="19"/>
        <v>11014.548313499999</v>
      </c>
      <c r="O305" s="5">
        <v>4681.28</v>
      </c>
      <c r="P305" s="5">
        <v>2271.02</v>
      </c>
      <c r="Q305" s="5">
        <v>452.90999999999997</v>
      </c>
      <c r="R305" s="5">
        <v>2091.9499999999998</v>
      </c>
      <c r="S305" s="5">
        <v>1940.0283135</v>
      </c>
      <c r="T305" s="5">
        <v>422.64</v>
      </c>
      <c r="U305">
        <v>1320.9999999999998</v>
      </c>
      <c r="V305">
        <v>0</v>
      </c>
      <c r="X305" t="s">
        <v>44</v>
      </c>
      <c r="Y305" t="s">
        <v>44</v>
      </c>
      <c r="Z305">
        <v>14000</v>
      </c>
      <c r="AD305" t="s">
        <v>88</v>
      </c>
      <c r="AF305" s="5">
        <f t="shared" si="20"/>
        <v>12335.548313499999</v>
      </c>
      <c r="AG305">
        <f t="shared" si="17"/>
        <v>14000</v>
      </c>
      <c r="AH305" s="5">
        <f t="shared" si="18"/>
        <v>26335.548313499999</v>
      </c>
      <c r="AJ305" t="s">
        <v>54</v>
      </c>
    </row>
    <row r="306" spans="1:36" x14ac:dyDescent="0.3">
      <c r="A306" t="s">
        <v>89</v>
      </c>
      <c r="B306" t="s">
        <v>161</v>
      </c>
      <c r="C306" t="s">
        <v>56</v>
      </c>
      <c r="E306">
        <v>315</v>
      </c>
      <c r="F306" t="s">
        <v>505</v>
      </c>
      <c r="G306" t="s">
        <v>82</v>
      </c>
      <c r="H306" t="s">
        <v>60</v>
      </c>
      <c r="I306" s="4">
        <v>46086</v>
      </c>
      <c r="J306" s="4"/>
      <c r="K306" t="s">
        <v>61</v>
      </c>
      <c r="L306" t="s">
        <v>42</v>
      </c>
      <c r="M306" t="s">
        <v>43</v>
      </c>
      <c r="N306" s="5">
        <f t="shared" si="19"/>
        <v>4563.9724034999999</v>
      </c>
      <c r="O306" s="5">
        <v>2302.75</v>
      </c>
      <c r="P306" s="5">
        <v>820.57999999999993</v>
      </c>
      <c r="Q306" s="5">
        <v>160</v>
      </c>
      <c r="R306" s="5">
        <v>600.86</v>
      </c>
      <c r="S306" s="5">
        <v>931.54240350000009</v>
      </c>
      <c r="T306" s="5">
        <v>251.76</v>
      </c>
      <c r="U306">
        <v>1260.7999999999997</v>
      </c>
      <c r="V306">
        <v>0</v>
      </c>
      <c r="X306" t="s">
        <v>44</v>
      </c>
      <c r="Y306" t="s">
        <v>44</v>
      </c>
      <c r="AF306" s="5">
        <f t="shared" si="20"/>
        <v>5824.7724034999992</v>
      </c>
      <c r="AG306">
        <f t="shared" si="17"/>
        <v>0</v>
      </c>
      <c r="AH306" s="5">
        <f t="shared" si="18"/>
        <v>5824.7724034999992</v>
      </c>
      <c r="AJ306" t="s">
        <v>54</v>
      </c>
    </row>
    <row r="307" spans="1:36" x14ac:dyDescent="0.3">
      <c r="A307" t="s">
        <v>55</v>
      </c>
      <c r="B307" t="s">
        <v>55</v>
      </c>
      <c r="C307" t="s">
        <v>56</v>
      </c>
      <c r="E307">
        <v>316</v>
      </c>
      <c r="F307" t="s">
        <v>506</v>
      </c>
      <c r="G307" t="s">
        <v>133</v>
      </c>
      <c r="H307" t="s">
        <v>60</v>
      </c>
      <c r="I307" s="4">
        <v>46086</v>
      </c>
      <c r="J307" s="4"/>
      <c r="K307" t="s">
        <v>61</v>
      </c>
      <c r="L307" t="s">
        <v>42</v>
      </c>
      <c r="M307" t="s">
        <v>43</v>
      </c>
      <c r="N307" s="5">
        <f t="shared" si="19"/>
        <v>8046.5283615999997</v>
      </c>
      <c r="O307" s="5">
        <v>4681.28</v>
      </c>
      <c r="P307" s="5">
        <v>2382.3200000000002</v>
      </c>
      <c r="Q307" s="5">
        <v>0</v>
      </c>
      <c r="R307" s="5">
        <v>0</v>
      </c>
      <c r="S307" s="5">
        <v>982.92836159999979</v>
      </c>
      <c r="T307" s="5">
        <v>0</v>
      </c>
      <c r="U307">
        <v>1291.8799999999999</v>
      </c>
      <c r="V307">
        <v>0</v>
      </c>
      <c r="X307" t="s">
        <v>44</v>
      </c>
      <c r="Y307" t="s">
        <v>44</v>
      </c>
      <c r="Z307">
        <v>15000</v>
      </c>
      <c r="AD307" t="s">
        <v>88</v>
      </c>
      <c r="AF307" s="5">
        <f t="shared" si="20"/>
        <v>9338.4083615999989</v>
      </c>
      <c r="AG307">
        <f t="shared" si="17"/>
        <v>15000</v>
      </c>
      <c r="AH307" s="5">
        <f t="shared" si="18"/>
        <v>24338.408361599999</v>
      </c>
      <c r="AJ307" t="s">
        <v>54</v>
      </c>
    </row>
    <row r="308" spans="1:36" x14ac:dyDescent="0.3">
      <c r="A308" t="s">
        <v>55</v>
      </c>
      <c r="B308" t="s">
        <v>55</v>
      </c>
      <c r="C308" t="s">
        <v>56</v>
      </c>
      <c r="E308">
        <v>317</v>
      </c>
      <c r="F308" t="s">
        <v>507</v>
      </c>
      <c r="G308" t="s">
        <v>133</v>
      </c>
      <c r="H308" t="s">
        <v>40</v>
      </c>
      <c r="I308" s="4">
        <v>46086</v>
      </c>
      <c r="J308" s="4">
        <v>46182</v>
      </c>
      <c r="K308" t="s">
        <v>41</v>
      </c>
      <c r="L308" t="s">
        <v>42</v>
      </c>
      <c r="M308" t="s">
        <v>43</v>
      </c>
      <c r="N308" s="5">
        <f t="shared" si="19"/>
        <v>-7856.9435599999997</v>
      </c>
      <c r="O308" s="5">
        <v>4452</v>
      </c>
      <c r="P308" s="5">
        <v>2183.66</v>
      </c>
      <c r="Q308" s="5">
        <v>0</v>
      </c>
      <c r="R308" s="5">
        <v>0</v>
      </c>
      <c r="S308" s="5">
        <v>934.78643999999997</v>
      </c>
      <c r="T308" s="5">
        <v>15427.39</v>
      </c>
      <c r="U308">
        <v>0</v>
      </c>
      <c r="V308">
        <v>0</v>
      </c>
      <c r="X308">
        <v>0</v>
      </c>
      <c r="Y308">
        <v>0</v>
      </c>
      <c r="Z308">
        <v>0</v>
      </c>
      <c r="AF308" s="5">
        <f t="shared" si="20"/>
        <v>-7856.9435599999997</v>
      </c>
      <c r="AG308">
        <f t="shared" si="17"/>
        <v>0</v>
      </c>
      <c r="AH308" s="5">
        <f t="shared" si="18"/>
        <v>-7856.9435599999997</v>
      </c>
      <c r="AJ308" t="s">
        <v>54</v>
      </c>
    </row>
    <row r="309" spans="1:36" x14ac:dyDescent="0.3">
      <c r="A309" t="s">
        <v>55</v>
      </c>
      <c r="B309" t="s">
        <v>55</v>
      </c>
      <c r="C309" t="s">
        <v>56</v>
      </c>
      <c r="E309">
        <v>318</v>
      </c>
      <c r="F309" t="s">
        <v>508</v>
      </c>
      <c r="G309" t="s">
        <v>82</v>
      </c>
      <c r="H309" t="s">
        <v>40</v>
      </c>
      <c r="I309" s="4">
        <v>46086</v>
      </c>
      <c r="J309" s="4">
        <v>46175</v>
      </c>
      <c r="K309" t="s">
        <v>41</v>
      </c>
      <c r="L309" t="s">
        <v>42</v>
      </c>
      <c r="M309" t="s">
        <v>43</v>
      </c>
      <c r="N309" s="5">
        <f t="shared" si="19"/>
        <v>3293.4242340999995</v>
      </c>
      <c r="O309" s="5">
        <v>2189.9699999999998</v>
      </c>
      <c r="P309" s="5">
        <v>0</v>
      </c>
      <c r="Q309" s="5">
        <v>384.2</v>
      </c>
      <c r="R309" s="5">
        <v>301.89</v>
      </c>
      <c r="S309" s="5">
        <v>679.36423409999998</v>
      </c>
      <c r="T309" s="5">
        <v>262</v>
      </c>
      <c r="U309">
        <v>0</v>
      </c>
      <c r="V309">
        <v>0</v>
      </c>
      <c r="X309" t="s">
        <v>44</v>
      </c>
      <c r="Y309" t="s">
        <v>44</v>
      </c>
      <c r="AF309" s="5">
        <f t="shared" si="20"/>
        <v>3293.4242340999995</v>
      </c>
      <c r="AG309">
        <f t="shared" si="17"/>
        <v>0</v>
      </c>
      <c r="AH309" s="5">
        <f t="shared" si="18"/>
        <v>3293.4242340999995</v>
      </c>
      <c r="AJ309" t="s">
        <v>54</v>
      </c>
    </row>
    <row r="310" spans="1:36" x14ac:dyDescent="0.3">
      <c r="A310" t="s">
        <v>277</v>
      </c>
      <c r="B310" t="s">
        <v>55</v>
      </c>
      <c r="C310" t="s">
        <v>56</v>
      </c>
      <c r="E310">
        <v>319</v>
      </c>
      <c r="F310" t="s">
        <v>509</v>
      </c>
      <c r="G310" t="s">
        <v>59</v>
      </c>
      <c r="H310" t="s">
        <v>68</v>
      </c>
      <c r="I310" s="4">
        <v>46086</v>
      </c>
      <c r="J310" s="4"/>
      <c r="K310" t="s">
        <v>61</v>
      </c>
      <c r="L310" t="s">
        <v>42</v>
      </c>
      <c r="M310" t="s">
        <v>43</v>
      </c>
      <c r="N310" s="5">
        <f t="shared" si="19"/>
        <v>7049.8754454000009</v>
      </c>
      <c r="O310" s="5">
        <v>2801.97</v>
      </c>
      <c r="P310" s="5">
        <v>1460.2600000000002</v>
      </c>
      <c r="Q310" s="5">
        <v>1316.18</v>
      </c>
      <c r="R310" s="5">
        <v>496.35</v>
      </c>
      <c r="S310" s="5">
        <v>1237.1054454</v>
      </c>
      <c r="T310" s="5">
        <v>261.99</v>
      </c>
      <c r="U310">
        <v>1457.1999999999996</v>
      </c>
      <c r="V310">
        <v>0</v>
      </c>
      <c r="X310" t="s">
        <v>44</v>
      </c>
      <c r="Y310" t="s">
        <v>44</v>
      </c>
      <c r="AF310" s="5">
        <f t="shared" si="20"/>
        <v>8507.0754453999998</v>
      </c>
      <c r="AG310">
        <f t="shared" si="17"/>
        <v>0</v>
      </c>
      <c r="AH310" s="5">
        <f t="shared" si="18"/>
        <v>8507.0754453999998</v>
      </c>
      <c r="AJ310" t="s">
        <v>54</v>
      </c>
    </row>
    <row r="311" spans="1:36" x14ac:dyDescent="0.3">
      <c r="A311" t="s">
        <v>55</v>
      </c>
      <c r="B311" t="s">
        <v>55</v>
      </c>
      <c r="C311" t="s">
        <v>56</v>
      </c>
      <c r="E311">
        <v>320</v>
      </c>
      <c r="F311" t="s">
        <v>510</v>
      </c>
      <c r="G311" t="s">
        <v>82</v>
      </c>
      <c r="H311" t="s">
        <v>60</v>
      </c>
      <c r="I311" s="4">
        <v>46086</v>
      </c>
      <c r="J311" s="4"/>
      <c r="K311" t="s">
        <v>61</v>
      </c>
      <c r="L311" t="s">
        <v>42</v>
      </c>
      <c r="M311" t="s">
        <v>43</v>
      </c>
      <c r="N311" s="5">
        <f t="shared" si="19"/>
        <v>4293.5884175000001</v>
      </c>
      <c r="O311" s="5">
        <v>2302.75</v>
      </c>
      <c r="P311" s="5">
        <v>1507.33</v>
      </c>
      <c r="Q311" s="5">
        <v>0</v>
      </c>
      <c r="R311" s="5">
        <v>0</v>
      </c>
      <c r="S311" s="5">
        <v>483.50841750000001</v>
      </c>
      <c r="T311" s="5">
        <v>0</v>
      </c>
      <c r="U311">
        <v>1298.8</v>
      </c>
      <c r="V311">
        <v>0</v>
      </c>
      <c r="X311" t="s">
        <v>44</v>
      </c>
      <c r="Y311" t="s">
        <v>44</v>
      </c>
      <c r="AF311" s="5">
        <f t="shared" si="20"/>
        <v>5592.3884175000003</v>
      </c>
      <c r="AG311">
        <f t="shared" si="17"/>
        <v>0</v>
      </c>
      <c r="AH311" s="5">
        <f t="shared" si="18"/>
        <v>5592.3884175000003</v>
      </c>
      <c r="AJ311" t="s">
        <v>54</v>
      </c>
    </row>
    <row r="312" spans="1:36" x14ac:dyDescent="0.3">
      <c r="A312" t="s">
        <v>55</v>
      </c>
      <c r="B312" t="s">
        <v>55</v>
      </c>
      <c r="C312" t="s">
        <v>56</v>
      </c>
      <c r="E312">
        <v>322</v>
      </c>
      <c r="F312" t="s">
        <v>511</v>
      </c>
      <c r="G312" t="s">
        <v>59</v>
      </c>
      <c r="H312" t="s">
        <v>40</v>
      </c>
      <c r="I312" s="4">
        <v>46086</v>
      </c>
      <c r="J312" s="4" t="s">
        <v>44</v>
      </c>
      <c r="K312" t="s">
        <v>41</v>
      </c>
      <c r="L312" t="s">
        <v>42</v>
      </c>
      <c r="M312" t="s">
        <v>43</v>
      </c>
      <c r="N312" s="5">
        <f t="shared" si="19"/>
        <v>3224.2554577999999</v>
      </c>
      <c r="O312" s="5">
        <v>2664.74</v>
      </c>
      <c r="P312" s="5">
        <v>0</v>
      </c>
      <c r="Q312" s="5">
        <v>0</v>
      </c>
      <c r="R312" s="5">
        <v>0</v>
      </c>
      <c r="S312" s="5">
        <v>559.51545779999992</v>
      </c>
      <c r="T312" s="5">
        <v>0</v>
      </c>
      <c r="U312">
        <v>0</v>
      </c>
      <c r="V312">
        <v>0</v>
      </c>
      <c r="X312" t="s">
        <v>44</v>
      </c>
      <c r="Y312" t="s">
        <v>44</v>
      </c>
      <c r="AF312" s="5">
        <f t="shared" si="20"/>
        <v>3224.2554577999999</v>
      </c>
      <c r="AG312">
        <f t="shared" si="17"/>
        <v>0</v>
      </c>
      <c r="AH312" s="5">
        <f t="shared" si="18"/>
        <v>3224.2554577999999</v>
      </c>
      <c r="AJ312" t="s">
        <v>54</v>
      </c>
    </row>
    <row r="313" spans="1:36" x14ac:dyDescent="0.3">
      <c r="A313" t="s">
        <v>89</v>
      </c>
      <c r="B313" t="s">
        <v>161</v>
      </c>
      <c r="C313" t="s">
        <v>56</v>
      </c>
      <c r="E313">
        <v>323</v>
      </c>
      <c r="F313" t="s">
        <v>512</v>
      </c>
      <c r="G313" t="s">
        <v>82</v>
      </c>
      <c r="H313" t="s">
        <v>60</v>
      </c>
      <c r="I313" s="4">
        <v>46086</v>
      </c>
      <c r="J313" s="4"/>
      <c r="K313" t="s">
        <v>61</v>
      </c>
      <c r="L313" t="s">
        <v>42</v>
      </c>
      <c r="M313" t="s">
        <v>43</v>
      </c>
      <c r="N313" s="5">
        <f t="shared" si="19"/>
        <v>4935.4154922999996</v>
      </c>
      <c r="O313" s="5">
        <v>2302.75</v>
      </c>
      <c r="P313" s="5">
        <v>710.08</v>
      </c>
      <c r="Q313" s="5">
        <v>499.27000000000004</v>
      </c>
      <c r="R313" s="5">
        <v>531.25</v>
      </c>
      <c r="S313" s="5">
        <v>968.71549230000005</v>
      </c>
      <c r="T313" s="5">
        <v>76.650000000000006</v>
      </c>
      <c r="U313">
        <v>1303.2399999999998</v>
      </c>
      <c r="V313">
        <v>0</v>
      </c>
      <c r="X313" t="s">
        <v>44</v>
      </c>
      <c r="Y313" t="s">
        <v>44</v>
      </c>
      <c r="AF313" s="5">
        <f t="shared" si="20"/>
        <v>6238.6554922999994</v>
      </c>
      <c r="AG313">
        <f t="shared" si="17"/>
        <v>0</v>
      </c>
      <c r="AH313" s="5">
        <f t="shared" si="18"/>
        <v>6238.6554922999994</v>
      </c>
      <c r="AJ313" t="s">
        <v>54</v>
      </c>
    </row>
    <row r="314" spans="1:36" x14ac:dyDescent="0.3">
      <c r="A314" t="s">
        <v>277</v>
      </c>
      <c r="B314" t="s">
        <v>55</v>
      </c>
      <c r="C314" t="s">
        <v>56</v>
      </c>
      <c r="E314">
        <v>325</v>
      </c>
      <c r="F314" t="s">
        <v>513</v>
      </c>
      <c r="G314" t="s">
        <v>139</v>
      </c>
      <c r="H314" t="s">
        <v>68</v>
      </c>
      <c r="I314" s="4">
        <v>46086</v>
      </c>
      <c r="J314" s="4"/>
      <c r="K314" t="s">
        <v>61</v>
      </c>
      <c r="L314" t="s">
        <v>42</v>
      </c>
      <c r="M314" t="s">
        <v>43</v>
      </c>
      <c r="N314" s="5">
        <f t="shared" si="19"/>
        <v>5660.3240334999991</v>
      </c>
      <c r="O314" s="5">
        <v>3356.8</v>
      </c>
      <c r="P314" s="5">
        <v>1071.3499999999999</v>
      </c>
      <c r="Q314" s="5">
        <v>316.57000000000005</v>
      </c>
      <c r="R314" s="5">
        <v>202.58999999999997</v>
      </c>
      <c r="S314" s="5">
        <v>780.15403350000008</v>
      </c>
      <c r="T314" s="5">
        <v>67.14</v>
      </c>
      <c r="U314">
        <v>1320.9999999999998</v>
      </c>
      <c r="V314">
        <v>0</v>
      </c>
      <c r="X314" t="s">
        <v>44</v>
      </c>
      <c r="Y314" t="s">
        <v>44</v>
      </c>
      <c r="Z314">
        <v>10000</v>
      </c>
      <c r="AD314" t="s">
        <v>65</v>
      </c>
      <c r="AE314" t="s">
        <v>46</v>
      </c>
      <c r="AF314" s="5">
        <f t="shared" si="20"/>
        <v>6981.3240334999991</v>
      </c>
      <c r="AG314">
        <f t="shared" si="17"/>
        <v>10000</v>
      </c>
      <c r="AH314" s="5">
        <f t="shared" si="18"/>
        <v>16981.324033500001</v>
      </c>
      <c r="AJ314" t="s">
        <v>54</v>
      </c>
    </row>
    <row r="315" spans="1:36" x14ac:dyDescent="0.3">
      <c r="A315" t="s">
        <v>89</v>
      </c>
      <c r="B315" t="s">
        <v>161</v>
      </c>
      <c r="C315" t="s">
        <v>56</v>
      </c>
      <c r="E315">
        <v>326</v>
      </c>
      <c r="F315" t="s">
        <v>514</v>
      </c>
      <c r="G315" t="s">
        <v>64</v>
      </c>
      <c r="H315" t="s">
        <v>60</v>
      </c>
      <c r="I315" s="4">
        <v>46086</v>
      </c>
      <c r="J315" s="4" t="s">
        <v>44</v>
      </c>
      <c r="K315" t="s">
        <v>61</v>
      </c>
      <c r="L315" t="s">
        <v>42</v>
      </c>
      <c r="M315" t="s">
        <v>43</v>
      </c>
      <c r="N315" s="5">
        <f t="shared" si="19"/>
        <v>4425.5920194999999</v>
      </c>
      <c r="O315" s="5">
        <v>3049.35</v>
      </c>
      <c r="P315" s="5">
        <v>735.96999999999991</v>
      </c>
      <c r="Q315" s="5">
        <v>0</v>
      </c>
      <c r="R315" s="5">
        <v>0</v>
      </c>
      <c r="S315" s="5">
        <v>640.27201949999994</v>
      </c>
      <c r="T315" s="5">
        <v>0</v>
      </c>
      <c r="U315">
        <v>1260.8</v>
      </c>
      <c r="V315">
        <v>0</v>
      </c>
      <c r="X315" t="s">
        <v>44</v>
      </c>
      <c r="Y315" t="s">
        <v>44</v>
      </c>
      <c r="Z315">
        <v>5000</v>
      </c>
      <c r="AD315" t="s">
        <v>65</v>
      </c>
      <c r="AF315" s="5">
        <f t="shared" si="20"/>
        <v>5686.3920195000001</v>
      </c>
      <c r="AG315">
        <f t="shared" si="17"/>
        <v>5000</v>
      </c>
      <c r="AH315" s="5">
        <f t="shared" si="18"/>
        <v>10686.392019499999</v>
      </c>
      <c r="AJ315" t="s">
        <v>54</v>
      </c>
    </row>
    <row r="316" spans="1:36" x14ac:dyDescent="0.3">
      <c r="A316" t="s">
        <v>55</v>
      </c>
      <c r="B316" t="s">
        <v>55</v>
      </c>
      <c r="C316" t="s">
        <v>56</v>
      </c>
      <c r="E316">
        <v>327</v>
      </c>
      <c r="F316" t="s">
        <v>515</v>
      </c>
      <c r="G316" t="s">
        <v>139</v>
      </c>
      <c r="H316" t="s">
        <v>60</v>
      </c>
      <c r="I316" s="4">
        <v>46086</v>
      </c>
      <c r="J316" s="4"/>
      <c r="K316" t="s">
        <v>61</v>
      </c>
      <c r="L316" t="s">
        <v>42</v>
      </c>
      <c r="M316" t="s">
        <v>43</v>
      </c>
      <c r="N316" s="5">
        <f t="shared" si="19"/>
        <v>5791.477296</v>
      </c>
      <c r="O316" s="5">
        <v>3356.8</v>
      </c>
      <c r="P316" s="5">
        <v>1729.85</v>
      </c>
      <c r="Q316" s="5">
        <v>0</v>
      </c>
      <c r="R316" s="5">
        <v>0</v>
      </c>
      <c r="S316" s="5">
        <v>704.82729600000005</v>
      </c>
      <c r="T316" s="5">
        <v>0</v>
      </c>
      <c r="U316">
        <v>1354.56</v>
      </c>
      <c r="V316">
        <v>0</v>
      </c>
      <c r="X316" t="s">
        <v>44</v>
      </c>
      <c r="Y316" t="s">
        <v>44</v>
      </c>
      <c r="Z316">
        <v>15000</v>
      </c>
      <c r="AD316" t="s">
        <v>65</v>
      </c>
      <c r="AE316" t="s">
        <v>46</v>
      </c>
      <c r="AF316" s="5">
        <f t="shared" si="20"/>
        <v>7146.0372960000004</v>
      </c>
      <c r="AG316">
        <f t="shared" si="17"/>
        <v>15000</v>
      </c>
      <c r="AH316" s="5">
        <f t="shared" si="18"/>
        <v>22146.037296000002</v>
      </c>
      <c r="AJ316" t="s">
        <v>54</v>
      </c>
    </row>
    <row r="317" spans="1:36" x14ac:dyDescent="0.3">
      <c r="A317" t="s">
        <v>55</v>
      </c>
      <c r="B317" t="s">
        <v>55</v>
      </c>
      <c r="C317" t="s">
        <v>56</v>
      </c>
      <c r="E317">
        <v>328</v>
      </c>
      <c r="F317" t="s">
        <v>516</v>
      </c>
      <c r="G317" t="s">
        <v>209</v>
      </c>
      <c r="H317" t="s">
        <v>40</v>
      </c>
      <c r="I317" s="4">
        <v>46093</v>
      </c>
      <c r="J317" s="4" t="s">
        <v>44</v>
      </c>
      <c r="K317" t="s">
        <v>41</v>
      </c>
      <c r="L317" t="s">
        <v>42</v>
      </c>
      <c r="M317" t="s">
        <v>43</v>
      </c>
      <c r="N317" s="5">
        <f t="shared" si="19"/>
        <v>1161.9396408999996</v>
      </c>
      <c r="O317" s="5">
        <v>2801.97</v>
      </c>
      <c r="P317" s="5">
        <v>374.87</v>
      </c>
      <c r="Q317" s="5">
        <v>0</v>
      </c>
      <c r="R317" s="5">
        <v>0</v>
      </c>
      <c r="S317" s="5">
        <v>588.32964089999996</v>
      </c>
      <c r="T317" s="5">
        <v>2603.23</v>
      </c>
      <c r="U317">
        <v>0</v>
      </c>
      <c r="V317">
        <v>0</v>
      </c>
      <c r="X317">
        <v>0</v>
      </c>
      <c r="Y317">
        <v>0</v>
      </c>
      <c r="AF317" s="5">
        <f t="shared" si="20"/>
        <v>1161.9396408999996</v>
      </c>
      <c r="AG317">
        <f t="shared" si="17"/>
        <v>0</v>
      </c>
      <c r="AH317" s="5">
        <f t="shared" si="18"/>
        <v>1161.9396408999996</v>
      </c>
      <c r="AJ317" t="s">
        <v>54</v>
      </c>
    </row>
    <row r="318" spans="1:36" x14ac:dyDescent="0.3">
      <c r="A318" t="s">
        <v>55</v>
      </c>
      <c r="B318" t="s">
        <v>55</v>
      </c>
      <c r="C318" t="s">
        <v>56</v>
      </c>
      <c r="E318">
        <v>329</v>
      </c>
      <c r="F318" t="s">
        <v>517</v>
      </c>
      <c r="G318" t="s">
        <v>82</v>
      </c>
      <c r="H318" t="s">
        <v>60</v>
      </c>
      <c r="I318" s="4">
        <v>46093</v>
      </c>
      <c r="J318" s="4"/>
      <c r="K318" t="s">
        <v>61</v>
      </c>
      <c r="L318" t="s">
        <v>42</v>
      </c>
      <c r="M318" t="s">
        <v>43</v>
      </c>
      <c r="N318" s="5">
        <f t="shared" si="19"/>
        <v>6401.9610060999994</v>
      </c>
      <c r="O318" s="5">
        <v>2302.75</v>
      </c>
      <c r="P318" s="5">
        <v>1187.17</v>
      </c>
      <c r="Q318" s="5">
        <v>969.3599999999999</v>
      </c>
      <c r="R318" s="5">
        <v>928.03</v>
      </c>
      <c r="S318" s="5">
        <v>1163.8910060999999</v>
      </c>
      <c r="T318" s="5">
        <v>149.24</v>
      </c>
      <c r="U318">
        <v>1363.4399999999998</v>
      </c>
      <c r="V318">
        <v>0</v>
      </c>
      <c r="X318" t="s">
        <v>44</v>
      </c>
      <c r="Y318" t="s">
        <v>44</v>
      </c>
      <c r="AF318" s="5">
        <f t="shared" si="20"/>
        <v>7765.401006099999</v>
      </c>
      <c r="AG318">
        <f t="shared" si="17"/>
        <v>0</v>
      </c>
      <c r="AH318" s="5">
        <f t="shared" si="18"/>
        <v>7765.401006099999</v>
      </c>
      <c r="AJ318" t="s">
        <v>54</v>
      </c>
    </row>
    <row r="319" spans="1:36" x14ac:dyDescent="0.3">
      <c r="A319" t="s">
        <v>55</v>
      </c>
      <c r="B319" t="s">
        <v>55</v>
      </c>
      <c r="C319" t="s">
        <v>56</v>
      </c>
      <c r="E319">
        <v>330</v>
      </c>
      <c r="F319" t="s">
        <v>518</v>
      </c>
      <c r="G319" t="s">
        <v>139</v>
      </c>
      <c r="H319" t="s">
        <v>60</v>
      </c>
      <c r="I319" s="4">
        <v>46093</v>
      </c>
      <c r="J319" s="4" t="s">
        <v>44</v>
      </c>
      <c r="K319" t="s">
        <v>61</v>
      </c>
      <c r="L319" t="s">
        <v>42</v>
      </c>
      <c r="M319" t="s">
        <v>43</v>
      </c>
      <c r="N319" s="5">
        <f t="shared" si="19"/>
        <v>6772.6839520000003</v>
      </c>
      <c r="O319" s="5">
        <v>3356.8</v>
      </c>
      <c r="P319" s="5">
        <v>1602.55</v>
      </c>
      <c r="Q319" s="5">
        <v>444.44</v>
      </c>
      <c r="R319" s="5">
        <v>407.42</v>
      </c>
      <c r="S319" s="5">
        <v>1134.1739519999999</v>
      </c>
      <c r="T319" s="5">
        <v>172.7</v>
      </c>
      <c r="U319">
        <v>1388.12</v>
      </c>
      <c r="V319">
        <v>0</v>
      </c>
      <c r="X319" t="s">
        <v>44</v>
      </c>
      <c r="Y319" t="s">
        <v>44</v>
      </c>
      <c r="Z319">
        <v>12000</v>
      </c>
      <c r="AD319" t="s">
        <v>65</v>
      </c>
      <c r="AF319" s="5">
        <f t="shared" si="20"/>
        <v>8160.8039520000002</v>
      </c>
      <c r="AG319">
        <f t="shared" si="17"/>
        <v>12000</v>
      </c>
      <c r="AH319" s="5">
        <f t="shared" si="18"/>
        <v>20160.803952000002</v>
      </c>
      <c r="AJ319" t="s">
        <v>54</v>
      </c>
    </row>
    <row r="320" spans="1:36" x14ac:dyDescent="0.3">
      <c r="A320" t="s">
        <v>55</v>
      </c>
      <c r="B320" t="s">
        <v>55</v>
      </c>
      <c r="C320" t="s">
        <v>56</v>
      </c>
      <c r="E320">
        <v>331</v>
      </c>
      <c r="F320" s="8" t="s">
        <v>519</v>
      </c>
      <c r="G320" t="s">
        <v>396</v>
      </c>
      <c r="H320" t="s">
        <v>60</v>
      </c>
      <c r="I320" s="4">
        <v>46100</v>
      </c>
      <c r="J320" s="4">
        <v>46206</v>
      </c>
      <c r="K320" t="s">
        <v>41</v>
      </c>
      <c r="L320" t="s">
        <v>42</v>
      </c>
      <c r="M320" t="s">
        <v>43</v>
      </c>
      <c r="N320" s="5">
        <f t="shared" si="19"/>
        <v>6574.0817070000003</v>
      </c>
      <c r="O320" s="5">
        <v>3049.35</v>
      </c>
      <c r="P320" s="5">
        <v>2022.6100000000001</v>
      </c>
      <c r="Q320" s="5">
        <v>343.59</v>
      </c>
      <c r="R320" s="5">
        <v>347.11</v>
      </c>
      <c r="S320" s="5">
        <v>974.91170699999986</v>
      </c>
      <c r="T320" s="5">
        <v>163.48999999999998</v>
      </c>
      <c r="U320">
        <v>1218.3599999999999</v>
      </c>
      <c r="V320">
        <v>0</v>
      </c>
      <c r="W320">
        <v>600</v>
      </c>
      <c r="X320">
        <f>3500+3500</f>
        <v>7000</v>
      </c>
      <c r="Y320" t="s">
        <v>44</v>
      </c>
      <c r="AF320" s="5">
        <f t="shared" si="20"/>
        <v>8392.441707</v>
      </c>
      <c r="AG320">
        <f t="shared" si="17"/>
        <v>0</v>
      </c>
      <c r="AH320" s="5">
        <f t="shared" si="18"/>
        <v>8392.441707</v>
      </c>
      <c r="AJ320" t="s">
        <v>54</v>
      </c>
    </row>
    <row r="321" spans="1:36" x14ac:dyDescent="0.3">
      <c r="A321" t="s">
        <v>55</v>
      </c>
      <c r="B321" t="s">
        <v>55</v>
      </c>
      <c r="C321" t="s">
        <v>56</v>
      </c>
      <c r="E321">
        <v>332</v>
      </c>
      <c r="F321" t="s">
        <v>520</v>
      </c>
      <c r="G321" t="s">
        <v>139</v>
      </c>
      <c r="H321" t="s">
        <v>60</v>
      </c>
      <c r="I321" s="4">
        <v>46093</v>
      </c>
      <c r="J321" s="4" t="s">
        <v>44</v>
      </c>
      <c r="K321" t="s">
        <v>61</v>
      </c>
      <c r="L321" t="s">
        <v>42</v>
      </c>
      <c r="M321" t="s">
        <v>43</v>
      </c>
      <c r="N321" s="5">
        <f t="shared" si="19"/>
        <v>5742.6972960000012</v>
      </c>
      <c r="O321" s="5">
        <v>3356.8</v>
      </c>
      <c r="P321" s="5">
        <v>1681.0700000000002</v>
      </c>
      <c r="Q321" s="5">
        <v>0</v>
      </c>
      <c r="R321" s="5">
        <v>0</v>
      </c>
      <c r="S321" s="5">
        <v>704.82729600000005</v>
      </c>
      <c r="T321" s="5">
        <v>0</v>
      </c>
      <c r="U321">
        <v>1283</v>
      </c>
      <c r="V321">
        <v>0</v>
      </c>
      <c r="X321" t="s">
        <v>44</v>
      </c>
      <c r="Y321" t="s">
        <v>44</v>
      </c>
      <c r="Z321">
        <v>38000</v>
      </c>
      <c r="AD321" t="s">
        <v>65</v>
      </c>
      <c r="AF321" s="5">
        <f t="shared" si="20"/>
        <v>7025.6972960000012</v>
      </c>
      <c r="AG321">
        <f t="shared" si="17"/>
        <v>38000</v>
      </c>
      <c r="AH321" s="5">
        <f t="shared" si="18"/>
        <v>45025.697295999998</v>
      </c>
      <c r="AJ321" t="s">
        <v>54</v>
      </c>
    </row>
    <row r="322" spans="1:36" x14ac:dyDescent="0.3">
      <c r="A322" t="s">
        <v>55</v>
      </c>
      <c r="B322" t="s">
        <v>55</v>
      </c>
      <c r="C322" t="s">
        <v>56</v>
      </c>
      <c r="E322">
        <v>333</v>
      </c>
      <c r="F322" t="s">
        <v>521</v>
      </c>
      <c r="G322" t="s">
        <v>133</v>
      </c>
      <c r="H322" t="s">
        <v>60</v>
      </c>
      <c r="I322" s="4">
        <v>46093</v>
      </c>
      <c r="J322" s="4"/>
      <c r="K322" t="s">
        <v>61</v>
      </c>
      <c r="L322" t="s">
        <v>42</v>
      </c>
      <c r="M322" t="s">
        <v>43</v>
      </c>
      <c r="N322" s="5">
        <f t="shared" si="19"/>
        <v>9032.3621767000004</v>
      </c>
      <c r="O322" s="5">
        <v>4681.28</v>
      </c>
      <c r="P322" s="5">
        <v>2792.1800000000003</v>
      </c>
      <c r="Q322" s="5">
        <v>324.2</v>
      </c>
      <c r="R322" s="5">
        <v>332.31</v>
      </c>
      <c r="S322" s="5">
        <v>1126.3021767</v>
      </c>
      <c r="T322" s="5">
        <v>223.91</v>
      </c>
      <c r="U322">
        <v>1329.8799999999997</v>
      </c>
      <c r="V322">
        <v>0</v>
      </c>
      <c r="X322" t="s">
        <v>44</v>
      </c>
      <c r="Y322" t="s">
        <v>44</v>
      </c>
      <c r="Z322">
        <v>14500</v>
      </c>
      <c r="AD322" t="s">
        <v>88</v>
      </c>
      <c r="AF322" s="5">
        <f t="shared" si="20"/>
        <v>10362.2421767</v>
      </c>
      <c r="AG322">
        <f t="shared" si="17"/>
        <v>14500</v>
      </c>
      <c r="AH322" s="5">
        <f t="shared" si="18"/>
        <v>24862.242176699998</v>
      </c>
      <c r="AJ322" t="s">
        <v>47</v>
      </c>
    </row>
    <row r="323" spans="1:36" x14ac:dyDescent="0.3">
      <c r="A323" t="s">
        <v>55</v>
      </c>
      <c r="B323" t="s">
        <v>55</v>
      </c>
      <c r="C323" t="s">
        <v>56</v>
      </c>
      <c r="E323">
        <v>334</v>
      </c>
      <c r="F323" t="s">
        <v>522</v>
      </c>
      <c r="G323" t="s">
        <v>139</v>
      </c>
      <c r="H323" t="s">
        <v>60</v>
      </c>
      <c r="I323" s="4">
        <v>46093</v>
      </c>
      <c r="J323" s="4" t="s">
        <v>44</v>
      </c>
      <c r="K323" t="s">
        <v>61</v>
      </c>
      <c r="L323" t="s">
        <v>42</v>
      </c>
      <c r="M323" t="s">
        <v>43</v>
      </c>
      <c r="N323" s="5">
        <f t="shared" si="19"/>
        <v>6095.0372960000004</v>
      </c>
      <c r="O323" s="5">
        <v>3356.8</v>
      </c>
      <c r="P323" s="5">
        <v>2033.4099999999999</v>
      </c>
      <c r="Q323" s="5">
        <v>0</v>
      </c>
      <c r="R323" s="5">
        <v>0</v>
      </c>
      <c r="S323" s="5">
        <v>704.82729600000005</v>
      </c>
      <c r="T323" s="5">
        <v>0</v>
      </c>
      <c r="U323">
        <v>1358.9999999999998</v>
      </c>
      <c r="V323">
        <v>0</v>
      </c>
      <c r="X323" t="s">
        <v>44</v>
      </c>
      <c r="Y323" t="s">
        <v>44</v>
      </c>
      <c r="Z323">
        <v>15000</v>
      </c>
      <c r="AD323" t="s">
        <v>65</v>
      </c>
      <c r="AF323" s="5">
        <f t="shared" si="20"/>
        <v>7454.0372960000004</v>
      </c>
      <c r="AG323">
        <f t="shared" ref="AG323:AG386" si="21">V323+Z323</f>
        <v>15000</v>
      </c>
      <c r="AH323" s="5">
        <f t="shared" ref="AH323:AH386" si="22">AG323+AF323</f>
        <v>22454.037296000002</v>
      </c>
      <c r="AJ323" t="s">
        <v>54</v>
      </c>
    </row>
    <row r="324" spans="1:36" x14ac:dyDescent="0.3">
      <c r="A324" t="s">
        <v>55</v>
      </c>
      <c r="B324" t="s">
        <v>55</v>
      </c>
      <c r="C324" t="s">
        <v>56</v>
      </c>
      <c r="E324">
        <v>335</v>
      </c>
      <c r="F324" t="s">
        <v>523</v>
      </c>
      <c r="G324" t="s">
        <v>82</v>
      </c>
      <c r="H324" t="s">
        <v>68</v>
      </c>
      <c r="I324" s="4">
        <v>46093</v>
      </c>
      <c r="J324" s="4"/>
      <c r="K324" t="s">
        <v>61</v>
      </c>
      <c r="L324" t="s">
        <v>42</v>
      </c>
      <c r="M324" t="s">
        <v>43</v>
      </c>
      <c r="N324" s="5">
        <f t="shared" ref="N324:N387" si="23">O324+P324+Q324+R324-T324+S324</f>
        <v>4661.7284175000004</v>
      </c>
      <c r="O324" s="5">
        <v>2302.75</v>
      </c>
      <c r="P324" s="5">
        <v>1875.47</v>
      </c>
      <c r="Q324" s="5">
        <v>0</v>
      </c>
      <c r="R324" s="5">
        <v>0</v>
      </c>
      <c r="S324" s="5">
        <v>483.50841750000001</v>
      </c>
      <c r="T324" s="5">
        <v>0</v>
      </c>
      <c r="U324">
        <v>1260.7999999999997</v>
      </c>
      <c r="V324">
        <v>0</v>
      </c>
      <c r="X324" t="s">
        <v>44</v>
      </c>
      <c r="Y324" t="s">
        <v>44</v>
      </c>
      <c r="AF324" s="5">
        <f t="shared" ref="AF324:AF387" si="24">N324+U324+W324</f>
        <v>5922.5284174999997</v>
      </c>
      <c r="AG324">
        <f t="shared" si="21"/>
        <v>0</v>
      </c>
      <c r="AH324" s="5">
        <f t="shared" si="22"/>
        <v>5922.5284174999997</v>
      </c>
      <c r="AJ324" t="s">
        <v>54</v>
      </c>
    </row>
    <row r="325" spans="1:36" x14ac:dyDescent="0.3">
      <c r="A325" t="s">
        <v>55</v>
      </c>
      <c r="B325" t="s">
        <v>55</v>
      </c>
      <c r="C325" t="s">
        <v>56</v>
      </c>
      <c r="E325">
        <v>336</v>
      </c>
      <c r="F325" t="s">
        <v>524</v>
      </c>
      <c r="G325" t="s">
        <v>139</v>
      </c>
      <c r="H325" t="s">
        <v>60</v>
      </c>
      <c r="I325" s="4">
        <v>46093</v>
      </c>
      <c r="J325" s="4" t="s">
        <v>44</v>
      </c>
      <c r="K325" t="s">
        <v>61</v>
      </c>
      <c r="L325" t="s">
        <v>42</v>
      </c>
      <c r="M325" t="s">
        <v>43</v>
      </c>
      <c r="N325" s="5">
        <f t="shared" si="23"/>
        <v>5975.8864736000005</v>
      </c>
      <c r="O325" s="5">
        <v>3356.8</v>
      </c>
      <c r="P325" s="5">
        <v>1022.6400000000001</v>
      </c>
      <c r="Q325" s="5">
        <v>324.2</v>
      </c>
      <c r="R325" s="5">
        <v>338.64</v>
      </c>
      <c r="S325" s="5">
        <v>968.14647359999992</v>
      </c>
      <c r="T325" s="5">
        <v>34.54</v>
      </c>
      <c r="U325">
        <v>802.8399999999998</v>
      </c>
      <c r="V325">
        <v>0</v>
      </c>
      <c r="X325" t="s">
        <v>44</v>
      </c>
      <c r="Y325" t="s">
        <v>44</v>
      </c>
      <c r="Z325">
        <v>12000</v>
      </c>
      <c r="AD325" t="s">
        <v>65</v>
      </c>
      <c r="AF325" s="5">
        <f t="shared" si="24"/>
        <v>6778.7264736000006</v>
      </c>
      <c r="AG325">
        <f t="shared" si="21"/>
        <v>12000</v>
      </c>
      <c r="AH325" s="5">
        <f t="shared" si="22"/>
        <v>18778.7264736</v>
      </c>
      <c r="AJ325" t="s">
        <v>54</v>
      </c>
    </row>
    <row r="326" spans="1:36" x14ac:dyDescent="0.3">
      <c r="A326" t="s">
        <v>55</v>
      </c>
      <c r="B326" t="s">
        <v>55</v>
      </c>
      <c r="C326" t="s">
        <v>56</v>
      </c>
      <c r="E326">
        <v>337</v>
      </c>
      <c r="F326" t="s">
        <v>525</v>
      </c>
      <c r="G326" t="s">
        <v>139</v>
      </c>
      <c r="H326" t="s">
        <v>40</v>
      </c>
      <c r="I326" s="4">
        <v>46100</v>
      </c>
      <c r="J326" s="4">
        <v>46135</v>
      </c>
      <c r="K326" t="s">
        <v>41</v>
      </c>
      <c r="L326" t="s">
        <v>42</v>
      </c>
      <c r="M326" t="s">
        <v>43</v>
      </c>
      <c r="N326" s="5">
        <f t="shared" si="23"/>
        <v>4570.7945049999998</v>
      </c>
      <c r="O326" s="5">
        <v>3192.39</v>
      </c>
      <c r="P326" s="5">
        <v>0</v>
      </c>
      <c r="Q326" s="5">
        <v>324.2</v>
      </c>
      <c r="R326" s="5">
        <v>245.4</v>
      </c>
      <c r="S326" s="5">
        <v>843.34450499999991</v>
      </c>
      <c r="T326" s="5">
        <v>34.54</v>
      </c>
      <c r="U326">
        <v>0</v>
      </c>
      <c r="V326">
        <v>0</v>
      </c>
      <c r="X326">
        <v>0</v>
      </c>
      <c r="Y326">
        <v>0</v>
      </c>
      <c r="AF326" s="5">
        <f t="shared" si="24"/>
        <v>4570.7945049999998</v>
      </c>
      <c r="AG326">
        <f t="shared" si="21"/>
        <v>0</v>
      </c>
      <c r="AH326" s="5">
        <f t="shared" si="22"/>
        <v>4570.7945049999998</v>
      </c>
      <c r="AJ326" t="s">
        <v>54</v>
      </c>
    </row>
    <row r="327" spans="1:36" x14ac:dyDescent="0.3">
      <c r="A327" t="s">
        <v>55</v>
      </c>
      <c r="B327" t="s">
        <v>55</v>
      </c>
      <c r="C327" t="s">
        <v>56</v>
      </c>
      <c r="E327">
        <v>338</v>
      </c>
      <c r="F327" t="s">
        <v>526</v>
      </c>
      <c r="G327" t="s">
        <v>133</v>
      </c>
      <c r="H327" t="s">
        <v>60</v>
      </c>
      <c r="I327" s="4">
        <v>46093</v>
      </c>
      <c r="J327" s="4"/>
      <c r="K327" t="s">
        <v>61</v>
      </c>
      <c r="L327" t="s">
        <v>42</v>
      </c>
      <c r="M327" t="s">
        <v>43</v>
      </c>
      <c r="N327" s="5">
        <f t="shared" si="23"/>
        <v>9693.3355917999979</v>
      </c>
      <c r="O327" s="5">
        <v>4681.28</v>
      </c>
      <c r="P327" s="5">
        <v>2252.2399999999998</v>
      </c>
      <c r="Q327" s="5">
        <v>494.22999999999996</v>
      </c>
      <c r="R327" s="5">
        <v>704.15</v>
      </c>
      <c r="S327" s="5">
        <v>1622.4255917999999</v>
      </c>
      <c r="T327" s="5">
        <v>60.99</v>
      </c>
      <c r="U327">
        <v>1363.4399999999998</v>
      </c>
      <c r="V327">
        <v>0</v>
      </c>
      <c r="X327" t="s">
        <v>44</v>
      </c>
      <c r="Y327" t="s">
        <v>44</v>
      </c>
      <c r="Z327">
        <v>13000</v>
      </c>
      <c r="AD327" t="s">
        <v>88</v>
      </c>
      <c r="AF327" s="5">
        <f t="shared" si="24"/>
        <v>11056.775591799998</v>
      </c>
      <c r="AG327">
        <f t="shared" si="21"/>
        <v>13000</v>
      </c>
      <c r="AH327" s="5">
        <f t="shared" si="22"/>
        <v>24056.775591799997</v>
      </c>
      <c r="AJ327" t="s">
        <v>54</v>
      </c>
    </row>
    <row r="328" spans="1:36" x14ac:dyDescent="0.3">
      <c r="A328" t="s">
        <v>55</v>
      </c>
      <c r="B328" t="s">
        <v>55</v>
      </c>
      <c r="C328" t="s">
        <v>56</v>
      </c>
      <c r="E328">
        <v>339</v>
      </c>
      <c r="F328" t="s">
        <v>527</v>
      </c>
      <c r="G328" t="s">
        <v>139</v>
      </c>
      <c r="H328" t="s">
        <v>60</v>
      </c>
      <c r="I328" s="4">
        <v>46093</v>
      </c>
      <c r="J328" s="4" t="s">
        <v>44</v>
      </c>
      <c r="K328" t="s">
        <v>61</v>
      </c>
      <c r="L328" t="s">
        <v>42</v>
      </c>
      <c r="M328" t="s">
        <v>43</v>
      </c>
      <c r="N328" s="5">
        <f t="shared" si="23"/>
        <v>8517.4452970000002</v>
      </c>
      <c r="O328" s="5">
        <v>3356.8</v>
      </c>
      <c r="P328" s="5">
        <v>1973.8</v>
      </c>
      <c r="Q328" s="5">
        <v>1652.84</v>
      </c>
      <c r="R328" s="5">
        <v>403.53</v>
      </c>
      <c r="S328" s="5">
        <v>1299.7352969999999</v>
      </c>
      <c r="T328" s="5">
        <v>169.26</v>
      </c>
      <c r="U328">
        <v>1372.3199999999997</v>
      </c>
      <c r="V328">
        <v>0</v>
      </c>
      <c r="X328" t="s">
        <v>44</v>
      </c>
      <c r="Y328" t="s">
        <v>44</v>
      </c>
      <c r="Z328">
        <v>38000</v>
      </c>
      <c r="AD328" t="s">
        <v>65</v>
      </c>
      <c r="AF328" s="5">
        <f t="shared" si="24"/>
        <v>9889.7652969999999</v>
      </c>
      <c r="AG328">
        <f t="shared" si="21"/>
        <v>38000</v>
      </c>
      <c r="AH328" s="5">
        <f t="shared" si="22"/>
        <v>47889.765296999998</v>
      </c>
      <c r="AJ328" t="s">
        <v>54</v>
      </c>
    </row>
    <row r="329" spans="1:36" x14ac:dyDescent="0.3">
      <c r="A329" t="s">
        <v>55</v>
      </c>
      <c r="B329" t="s">
        <v>55</v>
      </c>
      <c r="C329" t="s">
        <v>56</v>
      </c>
      <c r="E329">
        <v>340</v>
      </c>
      <c r="F329" t="s">
        <v>528</v>
      </c>
      <c r="G329" t="s">
        <v>82</v>
      </c>
      <c r="H329" t="s">
        <v>60</v>
      </c>
      <c r="I329" s="4">
        <v>46093</v>
      </c>
      <c r="J329" s="4" t="s">
        <v>44</v>
      </c>
      <c r="K329" t="s">
        <v>61</v>
      </c>
      <c r="L329" t="s">
        <v>42</v>
      </c>
      <c r="M329" t="s">
        <v>43</v>
      </c>
      <c r="N329" s="5">
        <f t="shared" si="23"/>
        <v>5027.3771005999997</v>
      </c>
      <c r="O329" s="5">
        <v>2302.75</v>
      </c>
      <c r="P329" s="5">
        <v>929.88</v>
      </c>
      <c r="Q329" s="5">
        <v>524.20000000000005</v>
      </c>
      <c r="R329" s="5">
        <v>407.04</v>
      </c>
      <c r="S329" s="5">
        <v>900.76710059999982</v>
      </c>
      <c r="T329" s="5">
        <v>37.26</v>
      </c>
      <c r="U329">
        <v>1307.6799999999998</v>
      </c>
      <c r="V329">
        <v>0</v>
      </c>
      <c r="X329" t="s">
        <v>44</v>
      </c>
      <c r="Y329" t="s">
        <v>44</v>
      </c>
      <c r="AF329" s="5">
        <f t="shared" si="24"/>
        <v>6335.0571005999991</v>
      </c>
      <c r="AG329">
        <f t="shared" si="21"/>
        <v>0</v>
      </c>
      <c r="AH329" s="5">
        <f t="shared" si="22"/>
        <v>6335.0571005999991</v>
      </c>
      <c r="AJ329" t="s">
        <v>54</v>
      </c>
    </row>
    <row r="330" spans="1:36" x14ac:dyDescent="0.3">
      <c r="A330" t="s">
        <v>55</v>
      </c>
      <c r="B330" t="s">
        <v>55</v>
      </c>
      <c r="C330" t="s">
        <v>56</v>
      </c>
      <c r="E330">
        <v>341</v>
      </c>
      <c r="F330" t="s">
        <v>529</v>
      </c>
      <c r="G330" t="s">
        <v>133</v>
      </c>
      <c r="H330" t="s">
        <v>40</v>
      </c>
      <c r="I330" s="4">
        <v>46100</v>
      </c>
      <c r="J330" s="4" t="s">
        <v>44</v>
      </c>
      <c r="K330" t="s">
        <v>40</v>
      </c>
      <c r="L330" t="s">
        <v>42</v>
      </c>
      <c r="M330" t="s">
        <v>43</v>
      </c>
      <c r="N330" s="5">
        <f t="shared" si="23"/>
        <v>0</v>
      </c>
      <c r="O330" s="5">
        <v>0</v>
      </c>
      <c r="P330" s="5">
        <v>0</v>
      </c>
      <c r="Q330" s="5">
        <v>0</v>
      </c>
      <c r="R330" s="5">
        <v>0</v>
      </c>
      <c r="S330" s="5">
        <v>0</v>
      </c>
      <c r="T330" s="5">
        <v>0</v>
      </c>
      <c r="U330">
        <v>0</v>
      </c>
      <c r="V330">
        <v>0</v>
      </c>
      <c r="X330" t="s">
        <v>40</v>
      </c>
      <c r="Y330" t="s">
        <v>40</v>
      </c>
      <c r="AF330" s="5">
        <f t="shared" si="24"/>
        <v>0</v>
      </c>
      <c r="AG330">
        <f t="shared" si="21"/>
        <v>0</v>
      </c>
      <c r="AH330" s="5">
        <f t="shared" si="22"/>
        <v>0</v>
      </c>
      <c r="AJ330" t="s">
        <v>54</v>
      </c>
    </row>
    <row r="331" spans="1:36" x14ac:dyDescent="0.3">
      <c r="A331" t="s">
        <v>55</v>
      </c>
      <c r="B331" t="s">
        <v>55</v>
      </c>
      <c r="C331" t="s">
        <v>56</v>
      </c>
      <c r="E331">
        <v>342</v>
      </c>
      <c r="F331" t="s">
        <v>530</v>
      </c>
      <c r="G331" t="s">
        <v>59</v>
      </c>
      <c r="H331" t="s">
        <v>40</v>
      </c>
      <c r="I331" s="4">
        <v>46093</v>
      </c>
      <c r="J331" s="4" t="s">
        <v>44</v>
      </c>
      <c r="K331" t="s">
        <v>41</v>
      </c>
      <c r="L331" t="s">
        <v>42</v>
      </c>
      <c r="M331" t="s">
        <v>43</v>
      </c>
      <c r="N331" s="5">
        <f t="shared" si="23"/>
        <v>4906.7352080767005</v>
      </c>
      <c r="O331" s="5">
        <v>2801.9741100000001</v>
      </c>
      <c r="P331" s="5">
        <v>33.5</v>
      </c>
      <c r="Q331" s="5">
        <v>1030.92</v>
      </c>
      <c r="R331" s="5">
        <v>368.05</v>
      </c>
      <c r="S331" s="5">
        <v>938.32109807669997</v>
      </c>
      <c r="T331" s="5">
        <v>266.02999999999997</v>
      </c>
      <c r="U331">
        <v>0</v>
      </c>
      <c r="V331">
        <v>0</v>
      </c>
      <c r="X331">
        <v>0</v>
      </c>
      <c r="Y331">
        <v>0</v>
      </c>
      <c r="AF331" s="5">
        <f t="shared" si="24"/>
        <v>4906.7352080767005</v>
      </c>
      <c r="AG331">
        <f t="shared" si="21"/>
        <v>0</v>
      </c>
      <c r="AH331" s="5">
        <f t="shared" si="22"/>
        <v>4906.7352080767005</v>
      </c>
      <c r="AJ331" t="s">
        <v>54</v>
      </c>
    </row>
    <row r="332" spans="1:36" x14ac:dyDescent="0.3">
      <c r="A332" t="s">
        <v>55</v>
      </c>
      <c r="B332" t="s">
        <v>55</v>
      </c>
      <c r="C332" t="s">
        <v>56</v>
      </c>
      <c r="E332">
        <v>343</v>
      </c>
      <c r="F332" t="s">
        <v>531</v>
      </c>
      <c r="G332" t="s">
        <v>82</v>
      </c>
      <c r="H332" t="s">
        <v>60</v>
      </c>
      <c r="I332" s="4">
        <v>46093</v>
      </c>
      <c r="J332" s="4"/>
      <c r="K332" t="s">
        <v>61</v>
      </c>
      <c r="L332" t="s">
        <v>42</v>
      </c>
      <c r="M332" t="s">
        <v>43</v>
      </c>
      <c r="N332" s="5">
        <f t="shared" si="23"/>
        <v>4036.4184175</v>
      </c>
      <c r="O332" s="5">
        <v>2302.75</v>
      </c>
      <c r="P332" s="5">
        <v>1250.1599999999999</v>
      </c>
      <c r="Q332" s="5">
        <v>0</v>
      </c>
      <c r="R332" s="5">
        <v>0</v>
      </c>
      <c r="S332" s="5">
        <v>483.50841750000001</v>
      </c>
      <c r="T332" s="5">
        <v>0</v>
      </c>
      <c r="U332">
        <v>1133.4799999999996</v>
      </c>
      <c r="V332">
        <v>0</v>
      </c>
      <c r="X332" t="s">
        <v>44</v>
      </c>
      <c r="Y332" t="s">
        <v>44</v>
      </c>
      <c r="AF332" s="5">
        <f t="shared" si="24"/>
        <v>5169.8984174999996</v>
      </c>
      <c r="AG332">
        <f t="shared" si="21"/>
        <v>0</v>
      </c>
      <c r="AH332" s="5">
        <f t="shared" si="22"/>
        <v>5169.8984174999996</v>
      </c>
      <c r="AJ332" t="s">
        <v>54</v>
      </c>
    </row>
    <row r="333" spans="1:36" x14ac:dyDescent="0.3">
      <c r="A333" t="s">
        <v>55</v>
      </c>
      <c r="B333" t="s">
        <v>55</v>
      </c>
      <c r="C333" t="s">
        <v>56</v>
      </c>
      <c r="E333">
        <v>344</v>
      </c>
      <c r="F333" t="s">
        <v>532</v>
      </c>
      <c r="G333" t="s">
        <v>59</v>
      </c>
      <c r="H333" t="s">
        <v>40</v>
      </c>
      <c r="I333" s="4">
        <v>46093</v>
      </c>
      <c r="J333" s="4" t="s">
        <v>44</v>
      </c>
      <c r="K333" t="s">
        <v>41</v>
      </c>
      <c r="L333" t="s">
        <v>42</v>
      </c>
      <c r="M333" t="s">
        <v>43</v>
      </c>
      <c r="N333" s="5">
        <f t="shared" si="23"/>
        <v>3879.3183147999998</v>
      </c>
      <c r="O333" s="5">
        <v>2664.74</v>
      </c>
      <c r="P333" s="5">
        <v>0</v>
      </c>
      <c r="Q333" s="5">
        <v>160</v>
      </c>
      <c r="R333" s="5">
        <v>357.51</v>
      </c>
      <c r="S333" s="5">
        <v>756.48831480000013</v>
      </c>
      <c r="T333" s="5">
        <v>59.419999999999995</v>
      </c>
      <c r="U333">
        <v>0</v>
      </c>
      <c r="V333">
        <v>0</v>
      </c>
      <c r="X333">
        <v>0</v>
      </c>
      <c r="Y333" t="s">
        <v>44</v>
      </c>
      <c r="AF333" s="5">
        <f t="shared" si="24"/>
        <v>3879.3183147999998</v>
      </c>
      <c r="AG333">
        <f t="shared" si="21"/>
        <v>0</v>
      </c>
      <c r="AH333" s="5">
        <f t="shared" si="22"/>
        <v>3879.3183147999998</v>
      </c>
      <c r="AJ333" t="s">
        <v>54</v>
      </c>
    </row>
    <row r="334" spans="1:36" x14ac:dyDescent="0.3">
      <c r="A334" t="s">
        <v>55</v>
      </c>
      <c r="B334" t="s">
        <v>55</v>
      </c>
      <c r="C334" t="s">
        <v>56</v>
      </c>
      <c r="E334">
        <v>345</v>
      </c>
      <c r="F334" t="s">
        <v>533</v>
      </c>
      <c r="G334" t="s">
        <v>139</v>
      </c>
      <c r="H334" t="s">
        <v>60</v>
      </c>
      <c r="I334" s="4">
        <v>46100</v>
      </c>
      <c r="J334" s="4"/>
      <c r="K334" t="s">
        <v>61</v>
      </c>
      <c r="L334" t="s">
        <v>42</v>
      </c>
      <c r="M334" t="s">
        <v>43</v>
      </c>
      <c r="N334" s="5">
        <f t="shared" si="23"/>
        <v>5870.4872960000002</v>
      </c>
      <c r="O334" s="5">
        <v>3356.8</v>
      </c>
      <c r="P334" s="5">
        <v>1808.8600000000001</v>
      </c>
      <c r="Q334" s="5">
        <v>0</v>
      </c>
      <c r="R334" s="5">
        <v>0</v>
      </c>
      <c r="S334" s="5">
        <v>704.82729600000005</v>
      </c>
      <c r="T334" s="5">
        <v>0</v>
      </c>
      <c r="U334">
        <v>1325.4399999999998</v>
      </c>
      <c r="V334">
        <v>0</v>
      </c>
      <c r="X334" t="s">
        <v>44</v>
      </c>
      <c r="Y334" t="s">
        <v>44</v>
      </c>
      <c r="Z334">
        <v>11000</v>
      </c>
      <c r="AD334" t="s">
        <v>65</v>
      </c>
      <c r="AF334" s="5">
        <f t="shared" si="24"/>
        <v>7195.9272959999998</v>
      </c>
      <c r="AG334">
        <f t="shared" si="21"/>
        <v>11000</v>
      </c>
      <c r="AH334" s="5">
        <f t="shared" si="22"/>
        <v>18195.927296000002</v>
      </c>
      <c r="AJ334" t="s">
        <v>54</v>
      </c>
    </row>
    <row r="335" spans="1:36" x14ac:dyDescent="0.3">
      <c r="A335" t="s">
        <v>55</v>
      </c>
      <c r="B335" t="s">
        <v>55</v>
      </c>
      <c r="C335" t="s">
        <v>56</v>
      </c>
      <c r="E335">
        <v>346</v>
      </c>
      <c r="F335" t="s">
        <v>534</v>
      </c>
      <c r="G335" t="s">
        <v>82</v>
      </c>
      <c r="H335" t="s">
        <v>60</v>
      </c>
      <c r="I335" s="4">
        <v>46093</v>
      </c>
      <c r="J335" s="4"/>
      <c r="K335" t="s">
        <v>61</v>
      </c>
      <c r="L335" t="s">
        <v>42</v>
      </c>
      <c r="M335" t="s">
        <v>43</v>
      </c>
      <c r="N335" s="5">
        <f t="shared" si="23"/>
        <v>3814.6084175000001</v>
      </c>
      <c r="O335" s="5">
        <v>2302.75</v>
      </c>
      <c r="P335" s="5">
        <v>1028.3499999999999</v>
      </c>
      <c r="Q335" s="5">
        <v>0</v>
      </c>
      <c r="R335" s="5">
        <v>0</v>
      </c>
      <c r="S335" s="5">
        <v>483.50841750000001</v>
      </c>
      <c r="T335" s="5">
        <v>0</v>
      </c>
      <c r="U335">
        <v>1350.12</v>
      </c>
      <c r="V335">
        <v>0</v>
      </c>
      <c r="X335" t="s">
        <v>44</v>
      </c>
      <c r="Y335" t="s">
        <v>44</v>
      </c>
      <c r="AF335" s="5">
        <f t="shared" si="24"/>
        <v>5164.7284175000004</v>
      </c>
      <c r="AG335">
        <f t="shared" si="21"/>
        <v>0</v>
      </c>
      <c r="AH335" s="5">
        <f t="shared" si="22"/>
        <v>5164.7284175000004</v>
      </c>
      <c r="AJ335" t="s">
        <v>54</v>
      </c>
    </row>
    <row r="336" spans="1:36" x14ac:dyDescent="0.3">
      <c r="A336" t="s">
        <v>55</v>
      </c>
      <c r="B336" t="s">
        <v>55</v>
      </c>
      <c r="C336" t="s">
        <v>56</v>
      </c>
      <c r="E336">
        <v>347</v>
      </c>
      <c r="F336" t="s">
        <v>535</v>
      </c>
      <c r="G336" t="s">
        <v>209</v>
      </c>
      <c r="H336" t="s">
        <v>60</v>
      </c>
      <c r="I336" s="4">
        <v>46093</v>
      </c>
      <c r="J336" s="4" t="s">
        <v>44</v>
      </c>
      <c r="K336" t="s">
        <v>61</v>
      </c>
      <c r="L336" t="s">
        <v>42</v>
      </c>
      <c r="M336" t="s">
        <v>43</v>
      </c>
      <c r="N336" s="5">
        <f t="shared" si="23"/>
        <v>5082.1796408999999</v>
      </c>
      <c r="O336" s="5">
        <v>2801.97</v>
      </c>
      <c r="P336" s="5">
        <v>1691.88</v>
      </c>
      <c r="Q336" s="5">
        <v>0</v>
      </c>
      <c r="R336" s="5">
        <v>0</v>
      </c>
      <c r="S336" s="5">
        <v>588.32964089999996</v>
      </c>
      <c r="T336" s="5">
        <v>0</v>
      </c>
      <c r="U336">
        <v>1298.7999999999997</v>
      </c>
      <c r="V336">
        <v>0</v>
      </c>
      <c r="X336" t="s">
        <v>44</v>
      </c>
      <c r="Y336" t="s">
        <v>44</v>
      </c>
      <c r="AF336" s="5">
        <f t="shared" si="24"/>
        <v>6380.9796408999991</v>
      </c>
      <c r="AG336">
        <f t="shared" si="21"/>
        <v>0</v>
      </c>
      <c r="AH336" s="5">
        <f t="shared" si="22"/>
        <v>6380.9796408999991</v>
      </c>
      <c r="AJ336" t="s">
        <v>54</v>
      </c>
    </row>
    <row r="337" spans="1:36" x14ac:dyDescent="0.3">
      <c r="A337" t="s">
        <v>55</v>
      </c>
      <c r="B337" t="s">
        <v>55</v>
      </c>
      <c r="C337" t="s">
        <v>56</v>
      </c>
      <c r="E337">
        <v>349</v>
      </c>
      <c r="F337" t="s">
        <v>536</v>
      </c>
      <c r="G337" t="s">
        <v>209</v>
      </c>
      <c r="H337" t="s">
        <v>60</v>
      </c>
      <c r="I337" s="4">
        <v>46093</v>
      </c>
      <c r="J337" s="4" t="s">
        <v>44</v>
      </c>
      <c r="K337" t="s">
        <v>61</v>
      </c>
      <c r="L337" t="s">
        <v>42</v>
      </c>
      <c r="M337" t="s">
        <v>43</v>
      </c>
      <c r="N337" s="5">
        <f t="shared" si="23"/>
        <v>7432.8165520000002</v>
      </c>
      <c r="O337" s="5">
        <v>2801.97</v>
      </c>
      <c r="P337" s="5">
        <v>1619.5800000000002</v>
      </c>
      <c r="Q337" s="5">
        <v>1328.24</v>
      </c>
      <c r="R337" s="5">
        <v>749.48</v>
      </c>
      <c r="S337" s="5">
        <v>1045.9865519999998</v>
      </c>
      <c r="T337" s="5">
        <v>112.44</v>
      </c>
      <c r="U337">
        <v>1285.4799999999998</v>
      </c>
      <c r="V337">
        <v>0</v>
      </c>
      <c r="X337" t="s">
        <v>44</v>
      </c>
      <c r="Y337" t="s">
        <v>44</v>
      </c>
      <c r="AF337" s="5">
        <f t="shared" si="24"/>
        <v>8718.2965519999998</v>
      </c>
      <c r="AG337">
        <f t="shared" si="21"/>
        <v>0</v>
      </c>
      <c r="AH337" s="5">
        <f t="shared" si="22"/>
        <v>8718.2965519999998</v>
      </c>
      <c r="AJ337" t="s">
        <v>54</v>
      </c>
    </row>
    <row r="338" spans="1:36" x14ac:dyDescent="0.3">
      <c r="A338" t="s">
        <v>55</v>
      </c>
      <c r="B338" t="s">
        <v>55</v>
      </c>
      <c r="C338" t="s">
        <v>56</v>
      </c>
      <c r="E338">
        <v>350</v>
      </c>
      <c r="F338" t="s">
        <v>537</v>
      </c>
      <c r="G338" t="s">
        <v>59</v>
      </c>
      <c r="H338">
        <v>0</v>
      </c>
      <c r="I338" s="4">
        <v>46100</v>
      </c>
      <c r="J338" s="4"/>
      <c r="K338" t="s">
        <v>61</v>
      </c>
      <c r="L338" t="s">
        <v>42</v>
      </c>
      <c r="M338" t="s">
        <v>43</v>
      </c>
      <c r="N338" s="5">
        <f t="shared" si="23"/>
        <v>7700.4706663000006</v>
      </c>
      <c r="O338" s="5">
        <v>2801.97</v>
      </c>
      <c r="P338" s="5">
        <v>2281.13</v>
      </c>
      <c r="Q338" s="5">
        <v>1064.3600000000001</v>
      </c>
      <c r="R338" s="5">
        <v>431.08</v>
      </c>
      <c r="S338" s="5">
        <v>1156.4706662999997</v>
      </c>
      <c r="T338" s="5">
        <v>34.54</v>
      </c>
      <c r="U338">
        <v>1405.8799999999999</v>
      </c>
      <c r="V338">
        <v>0</v>
      </c>
      <c r="X338" t="s">
        <v>44</v>
      </c>
      <c r="Y338" t="s">
        <v>44</v>
      </c>
      <c r="AF338" s="5">
        <f t="shared" si="24"/>
        <v>9106.3506663000007</v>
      </c>
      <c r="AG338">
        <f t="shared" si="21"/>
        <v>0</v>
      </c>
      <c r="AH338" s="5">
        <f t="shared" si="22"/>
        <v>9106.3506663000007</v>
      </c>
      <c r="AJ338" t="s">
        <v>54</v>
      </c>
    </row>
    <row r="339" spans="1:36" x14ac:dyDescent="0.3">
      <c r="A339" t="s">
        <v>55</v>
      </c>
      <c r="B339" t="s">
        <v>55</v>
      </c>
      <c r="C339" t="s">
        <v>56</v>
      </c>
      <c r="E339">
        <v>351</v>
      </c>
      <c r="F339" t="s">
        <v>538</v>
      </c>
      <c r="G339" t="s">
        <v>82</v>
      </c>
      <c r="H339" t="s">
        <v>60</v>
      </c>
      <c r="I339" s="4">
        <v>46100</v>
      </c>
      <c r="J339" s="4"/>
      <c r="K339" t="s">
        <v>61</v>
      </c>
      <c r="L339" t="s">
        <v>42</v>
      </c>
      <c r="M339" t="s">
        <v>43</v>
      </c>
      <c r="N339" s="5">
        <f t="shared" si="23"/>
        <v>4297.7684175000004</v>
      </c>
      <c r="O339" s="5">
        <v>2302.75</v>
      </c>
      <c r="P339" s="5">
        <v>1511.51</v>
      </c>
      <c r="Q339" s="5">
        <v>0</v>
      </c>
      <c r="R339" s="5">
        <v>0</v>
      </c>
      <c r="S339" s="5">
        <v>483.50841750000001</v>
      </c>
      <c r="T339" s="5">
        <v>0</v>
      </c>
      <c r="U339">
        <v>1312.1199999999997</v>
      </c>
      <c r="V339">
        <v>0</v>
      </c>
      <c r="X339" t="s">
        <v>44</v>
      </c>
      <c r="Y339" t="s">
        <v>44</v>
      </c>
      <c r="AF339" s="5">
        <f t="shared" si="24"/>
        <v>5609.8884175000003</v>
      </c>
      <c r="AG339">
        <f t="shared" si="21"/>
        <v>0</v>
      </c>
      <c r="AH339" s="5">
        <f t="shared" si="22"/>
        <v>5609.8884175000003</v>
      </c>
      <c r="AJ339" t="s">
        <v>54</v>
      </c>
    </row>
    <row r="340" spans="1:36" x14ac:dyDescent="0.3">
      <c r="A340" t="s">
        <v>55</v>
      </c>
      <c r="B340" t="s">
        <v>55</v>
      </c>
      <c r="C340" t="s">
        <v>56</v>
      </c>
      <c r="E340">
        <v>352</v>
      </c>
      <c r="F340" t="s">
        <v>539</v>
      </c>
      <c r="G340" t="s">
        <v>106</v>
      </c>
      <c r="H340" t="s">
        <v>60</v>
      </c>
      <c r="I340" s="4">
        <v>46100</v>
      </c>
      <c r="J340" s="4"/>
      <c r="K340" t="s">
        <v>61</v>
      </c>
      <c r="L340" t="s">
        <v>42</v>
      </c>
      <c r="M340" t="s">
        <v>43</v>
      </c>
      <c r="N340" s="5">
        <f t="shared" si="23"/>
        <v>9301.817662999998</v>
      </c>
      <c r="O340" s="5">
        <v>5377.9</v>
      </c>
      <c r="P340" s="5">
        <v>2794.72</v>
      </c>
      <c r="Q340" s="5">
        <v>0</v>
      </c>
      <c r="R340" s="5">
        <v>0</v>
      </c>
      <c r="S340" s="5">
        <v>1129.1976629999999</v>
      </c>
      <c r="T340" s="5">
        <v>0</v>
      </c>
      <c r="U340">
        <v>1329.8799999999997</v>
      </c>
      <c r="V340">
        <v>0</v>
      </c>
      <c r="X340" t="s">
        <v>44</v>
      </c>
      <c r="Y340" t="s">
        <v>44</v>
      </c>
      <c r="AF340" s="5">
        <f t="shared" si="24"/>
        <v>10631.697662999997</v>
      </c>
      <c r="AG340">
        <f t="shared" si="21"/>
        <v>0</v>
      </c>
      <c r="AH340" s="5">
        <f t="shared" si="22"/>
        <v>10631.697662999997</v>
      </c>
      <c r="AJ340" t="s">
        <v>54</v>
      </c>
    </row>
    <row r="341" spans="1:36" x14ac:dyDescent="0.3">
      <c r="A341" t="s">
        <v>55</v>
      </c>
      <c r="B341" t="s">
        <v>55</v>
      </c>
      <c r="C341" t="s">
        <v>56</v>
      </c>
      <c r="E341">
        <v>353</v>
      </c>
      <c r="F341" t="s">
        <v>540</v>
      </c>
      <c r="G341" t="s">
        <v>59</v>
      </c>
      <c r="H341" t="s">
        <v>60</v>
      </c>
      <c r="I341" s="4">
        <v>46100</v>
      </c>
      <c r="J341" s="4"/>
      <c r="K341" t="s">
        <v>61</v>
      </c>
      <c r="L341" t="s">
        <v>42</v>
      </c>
      <c r="M341" t="s">
        <v>43</v>
      </c>
      <c r="N341" s="5">
        <f t="shared" si="23"/>
        <v>4833.9796408999991</v>
      </c>
      <c r="O341" s="5">
        <v>2801.97</v>
      </c>
      <c r="P341" s="5">
        <v>1443.6800000000003</v>
      </c>
      <c r="Q341" s="5">
        <v>0</v>
      </c>
      <c r="R341" s="5">
        <v>0</v>
      </c>
      <c r="S341" s="5">
        <v>588.32964089999996</v>
      </c>
      <c r="T341" s="5">
        <v>0</v>
      </c>
      <c r="U341">
        <v>1383.6799999999998</v>
      </c>
      <c r="V341">
        <v>0</v>
      </c>
      <c r="X341" t="s">
        <v>44</v>
      </c>
      <c r="Y341" t="s">
        <v>44</v>
      </c>
      <c r="AF341" s="5">
        <f t="shared" si="24"/>
        <v>6217.6596408999994</v>
      </c>
      <c r="AG341">
        <f t="shared" si="21"/>
        <v>0</v>
      </c>
      <c r="AH341" s="5">
        <f t="shared" si="22"/>
        <v>6217.6596408999994</v>
      </c>
      <c r="AJ341" t="s">
        <v>54</v>
      </c>
    </row>
    <row r="342" spans="1:36" x14ac:dyDescent="0.3">
      <c r="A342" t="s">
        <v>55</v>
      </c>
      <c r="B342" t="s">
        <v>55</v>
      </c>
      <c r="C342" t="s">
        <v>56</v>
      </c>
      <c r="E342">
        <v>354</v>
      </c>
      <c r="F342" t="s">
        <v>541</v>
      </c>
      <c r="G342" t="s">
        <v>82</v>
      </c>
      <c r="H342" t="s">
        <v>40</v>
      </c>
      <c r="I342" s="4">
        <v>46100</v>
      </c>
      <c r="J342" s="4">
        <v>46129</v>
      </c>
      <c r="K342" t="s">
        <v>41</v>
      </c>
      <c r="L342" t="s">
        <v>405</v>
      </c>
      <c r="M342" t="s">
        <v>43</v>
      </c>
      <c r="N342" s="5">
        <f t="shared" si="23"/>
        <v>2649.7980008999998</v>
      </c>
      <c r="O342" s="5">
        <v>2189.9699999999998</v>
      </c>
      <c r="P342" s="5">
        <v>0</v>
      </c>
      <c r="Q342" s="5">
        <v>0</v>
      </c>
      <c r="R342" s="5">
        <v>0</v>
      </c>
      <c r="S342" s="5">
        <v>459.82800089999995</v>
      </c>
      <c r="T342" s="5">
        <v>0</v>
      </c>
      <c r="U342">
        <v>0</v>
      </c>
      <c r="V342">
        <v>0</v>
      </c>
      <c r="X342">
        <v>0</v>
      </c>
      <c r="Y342">
        <v>0</v>
      </c>
      <c r="AF342" s="5">
        <f t="shared" si="24"/>
        <v>2649.7980008999998</v>
      </c>
      <c r="AG342">
        <f t="shared" si="21"/>
        <v>0</v>
      </c>
      <c r="AH342" s="5">
        <f t="shared" si="22"/>
        <v>2649.7980008999998</v>
      </c>
      <c r="AJ342" t="s">
        <v>54</v>
      </c>
    </row>
    <row r="343" spans="1:36" x14ac:dyDescent="0.3">
      <c r="A343" t="s">
        <v>55</v>
      </c>
      <c r="B343" t="s">
        <v>55</v>
      </c>
      <c r="C343" t="s">
        <v>56</v>
      </c>
      <c r="E343">
        <v>355</v>
      </c>
      <c r="F343" t="s">
        <v>542</v>
      </c>
      <c r="G343" t="s">
        <v>82</v>
      </c>
      <c r="H343" t="s">
        <v>60</v>
      </c>
      <c r="I343" s="4">
        <v>46100</v>
      </c>
      <c r="J343" s="4"/>
      <c r="K343" t="s">
        <v>61</v>
      </c>
      <c r="L343" t="s">
        <v>42</v>
      </c>
      <c r="M343" t="s">
        <v>43</v>
      </c>
      <c r="N343" s="5">
        <f t="shared" si="23"/>
        <v>7499.1358252000009</v>
      </c>
      <c r="O343" s="5">
        <v>2302.75</v>
      </c>
      <c r="P343" s="5">
        <v>1374.48</v>
      </c>
      <c r="Q343" s="5">
        <v>2024.16</v>
      </c>
      <c r="R343" s="5">
        <v>525.54</v>
      </c>
      <c r="S343" s="5">
        <v>1314.2358251999999</v>
      </c>
      <c r="T343" s="5">
        <v>42.03</v>
      </c>
      <c r="U343">
        <v>1269.6799999999998</v>
      </c>
      <c r="V343">
        <v>0</v>
      </c>
      <c r="X343" t="s">
        <v>44</v>
      </c>
      <c r="Y343" t="s">
        <v>44</v>
      </c>
      <c r="AF343" s="5">
        <f t="shared" si="24"/>
        <v>8768.8158252000012</v>
      </c>
      <c r="AG343">
        <f t="shared" si="21"/>
        <v>0</v>
      </c>
      <c r="AH343" s="5">
        <f t="shared" si="22"/>
        <v>8768.8158252000012</v>
      </c>
      <c r="AJ343" t="s">
        <v>54</v>
      </c>
    </row>
    <row r="344" spans="1:36" x14ac:dyDescent="0.3">
      <c r="A344" t="s">
        <v>55</v>
      </c>
      <c r="B344" t="s">
        <v>55</v>
      </c>
      <c r="C344" t="s">
        <v>56</v>
      </c>
      <c r="E344">
        <v>357</v>
      </c>
      <c r="F344" t="s">
        <v>543</v>
      </c>
      <c r="G344" t="s">
        <v>82</v>
      </c>
      <c r="H344" t="s">
        <v>40</v>
      </c>
      <c r="I344" s="4">
        <v>46100</v>
      </c>
      <c r="J344" s="4">
        <v>46129</v>
      </c>
      <c r="K344" t="s">
        <v>41</v>
      </c>
      <c r="L344" t="s">
        <v>544</v>
      </c>
      <c r="M344" t="s">
        <v>43</v>
      </c>
      <c r="N344" s="5">
        <f t="shared" si="23"/>
        <v>4441.7515026000001</v>
      </c>
      <c r="O344" s="5">
        <v>2189.9699999999998</v>
      </c>
      <c r="P344" s="5">
        <v>0</v>
      </c>
      <c r="Q344" s="5">
        <v>245.73</v>
      </c>
      <c r="R344" s="5">
        <v>1084.1100000000001</v>
      </c>
      <c r="S344" s="5">
        <v>981.94150260000004</v>
      </c>
      <c r="T344" s="5">
        <v>60</v>
      </c>
      <c r="U344">
        <v>0</v>
      </c>
      <c r="V344">
        <v>0</v>
      </c>
      <c r="X344">
        <v>0</v>
      </c>
      <c r="Y344">
        <v>0</v>
      </c>
      <c r="AF344" s="5">
        <f t="shared" si="24"/>
        <v>4441.7515026000001</v>
      </c>
      <c r="AG344">
        <f t="shared" si="21"/>
        <v>0</v>
      </c>
      <c r="AH344" s="5">
        <f t="shared" si="22"/>
        <v>4441.7515026000001</v>
      </c>
      <c r="AJ344" t="s">
        <v>47</v>
      </c>
    </row>
    <row r="345" spans="1:36" x14ac:dyDescent="0.3">
      <c r="A345" t="s">
        <v>55</v>
      </c>
      <c r="B345" t="s">
        <v>55</v>
      </c>
      <c r="C345" t="s">
        <v>56</v>
      </c>
      <c r="E345">
        <v>358</v>
      </c>
      <c r="F345" t="s">
        <v>545</v>
      </c>
      <c r="G345" t="s">
        <v>82</v>
      </c>
      <c r="H345" t="s">
        <v>60</v>
      </c>
      <c r="I345" s="4">
        <v>46100</v>
      </c>
      <c r="J345" s="4"/>
      <c r="K345" t="s">
        <v>61</v>
      </c>
      <c r="L345" t="s">
        <v>42</v>
      </c>
      <c r="M345" t="s">
        <v>43</v>
      </c>
      <c r="N345" s="5">
        <f t="shared" si="23"/>
        <v>4062.8984175000001</v>
      </c>
      <c r="O345" s="5">
        <v>2302.75</v>
      </c>
      <c r="P345" s="5">
        <v>1276.6399999999999</v>
      </c>
      <c r="Q345" s="5">
        <v>0</v>
      </c>
      <c r="R345" s="5">
        <v>0</v>
      </c>
      <c r="S345" s="5">
        <v>483.50841750000001</v>
      </c>
      <c r="T345" s="5">
        <v>0</v>
      </c>
      <c r="U345">
        <v>1256.3599999999999</v>
      </c>
      <c r="V345">
        <v>0</v>
      </c>
      <c r="X345" t="s">
        <v>44</v>
      </c>
      <c r="Y345" t="s">
        <v>44</v>
      </c>
      <c r="AF345" s="5">
        <f t="shared" si="24"/>
        <v>5319.2584175000002</v>
      </c>
      <c r="AG345">
        <f t="shared" si="21"/>
        <v>0</v>
      </c>
      <c r="AH345" s="5">
        <f t="shared" si="22"/>
        <v>5319.2584175000002</v>
      </c>
      <c r="AJ345" t="s">
        <v>54</v>
      </c>
    </row>
    <row r="346" spans="1:36" x14ac:dyDescent="0.3">
      <c r="A346" t="s">
        <v>55</v>
      </c>
      <c r="B346" t="s">
        <v>55</v>
      </c>
      <c r="C346" t="s">
        <v>56</v>
      </c>
      <c r="E346">
        <v>359</v>
      </c>
      <c r="F346" t="s">
        <v>546</v>
      </c>
      <c r="G346" t="s">
        <v>59</v>
      </c>
      <c r="H346" t="s">
        <v>68</v>
      </c>
      <c r="I346" s="4">
        <v>46100</v>
      </c>
      <c r="J346" s="4">
        <v>46189</v>
      </c>
      <c r="K346" t="s">
        <v>41</v>
      </c>
      <c r="L346" t="s">
        <v>42</v>
      </c>
      <c r="M346" t="s">
        <v>43</v>
      </c>
      <c r="N346" s="5">
        <f t="shared" si="23"/>
        <v>4417.4154991000005</v>
      </c>
      <c r="O346" s="5">
        <v>2801.97</v>
      </c>
      <c r="P346" s="5">
        <v>811.8599999999999</v>
      </c>
      <c r="Q346" s="5">
        <v>120</v>
      </c>
      <c r="R346" s="5">
        <v>1285.4099999999999</v>
      </c>
      <c r="S346" s="5">
        <v>1335.4154991000003</v>
      </c>
      <c r="T346" s="5">
        <v>1937.24</v>
      </c>
      <c r="U346">
        <v>0</v>
      </c>
      <c r="V346">
        <v>0</v>
      </c>
      <c r="X346" t="s">
        <v>44</v>
      </c>
      <c r="Y346" t="s">
        <v>44</v>
      </c>
      <c r="AF346" s="5">
        <f t="shared" si="24"/>
        <v>4417.4154991000005</v>
      </c>
      <c r="AG346">
        <f t="shared" si="21"/>
        <v>0</v>
      </c>
      <c r="AH346" s="5">
        <f t="shared" si="22"/>
        <v>4417.4154991000005</v>
      </c>
      <c r="AJ346" t="s">
        <v>54</v>
      </c>
    </row>
    <row r="347" spans="1:36" x14ac:dyDescent="0.3">
      <c r="A347" t="s">
        <v>55</v>
      </c>
      <c r="B347" t="s">
        <v>55</v>
      </c>
      <c r="C347" t="s">
        <v>56</v>
      </c>
      <c r="E347">
        <v>360</v>
      </c>
      <c r="F347" t="s">
        <v>547</v>
      </c>
      <c r="G347" t="s">
        <v>82</v>
      </c>
      <c r="H347" t="s">
        <v>60</v>
      </c>
      <c r="I347" s="4">
        <v>46100</v>
      </c>
      <c r="J347" s="4"/>
      <c r="K347" t="s">
        <v>61</v>
      </c>
      <c r="L347" t="s">
        <v>42</v>
      </c>
      <c r="M347" t="s">
        <v>43</v>
      </c>
      <c r="N347" s="5">
        <f t="shared" si="23"/>
        <v>5127.849343599999</v>
      </c>
      <c r="O347" s="5">
        <v>2302.75</v>
      </c>
      <c r="P347" s="5">
        <v>573.66</v>
      </c>
      <c r="Q347" s="5">
        <v>496.80999999999995</v>
      </c>
      <c r="R347" s="5">
        <v>1083.43</v>
      </c>
      <c r="S347" s="5">
        <v>1088.0393435999997</v>
      </c>
      <c r="T347" s="5">
        <v>416.84</v>
      </c>
      <c r="U347">
        <v>1167.0399999999997</v>
      </c>
      <c r="V347">
        <v>0</v>
      </c>
      <c r="X347" t="s">
        <v>44</v>
      </c>
      <c r="Y347" t="s">
        <v>44</v>
      </c>
      <c r="AF347" s="5">
        <f t="shared" si="24"/>
        <v>6294.8893435999989</v>
      </c>
      <c r="AG347">
        <f t="shared" si="21"/>
        <v>0</v>
      </c>
      <c r="AH347" s="5">
        <f t="shared" si="22"/>
        <v>6294.8893435999989</v>
      </c>
      <c r="AJ347" t="s">
        <v>54</v>
      </c>
    </row>
    <row r="348" spans="1:36" x14ac:dyDescent="0.3">
      <c r="A348" t="s">
        <v>55</v>
      </c>
      <c r="B348" t="s">
        <v>55</v>
      </c>
      <c r="C348" t="s">
        <v>56</v>
      </c>
      <c r="E348">
        <v>361</v>
      </c>
      <c r="F348" t="s">
        <v>548</v>
      </c>
      <c r="G348" t="s">
        <v>133</v>
      </c>
      <c r="H348" t="s">
        <v>60</v>
      </c>
      <c r="I348" s="4">
        <v>46118</v>
      </c>
      <c r="J348" s="4"/>
      <c r="K348" t="s">
        <v>61</v>
      </c>
      <c r="L348" t="s">
        <v>42</v>
      </c>
      <c r="M348" t="s">
        <v>43</v>
      </c>
      <c r="N348" s="5">
        <f t="shared" si="23"/>
        <v>8796.3683615999998</v>
      </c>
      <c r="O348" s="5">
        <v>4681.28</v>
      </c>
      <c r="P348" s="5">
        <v>3132.16</v>
      </c>
      <c r="Q348" s="5">
        <v>0</v>
      </c>
      <c r="R348" s="5">
        <v>0</v>
      </c>
      <c r="S348" s="5">
        <v>982.92836159999979</v>
      </c>
      <c r="T348" s="5">
        <v>0</v>
      </c>
      <c r="U348">
        <v>1358.9999999999998</v>
      </c>
      <c r="V348">
        <v>0</v>
      </c>
      <c r="X348" t="s">
        <v>44</v>
      </c>
      <c r="Y348" t="s">
        <v>44</v>
      </c>
      <c r="AF348" s="5">
        <f t="shared" si="24"/>
        <v>10155.3683616</v>
      </c>
      <c r="AG348">
        <f t="shared" si="21"/>
        <v>0</v>
      </c>
      <c r="AH348" s="5">
        <f t="shared" si="22"/>
        <v>10155.3683616</v>
      </c>
      <c r="AJ348" t="s">
        <v>54</v>
      </c>
    </row>
    <row r="349" spans="1:36" x14ac:dyDescent="0.3">
      <c r="A349" t="s">
        <v>277</v>
      </c>
      <c r="B349" t="s">
        <v>55</v>
      </c>
      <c r="C349" t="s">
        <v>56</v>
      </c>
      <c r="E349">
        <v>362</v>
      </c>
      <c r="F349" t="s">
        <v>549</v>
      </c>
      <c r="G349" t="s">
        <v>82</v>
      </c>
      <c r="H349" t="s">
        <v>68</v>
      </c>
      <c r="I349" s="4">
        <v>46118</v>
      </c>
      <c r="J349" s="4"/>
      <c r="K349" t="s">
        <v>61</v>
      </c>
      <c r="L349" t="s">
        <v>42</v>
      </c>
      <c r="M349" t="s">
        <v>43</v>
      </c>
      <c r="N349" s="5">
        <f t="shared" si="23"/>
        <v>3949.3584175000001</v>
      </c>
      <c r="O349" s="5">
        <v>2302.75</v>
      </c>
      <c r="P349" s="5">
        <v>1163.0999999999999</v>
      </c>
      <c r="Q349" s="5">
        <v>0</v>
      </c>
      <c r="R349" s="5">
        <v>0</v>
      </c>
      <c r="S349" s="5">
        <v>483.50841750000001</v>
      </c>
      <c r="T349" s="5">
        <v>0</v>
      </c>
      <c r="U349">
        <v>1218.3599999999997</v>
      </c>
      <c r="V349">
        <v>0</v>
      </c>
      <c r="X349" t="s">
        <v>44</v>
      </c>
      <c r="Y349" t="s">
        <v>44</v>
      </c>
      <c r="AF349" s="5">
        <f t="shared" si="24"/>
        <v>5167.7184175000002</v>
      </c>
      <c r="AG349">
        <f t="shared" si="21"/>
        <v>0</v>
      </c>
      <c r="AH349" s="5">
        <f t="shared" si="22"/>
        <v>5167.7184175000002</v>
      </c>
      <c r="AJ349" t="s">
        <v>54</v>
      </c>
    </row>
    <row r="350" spans="1:36" x14ac:dyDescent="0.3">
      <c r="A350" t="s">
        <v>55</v>
      </c>
      <c r="B350" t="s">
        <v>55</v>
      </c>
      <c r="C350" t="s">
        <v>56</v>
      </c>
      <c r="E350">
        <v>363</v>
      </c>
      <c r="F350" t="s">
        <v>550</v>
      </c>
      <c r="G350" t="s">
        <v>139</v>
      </c>
      <c r="H350" t="s">
        <v>60</v>
      </c>
      <c r="I350" s="4">
        <v>46118</v>
      </c>
      <c r="J350" s="4"/>
      <c r="K350" t="s">
        <v>61</v>
      </c>
      <c r="L350" t="s">
        <v>42</v>
      </c>
      <c r="M350" t="s">
        <v>43</v>
      </c>
      <c r="N350" s="5">
        <f t="shared" si="23"/>
        <v>6151.7972960000006</v>
      </c>
      <c r="O350" s="5">
        <v>3356.8</v>
      </c>
      <c r="P350" s="5">
        <v>2090.17</v>
      </c>
      <c r="Q350" s="5">
        <v>0</v>
      </c>
      <c r="R350" s="5">
        <v>0</v>
      </c>
      <c r="S350" s="5">
        <v>704.82729600000005</v>
      </c>
      <c r="T350" s="5">
        <v>0</v>
      </c>
      <c r="U350">
        <v>1345.6799999999998</v>
      </c>
      <c r="V350">
        <v>0</v>
      </c>
      <c r="X350" t="s">
        <v>44</v>
      </c>
      <c r="Y350" t="s">
        <v>44</v>
      </c>
      <c r="Z350">
        <v>15000</v>
      </c>
      <c r="AD350" t="s">
        <v>65</v>
      </c>
      <c r="AF350" s="5">
        <f t="shared" si="24"/>
        <v>7497.4772960000009</v>
      </c>
      <c r="AG350">
        <f t="shared" si="21"/>
        <v>15000</v>
      </c>
      <c r="AH350" s="5">
        <f t="shared" si="22"/>
        <v>22497.477296000001</v>
      </c>
      <c r="AJ350" t="s">
        <v>54</v>
      </c>
    </row>
    <row r="351" spans="1:36" x14ac:dyDescent="0.3">
      <c r="A351" t="s">
        <v>55</v>
      </c>
      <c r="B351" t="s">
        <v>55</v>
      </c>
      <c r="C351" t="s">
        <v>56</v>
      </c>
      <c r="E351">
        <v>364</v>
      </c>
      <c r="F351" t="s">
        <v>551</v>
      </c>
      <c r="G351" t="s">
        <v>59</v>
      </c>
      <c r="H351" t="s">
        <v>128</v>
      </c>
      <c r="I351" s="4">
        <v>46118</v>
      </c>
      <c r="J351" s="4">
        <v>46206</v>
      </c>
      <c r="K351" t="s">
        <v>41</v>
      </c>
      <c r="L351" t="s">
        <v>42</v>
      </c>
      <c r="M351" t="s">
        <v>43</v>
      </c>
      <c r="N351" s="5">
        <f t="shared" si="23"/>
        <v>3430.3996408999997</v>
      </c>
      <c r="O351" s="5">
        <v>2801.97</v>
      </c>
      <c r="P351" s="5">
        <v>40.1</v>
      </c>
      <c r="Q351" s="5">
        <v>0</v>
      </c>
      <c r="R351" s="5">
        <v>0</v>
      </c>
      <c r="S351" s="5">
        <v>588.32964089999996</v>
      </c>
      <c r="T351" s="5">
        <v>0</v>
      </c>
      <c r="U351">
        <v>1180.3599999999999</v>
      </c>
      <c r="V351">
        <v>0</v>
      </c>
      <c r="X351" t="s">
        <v>44</v>
      </c>
      <c r="Y351" t="s">
        <v>44</v>
      </c>
      <c r="AF351" s="5">
        <f t="shared" si="24"/>
        <v>4610.7596408999998</v>
      </c>
      <c r="AG351">
        <f t="shared" si="21"/>
        <v>0</v>
      </c>
      <c r="AH351" s="5">
        <f t="shared" si="22"/>
        <v>4610.7596408999998</v>
      </c>
      <c r="AJ351" t="s">
        <v>54</v>
      </c>
    </row>
    <row r="352" spans="1:36" x14ac:dyDescent="0.3">
      <c r="A352" t="s">
        <v>277</v>
      </c>
      <c r="B352" t="s">
        <v>55</v>
      </c>
      <c r="C352" t="s">
        <v>56</v>
      </c>
      <c r="E352">
        <v>365</v>
      </c>
      <c r="F352" t="s">
        <v>552</v>
      </c>
      <c r="G352" t="s">
        <v>133</v>
      </c>
      <c r="H352" t="s">
        <v>68</v>
      </c>
      <c r="I352" s="4">
        <v>46118</v>
      </c>
      <c r="J352" s="4"/>
      <c r="K352" t="s">
        <v>61</v>
      </c>
      <c r="L352" t="s">
        <v>42</v>
      </c>
      <c r="M352" t="s">
        <v>43</v>
      </c>
      <c r="N352" s="5">
        <f t="shared" si="23"/>
        <v>11253.773459299999</v>
      </c>
      <c r="O352" s="5">
        <v>4681.28</v>
      </c>
      <c r="P352" s="5">
        <v>4767.6799999999994</v>
      </c>
      <c r="Q352" s="5">
        <v>0</v>
      </c>
      <c r="R352" s="5">
        <v>596.34</v>
      </c>
      <c r="S352" s="5">
        <v>1409.8834593000001</v>
      </c>
      <c r="T352" s="5">
        <v>201.41</v>
      </c>
      <c r="U352">
        <v>1439.4399999999996</v>
      </c>
      <c r="V352">
        <v>0</v>
      </c>
      <c r="X352" t="s">
        <v>44</v>
      </c>
      <c r="Y352" t="s">
        <v>44</v>
      </c>
      <c r="Z352">
        <f>33500+15000</f>
        <v>48500</v>
      </c>
      <c r="AD352" t="s">
        <v>88</v>
      </c>
      <c r="AF352" s="5">
        <f t="shared" si="24"/>
        <v>12693.213459299997</v>
      </c>
      <c r="AG352">
        <f t="shared" si="21"/>
        <v>48500</v>
      </c>
      <c r="AH352" s="5">
        <f t="shared" si="22"/>
        <v>61193.213459299994</v>
      </c>
      <c r="AJ352" t="s">
        <v>54</v>
      </c>
    </row>
    <row r="353" spans="1:36" x14ac:dyDescent="0.3">
      <c r="A353" t="s">
        <v>55</v>
      </c>
      <c r="B353" t="s">
        <v>55</v>
      </c>
      <c r="C353" t="s">
        <v>56</v>
      </c>
      <c r="E353">
        <v>366</v>
      </c>
      <c r="F353" t="s">
        <v>553</v>
      </c>
      <c r="G353" t="s">
        <v>82</v>
      </c>
      <c r="H353" t="s">
        <v>60</v>
      </c>
      <c r="I353" s="4">
        <v>46118</v>
      </c>
      <c r="J353" s="4">
        <v>46206</v>
      </c>
      <c r="K353" t="s">
        <v>41</v>
      </c>
      <c r="L353" t="s">
        <v>42</v>
      </c>
      <c r="M353" t="s">
        <v>43</v>
      </c>
      <c r="N353" s="5">
        <f t="shared" si="23"/>
        <v>4447.8461665000004</v>
      </c>
      <c r="O353" s="5">
        <v>2302.75</v>
      </c>
      <c r="P353" s="5">
        <v>604.33000000000004</v>
      </c>
      <c r="Q353" s="5">
        <v>497.56000000000006</v>
      </c>
      <c r="R353" s="5">
        <v>466.75</v>
      </c>
      <c r="S353" s="5">
        <v>828.21616649999999</v>
      </c>
      <c r="T353" s="5">
        <v>251.76</v>
      </c>
      <c r="U353">
        <v>1171.48</v>
      </c>
      <c r="V353">
        <v>0</v>
      </c>
      <c r="X353" t="s">
        <v>44</v>
      </c>
      <c r="Y353" t="s">
        <v>44</v>
      </c>
      <c r="AF353" s="5">
        <f t="shared" si="24"/>
        <v>5619.3261665000009</v>
      </c>
      <c r="AG353">
        <f t="shared" si="21"/>
        <v>0</v>
      </c>
      <c r="AH353" s="5">
        <f t="shared" si="22"/>
        <v>5619.3261665000009</v>
      </c>
      <c r="AJ353" t="s">
        <v>54</v>
      </c>
    </row>
    <row r="354" spans="1:36" x14ac:dyDescent="0.3">
      <c r="A354" t="s">
        <v>55</v>
      </c>
      <c r="B354" t="s">
        <v>55</v>
      </c>
      <c r="C354" t="s">
        <v>56</v>
      </c>
      <c r="E354">
        <v>367</v>
      </c>
      <c r="F354" t="s">
        <v>554</v>
      </c>
      <c r="G354" t="s">
        <v>59</v>
      </c>
      <c r="H354" t="s">
        <v>60</v>
      </c>
      <c r="I354" s="4">
        <v>46118</v>
      </c>
      <c r="J354" s="4"/>
      <c r="K354" t="s">
        <v>61</v>
      </c>
      <c r="L354" t="s">
        <v>42</v>
      </c>
      <c r="M354" t="s">
        <v>43</v>
      </c>
      <c r="N354" s="5">
        <f t="shared" si="23"/>
        <v>4556.4496409000003</v>
      </c>
      <c r="O354" s="5">
        <v>2801.97</v>
      </c>
      <c r="P354" s="5">
        <v>1166.1500000000001</v>
      </c>
      <c r="Q354" s="5">
        <v>0</v>
      </c>
      <c r="R354" s="5">
        <v>0</v>
      </c>
      <c r="S354" s="5">
        <v>588.32964089999996</v>
      </c>
      <c r="T354" s="5">
        <v>0</v>
      </c>
      <c r="U354">
        <v>1341.2399999999998</v>
      </c>
      <c r="V354">
        <v>0</v>
      </c>
      <c r="X354" t="s">
        <v>44</v>
      </c>
      <c r="Y354" t="s">
        <v>44</v>
      </c>
      <c r="AF354" s="5">
        <f t="shared" si="24"/>
        <v>5897.6896409000001</v>
      </c>
      <c r="AG354">
        <f t="shared" si="21"/>
        <v>0</v>
      </c>
      <c r="AH354" s="5">
        <f t="shared" si="22"/>
        <v>5897.6896409000001</v>
      </c>
      <c r="AJ354" t="s">
        <v>54</v>
      </c>
    </row>
    <row r="355" spans="1:36" x14ac:dyDescent="0.3">
      <c r="A355" t="s">
        <v>55</v>
      </c>
      <c r="B355" t="s">
        <v>55</v>
      </c>
      <c r="C355" t="s">
        <v>56</v>
      </c>
      <c r="E355">
        <v>368</v>
      </c>
      <c r="F355" t="s">
        <v>555</v>
      </c>
      <c r="G355" t="s">
        <v>82</v>
      </c>
      <c r="H355" t="s">
        <v>60</v>
      </c>
      <c r="I355" s="4">
        <v>46118</v>
      </c>
      <c r="J355" s="4">
        <v>46206</v>
      </c>
      <c r="K355" t="s">
        <v>41</v>
      </c>
      <c r="L355" t="s">
        <v>42</v>
      </c>
      <c r="M355" t="s">
        <v>43</v>
      </c>
      <c r="N355" s="5">
        <f t="shared" si="23"/>
        <v>3062.5184175000004</v>
      </c>
      <c r="O355" s="5">
        <v>2302.75</v>
      </c>
      <c r="P355" s="5">
        <v>276.26</v>
      </c>
      <c r="Q355" s="5">
        <v>0</v>
      </c>
      <c r="R355" s="5">
        <v>0</v>
      </c>
      <c r="S355" s="5">
        <v>483.50841750000001</v>
      </c>
      <c r="T355" s="5">
        <v>0</v>
      </c>
      <c r="U355">
        <v>823.07999999999993</v>
      </c>
      <c r="V355">
        <v>0</v>
      </c>
      <c r="X355" t="s">
        <v>44</v>
      </c>
      <c r="Y355" t="s">
        <v>44</v>
      </c>
      <c r="AF355" s="5">
        <f t="shared" si="24"/>
        <v>3885.5984175000003</v>
      </c>
      <c r="AG355">
        <f t="shared" si="21"/>
        <v>0</v>
      </c>
      <c r="AH355" s="5">
        <f t="shared" si="22"/>
        <v>3885.5984175000003</v>
      </c>
      <c r="AJ355" t="s">
        <v>54</v>
      </c>
    </row>
    <row r="356" spans="1:36" x14ac:dyDescent="0.3">
      <c r="A356" t="s">
        <v>55</v>
      </c>
      <c r="B356" t="s">
        <v>55</v>
      </c>
      <c r="C356" t="s">
        <v>56</v>
      </c>
      <c r="E356">
        <v>369</v>
      </c>
      <c r="F356" t="s">
        <v>556</v>
      </c>
      <c r="G356" t="s">
        <v>82</v>
      </c>
      <c r="H356" t="s">
        <v>60</v>
      </c>
      <c r="I356" s="4">
        <v>46118</v>
      </c>
      <c r="J356" s="4"/>
      <c r="K356" t="s">
        <v>61</v>
      </c>
      <c r="L356" t="s">
        <v>42</v>
      </c>
      <c r="M356" t="s">
        <v>43</v>
      </c>
      <c r="N356" s="5">
        <f t="shared" si="23"/>
        <v>4158.2184175000002</v>
      </c>
      <c r="O356" s="5">
        <v>2302.75</v>
      </c>
      <c r="P356" s="5">
        <v>1371.96</v>
      </c>
      <c r="Q356" s="5">
        <v>0</v>
      </c>
      <c r="R356" s="5">
        <v>0</v>
      </c>
      <c r="S356" s="5">
        <v>483.50841750000001</v>
      </c>
      <c r="T356" s="5">
        <v>0</v>
      </c>
      <c r="U356">
        <v>1213.92</v>
      </c>
      <c r="V356">
        <v>0</v>
      </c>
      <c r="X356" t="s">
        <v>44</v>
      </c>
      <c r="Y356" t="s">
        <v>44</v>
      </c>
      <c r="AF356" s="5">
        <f t="shared" si="24"/>
        <v>5372.1384175000003</v>
      </c>
      <c r="AG356">
        <f t="shared" si="21"/>
        <v>0</v>
      </c>
      <c r="AH356" s="5">
        <f t="shared" si="22"/>
        <v>5372.1384175000003</v>
      </c>
      <c r="AJ356" t="s">
        <v>54</v>
      </c>
    </row>
    <row r="357" spans="1:36" x14ac:dyDescent="0.3">
      <c r="A357" t="s">
        <v>55</v>
      </c>
      <c r="B357" t="s">
        <v>55</v>
      </c>
      <c r="C357" t="s">
        <v>56</v>
      </c>
      <c r="E357">
        <v>370</v>
      </c>
      <c r="F357" t="s">
        <v>557</v>
      </c>
      <c r="G357" t="s">
        <v>82</v>
      </c>
      <c r="H357" t="s">
        <v>60</v>
      </c>
      <c r="I357" s="4">
        <v>46118</v>
      </c>
      <c r="J357" s="4"/>
      <c r="K357" t="s">
        <v>61</v>
      </c>
      <c r="L357" t="s">
        <v>42</v>
      </c>
      <c r="M357" t="s">
        <v>43</v>
      </c>
      <c r="N357" s="5">
        <f t="shared" si="23"/>
        <v>5013.8879634000004</v>
      </c>
      <c r="O357" s="5">
        <v>2302.75</v>
      </c>
      <c r="P357" s="5">
        <v>1000.9000000000001</v>
      </c>
      <c r="Q357" s="5">
        <v>799.96</v>
      </c>
      <c r="R357" s="5">
        <v>293.33999999999997</v>
      </c>
      <c r="S357" s="5">
        <v>827.53796340000008</v>
      </c>
      <c r="T357" s="5">
        <v>210.6</v>
      </c>
      <c r="U357">
        <v>1307.6799999999998</v>
      </c>
      <c r="V357">
        <v>0</v>
      </c>
      <c r="X357" t="s">
        <v>44</v>
      </c>
      <c r="Y357" t="s">
        <v>44</v>
      </c>
      <c r="AF357" s="5">
        <f t="shared" si="24"/>
        <v>6321.5679634000007</v>
      </c>
      <c r="AG357">
        <f t="shared" si="21"/>
        <v>0</v>
      </c>
      <c r="AH357" s="5">
        <f t="shared" si="22"/>
        <v>6321.5679634000007</v>
      </c>
      <c r="AJ357" t="s">
        <v>54</v>
      </c>
    </row>
    <row r="358" spans="1:36" x14ac:dyDescent="0.3">
      <c r="A358" t="s">
        <v>277</v>
      </c>
      <c r="B358" t="s">
        <v>55</v>
      </c>
      <c r="C358" t="s">
        <v>56</v>
      </c>
      <c r="E358">
        <v>371</v>
      </c>
      <c r="F358" t="s">
        <v>558</v>
      </c>
      <c r="G358" t="s">
        <v>82</v>
      </c>
      <c r="H358" t="s">
        <v>68</v>
      </c>
      <c r="I358" s="4">
        <v>46118</v>
      </c>
      <c r="J358" s="4"/>
      <c r="K358" t="s">
        <v>61</v>
      </c>
      <c r="L358" t="s">
        <v>42</v>
      </c>
      <c r="M358" t="s">
        <v>43</v>
      </c>
      <c r="N358" s="5">
        <f t="shared" si="23"/>
        <v>3299.3384175000001</v>
      </c>
      <c r="O358" s="5">
        <v>2302.75</v>
      </c>
      <c r="P358" s="5">
        <v>513.08000000000004</v>
      </c>
      <c r="Q358" s="5">
        <v>0</v>
      </c>
      <c r="R358" s="5">
        <v>0</v>
      </c>
      <c r="S358" s="5">
        <v>483.50841750000001</v>
      </c>
      <c r="T358" s="5">
        <v>0</v>
      </c>
      <c r="U358">
        <v>975.07999999999981</v>
      </c>
      <c r="V358">
        <v>0</v>
      </c>
      <c r="X358" t="s">
        <v>44</v>
      </c>
      <c r="Y358" t="s">
        <v>44</v>
      </c>
      <c r="AF358" s="5">
        <f t="shared" si="24"/>
        <v>4274.4184175</v>
      </c>
      <c r="AG358">
        <f t="shared" si="21"/>
        <v>0</v>
      </c>
      <c r="AH358" s="5">
        <f t="shared" si="22"/>
        <v>4274.4184175</v>
      </c>
      <c r="AJ358" t="s">
        <v>54</v>
      </c>
    </row>
    <row r="359" spans="1:36" x14ac:dyDescent="0.3">
      <c r="A359" t="s">
        <v>55</v>
      </c>
      <c r="B359" t="s">
        <v>55</v>
      </c>
      <c r="C359" t="s">
        <v>56</v>
      </c>
      <c r="E359">
        <v>372</v>
      </c>
      <c r="F359" t="s">
        <v>142</v>
      </c>
      <c r="G359" t="s">
        <v>209</v>
      </c>
      <c r="H359" t="s">
        <v>60</v>
      </c>
      <c r="I359" s="4">
        <v>46118</v>
      </c>
      <c r="J359" s="4"/>
      <c r="K359" t="s">
        <v>61</v>
      </c>
      <c r="L359" t="s">
        <v>42</v>
      </c>
      <c r="M359" t="s">
        <v>43</v>
      </c>
      <c r="N359" s="5">
        <f t="shared" si="23"/>
        <v>5390.4881749999995</v>
      </c>
      <c r="O359" s="5">
        <v>2801.97</v>
      </c>
      <c r="P359" s="5">
        <v>1603.43</v>
      </c>
      <c r="Q359" s="5">
        <v>324.2</v>
      </c>
      <c r="R359" s="5">
        <v>25.39</v>
      </c>
      <c r="S359" s="5">
        <v>677.67817500000001</v>
      </c>
      <c r="T359" s="5">
        <v>42.18</v>
      </c>
      <c r="U359">
        <v>1276.5999999999999</v>
      </c>
      <c r="V359">
        <v>0</v>
      </c>
      <c r="X359" t="s">
        <v>44</v>
      </c>
      <c r="Y359" t="s">
        <v>44</v>
      </c>
      <c r="AF359" s="5">
        <f t="shared" si="24"/>
        <v>6667.088174999999</v>
      </c>
      <c r="AG359">
        <f t="shared" si="21"/>
        <v>0</v>
      </c>
      <c r="AH359" s="5">
        <f t="shared" si="22"/>
        <v>6667.088174999999</v>
      </c>
      <c r="AJ359" t="s">
        <v>54</v>
      </c>
    </row>
    <row r="360" spans="1:36" x14ac:dyDescent="0.3">
      <c r="A360" t="s">
        <v>55</v>
      </c>
      <c r="B360" t="s">
        <v>55</v>
      </c>
      <c r="C360" t="s">
        <v>56</v>
      </c>
      <c r="E360">
        <v>373</v>
      </c>
      <c r="F360" t="s">
        <v>559</v>
      </c>
      <c r="G360" t="s">
        <v>396</v>
      </c>
      <c r="H360" t="s">
        <v>68</v>
      </c>
      <c r="I360" s="4">
        <v>46121</v>
      </c>
      <c r="J360" s="4"/>
      <c r="K360" t="s">
        <v>61</v>
      </c>
      <c r="L360" t="s">
        <v>42</v>
      </c>
      <c r="M360" t="s">
        <v>43</v>
      </c>
      <c r="N360" s="5">
        <f t="shared" si="23"/>
        <v>5280.1120195000003</v>
      </c>
      <c r="O360" s="5">
        <v>3049.35</v>
      </c>
      <c r="P360" s="5">
        <v>1590.49</v>
      </c>
      <c r="Q360" s="5">
        <v>0</v>
      </c>
      <c r="R360" s="5">
        <v>0</v>
      </c>
      <c r="S360" s="5">
        <v>640.27201949999994</v>
      </c>
      <c r="T360" s="5">
        <v>0</v>
      </c>
      <c r="U360">
        <v>1350.12</v>
      </c>
      <c r="V360">
        <v>0</v>
      </c>
      <c r="W360">
        <v>600</v>
      </c>
      <c r="X360" t="s">
        <v>44</v>
      </c>
      <c r="Y360" t="s">
        <v>44</v>
      </c>
      <c r="AF360" s="5">
        <f t="shared" si="24"/>
        <v>7230.2320195000002</v>
      </c>
      <c r="AG360">
        <f t="shared" si="21"/>
        <v>0</v>
      </c>
      <c r="AH360" s="5">
        <f t="shared" si="22"/>
        <v>7230.2320195000002</v>
      </c>
      <c r="AI360" t="s">
        <v>560</v>
      </c>
      <c r="AJ360" t="s">
        <v>54</v>
      </c>
    </row>
    <row r="361" spans="1:36" x14ac:dyDescent="0.3">
      <c r="A361" t="s">
        <v>55</v>
      </c>
      <c r="B361" t="s">
        <v>55</v>
      </c>
      <c r="C361" t="s">
        <v>56</v>
      </c>
      <c r="E361">
        <v>374</v>
      </c>
      <c r="F361" t="s">
        <v>561</v>
      </c>
      <c r="G361" t="s">
        <v>82</v>
      </c>
      <c r="H361" t="s">
        <v>40</v>
      </c>
      <c r="I361" s="4">
        <v>46121</v>
      </c>
      <c r="J361" s="4">
        <v>46150</v>
      </c>
      <c r="K361" t="s">
        <v>41</v>
      </c>
      <c r="L361" t="s">
        <v>42</v>
      </c>
      <c r="M361" t="s">
        <v>43</v>
      </c>
      <c r="N361" s="5">
        <f t="shared" si="23"/>
        <v>3856.1661359</v>
      </c>
      <c r="O361" s="5">
        <v>2189.9699999999998</v>
      </c>
      <c r="P361" s="5">
        <v>0</v>
      </c>
      <c r="Q361" s="5">
        <v>400</v>
      </c>
      <c r="R361" s="5">
        <v>733.81</v>
      </c>
      <c r="S361" s="5">
        <v>647.85613589999991</v>
      </c>
      <c r="T361" s="5">
        <v>115.47</v>
      </c>
      <c r="U361">
        <v>0</v>
      </c>
      <c r="V361">
        <v>0</v>
      </c>
      <c r="X361">
        <v>0</v>
      </c>
      <c r="Y361" t="s">
        <v>44</v>
      </c>
      <c r="AF361" s="5">
        <f t="shared" si="24"/>
        <v>3856.1661359</v>
      </c>
      <c r="AG361">
        <f t="shared" si="21"/>
        <v>0</v>
      </c>
      <c r="AH361" s="5">
        <f t="shared" si="22"/>
        <v>3856.1661359</v>
      </c>
      <c r="AJ361" t="s">
        <v>54</v>
      </c>
    </row>
    <row r="362" spans="1:36" x14ac:dyDescent="0.3">
      <c r="A362" t="s">
        <v>55</v>
      </c>
      <c r="B362" t="s">
        <v>55</v>
      </c>
      <c r="C362" t="s">
        <v>56</v>
      </c>
      <c r="E362">
        <v>375</v>
      </c>
      <c r="F362" t="s">
        <v>562</v>
      </c>
      <c r="G362" t="s">
        <v>82</v>
      </c>
      <c r="H362" t="s">
        <v>40</v>
      </c>
      <c r="I362" s="4">
        <v>46121</v>
      </c>
      <c r="J362" s="4">
        <v>46150</v>
      </c>
      <c r="K362" t="s">
        <v>41</v>
      </c>
      <c r="L362" t="s">
        <v>42</v>
      </c>
      <c r="M362" t="s">
        <v>43</v>
      </c>
      <c r="N362" s="5">
        <f t="shared" si="23"/>
        <v>3925.6206465999999</v>
      </c>
      <c r="O362" s="5">
        <v>2189.9699999999998</v>
      </c>
      <c r="P362" s="5">
        <v>0</v>
      </c>
      <c r="Q362" s="5">
        <v>485.61</v>
      </c>
      <c r="R362" s="5">
        <v>502.84</v>
      </c>
      <c r="S362" s="5">
        <v>1001.9306465999999</v>
      </c>
      <c r="T362" s="5">
        <v>254.73</v>
      </c>
      <c r="U362">
        <v>0</v>
      </c>
      <c r="V362">
        <v>0</v>
      </c>
      <c r="X362">
        <v>0</v>
      </c>
      <c r="Y362" t="s">
        <v>44</v>
      </c>
      <c r="AF362" s="5">
        <f t="shared" si="24"/>
        <v>3925.6206465999999</v>
      </c>
      <c r="AG362">
        <f t="shared" si="21"/>
        <v>0</v>
      </c>
      <c r="AH362" s="5">
        <f t="shared" si="22"/>
        <v>3925.6206465999999</v>
      </c>
      <c r="AJ362" t="s">
        <v>54</v>
      </c>
    </row>
    <row r="363" spans="1:36" x14ac:dyDescent="0.3">
      <c r="A363" t="s">
        <v>55</v>
      </c>
      <c r="B363" t="s">
        <v>55</v>
      </c>
      <c r="C363" t="s">
        <v>56</v>
      </c>
      <c r="E363">
        <v>376</v>
      </c>
      <c r="F363" t="s">
        <v>563</v>
      </c>
      <c r="G363" t="s">
        <v>163</v>
      </c>
      <c r="H363" t="s">
        <v>60</v>
      </c>
      <c r="I363" s="4">
        <v>46134</v>
      </c>
      <c r="J363" s="4"/>
      <c r="K363" t="s">
        <v>61</v>
      </c>
      <c r="L363" t="s">
        <v>42</v>
      </c>
      <c r="M363" t="s">
        <v>43</v>
      </c>
      <c r="N363" s="5">
        <f t="shared" si="23"/>
        <v>7845.9423115</v>
      </c>
      <c r="O363" s="5">
        <v>5572.95</v>
      </c>
      <c r="P363" s="5">
        <v>1102.8399999999999</v>
      </c>
      <c r="Q363" s="5">
        <v>0</v>
      </c>
      <c r="R363" s="5">
        <v>0</v>
      </c>
      <c r="S363" s="5">
        <v>1170.1523115</v>
      </c>
      <c r="T363" s="5">
        <v>0</v>
      </c>
      <c r="U363">
        <v>1325.4399999999996</v>
      </c>
      <c r="V363">
        <v>0</v>
      </c>
      <c r="X363" t="s">
        <v>44</v>
      </c>
      <c r="Y363" t="s">
        <v>44</v>
      </c>
      <c r="AF363" s="5">
        <f t="shared" si="24"/>
        <v>9171.3823114999996</v>
      </c>
      <c r="AG363">
        <f t="shared" si="21"/>
        <v>0</v>
      </c>
      <c r="AH363" s="5">
        <f t="shared" si="22"/>
        <v>9171.3823114999996</v>
      </c>
      <c r="AJ363" t="s">
        <v>47</v>
      </c>
    </row>
    <row r="364" spans="1:36" s="6" customFormat="1" x14ac:dyDescent="0.3">
      <c r="A364" s="6" t="s">
        <v>89</v>
      </c>
      <c r="B364" s="6" t="s">
        <v>143</v>
      </c>
      <c r="C364" s="6" t="s">
        <v>37</v>
      </c>
      <c r="D364" s="6" t="s">
        <v>144</v>
      </c>
      <c r="E364" s="6">
        <v>377</v>
      </c>
      <c r="F364" s="6" t="s">
        <v>564</v>
      </c>
      <c r="G364" s="6" t="s">
        <v>146</v>
      </c>
      <c r="H364" t="s">
        <v>60</v>
      </c>
      <c r="I364" s="4">
        <v>46134</v>
      </c>
      <c r="J364" s="4"/>
      <c r="K364" s="6" t="s">
        <v>61</v>
      </c>
      <c r="L364" t="s">
        <v>42</v>
      </c>
      <c r="M364" s="6" t="s">
        <v>43</v>
      </c>
      <c r="N364" s="5">
        <f t="shared" si="23"/>
        <v>10442.976460500002</v>
      </c>
      <c r="O364" s="5">
        <v>5572.95</v>
      </c>
      <c r="P364" s="5">
        <v>2483.15</v>
      </c>
      <c r="Q364" s="5">
        <v>624.20000000000005</v>
      </c>
      <c r="R364" s="5">
        <v>432.77</v>
      </c>
      <c r="S364" s="5">
        <v>1540.0564605000002</v>
      </c>
      <c r="T364" s="5">
        <v>210.15</v>
      </c>
      <c r="U364" s="6">
        <v>1423.6399999999999</v>
      </c>
      <c r="V364" s="6">
        <v>2000</v>
      </c>
      <c r="W364" s="6">
        <v>1000</v>
      </c>
      <c r="X364" s="6" t="s">
        <v>565</v>
      </c>
      <c r="Y364" s="6" t="s">
        <v>566</v>
      </c>
      <c r="AF364" s="7">
        <f t="shared" si="24"/>
        <v>12866.616460500001</v>
      </c>
      <c r="AG364" s="6">
        <f t="shared" si="21"/>
        <v>2000</v>
      </c>
      <c r="AH364" s="7">
        <f t="shared" si="22"/>
        <v>14866.616460500001</v>
      </c>
      <c r="AI364" s="6" t="s">
        <v>565</v>
      </c>
      <c r="AJ364" s="6" t="s">
        <v>54</v>
      </c>
    </row>
    <row r="365" spans="1:36" x14ac:dyDescent="0.3">
      <c r="A365" t="s">
        <v>55</v>
      </c>
      <c r="B365" t="s">
        <v>55</v>
      </c>
      <c r="C365" t="s">
        <v>56</v>
      </c>
      <c r="E365">
        <v>378</v>
      </c>
      <c r="F365" t="s">
        <v>567</v>
      </c>
      <c r="G365" t="s">
        <v>568</v>
      </c>
      <c r="H365" t="s">
        <v>68</v>
      </c>
      <c r="I365" s="4">
        <v>46139</v>
      </c>
      <c r="J365" s="4"/>
      <c r="K365" t="s">
        <v>61</v>
      </c>
      <c r="L365" t="s">
        <v>42</v>
      </c>
      <c r="M365" t="s">
        <v>43</v>
      </c>
      <c r="N365" s="5">
        <f t="shared" si="23"/>
        <v>7275.7105110000002</v>
      </c>
      <c r="O365" s="5">
        <v>4416.3</v>
      </c>
      <c r="P365" s="5">
        <v>1932.12</v>
      </c>
      <c r="Q365" s="5">
        <v>0</v>
      </c>
      <c r="R365" s="5">
        <v>0</v>
      </c>
      <c r="S365" s="5">
        <v>927.29051100000004</v>
      </c>
      <c r="T365" s="5">
        <v>0</v>
      </c>
      <c r="U365">
        <v>1358.9999999999998</v>
      </c>
      <c r="V365">
        <v>0</v>
      </c>
      <c r="X365" t="s">
        <v>44</v>
      </c>
      <c r="Y365" t="s">
        <v>44</v>
      </c>
      <c r="Z365">
        <v>25000</v>
      </c>
      <c r="AD365" t="s">
        <v>65</v>
      </c>
      <c r="AF365" s="5">
        <f t="shared" si="24"/>
        <v>8634.7105109999993</v>
      </c>
      <c r="AG365">
        <f t="shared" si="21"/>
        <v>25000</v>
      </c>
      <c r="AH365" s="5">
        <f t="shared" si="22"/>
        <v>33634.710510999997</v>
      </c>
      <c r="AJ365" t="s">
        <v>54</v>
      </c>
    </row>
    <row r="366" spans="1:36" x14ac:dyDescent="0.3">
      <c r="A366" t="s">
        <v>55</v>
      </c>
      <c r="B366" t="s">
        <v>55</v>
      </c>
      <c r="C366" t="s">
        <v>56</v>
      </c>
      <c r="E366">
        <v>379</v>
      </c>
      <c r="F366" t="s">
        <v>569</v>
      </c>
      <c r="G366" t="s">
        <v>82</v>
      </c>
      <c r="H366" t="s">
        <v>68</v>
      </c>
      <c r="I366" s="4">
        <v>46153</v>
      </c>
      <c r="J366" s="4"/>
      <c r="K366" t="s">
        <v>61</v>
      </c>
      <c r="L366" t="s">
        <v>42</v>
      </c>
      <c r="M366" t="s">
        <v>43</v>
      </c>
      <c r="N366" s="5">
        <f t="shared" si="23"/>
        <v>5973.2256594</v>
      </c>
      <c r="O366" s="5">
        <v>2302.75</v>
      </c>
      <c r="P366" s="5">
        <v>1510.2600000000002</v>
      </c>
      <c r="Q366" s="5">
        <v>930.45</v>
      </c>
      <c r="R366" s="5">
        <v>472.82</v>
      </c>
      <c r="S366" s="5">
        <v>969.64565939999989</v>
      </c>
      <c r="T366" s="5">
        <v>212.70000000000002</v>
      </c>
      <c r="U366">
        <v>928.1999999999997</v>
      </c>
      <c r="V366">
        <v>0</v>
      </c>
      <c r="X366" t="s">
        <v>44</v>
      </c>
      <c r="Y366" t="s">
        <v>44</v>
      </c>
      <c r="AF366" s="5">
        <f t="shared" si="24"/>
        <v>6901.4256593999999</v>
      </c>
      <c r="AG366">
        <f t="shared" si="21"/>
        <v>0</v>
      </c>
      <c r="AH366" s="5">
        <f t="shared" si="22"/>
        <v>6901.4256593999999</v>
      </c>
      <c r="AJ366" t="s">
        <v>54</v>
      </c>
    </row>
    <row r="367" spans="1:36" x14ac:dyDescent="0.3">
      <c r="A367" t="s">
        <v>277</v>
      </c>
      <c r="B367" t="s">
        <v>55</v>
      </c>
      <c r="C367" t="s">
        <v>56</v>
      </c>
      <c r="E367">
        <v>380</v>
      </c>
      <c r="F367" t="s">
        <v>570</v>
      </c>
      <c r="G367" t="s">
        <v>82</v>
      </c>
      <c r="H367" t="s">
        <v>68</v>
      </c>
      <c r="I367" s="4">
        <v>46153</v>
      </c>
      <c r="J367" s="4"/>
      <c r="K367" t="s">
        <v>61</v>
      </c>
      <c r="L367" t="s">
        <v>42</v>
      </c>
      <c r="M367" t="s">
        <v>43</v>
      </c>
      <c r="N367" s="5">
        <f t="shared" si="23"/>
        <v>2809.6484175000001</v>
      </c>
      <c r="O367" s="5">
        <v>2302.75</v>
      </c>
      <c r="P367" s="5">
        <v>23.389999999999997</v>
      </c>
      <c r="Q367" s="5">
        <v>0</v>
      </c>
      <c r="R367" s="5">
        <v>0</v>
      </c>
      <c r="S367" s="5">
        <v>483.50841750000001</v>
      </c>
      <c r="T367" s="5">
        <v>0</v>
      </c>
      <c r="U367">
        <v>758.43999999999971</v>
      </c>
      <c r="V367">
        <v>0</v>
      </c>
      <c r="X367" t="s">
        <v>44</v>
      </c>
      <c r="Y367" t="s">
        <v>44</v>
      </c>
      <c r="AF367" s="5">
        <f t="shared" si="24"/>
        <v>3568.0884174999997</v>
      </c>
      <c r="AG367">
        <f t="shared" si="21"/>
        <v>0</v>
      </c>
      <c r="AH367" s="5">
        <f t="shared" si="22"/>
        <v>3568.0884174999997</v>
      </c>
      <c r="AJ367" t="s">
        <v>54</v>
      </c>
    </row>
    <row r="368" spans="1:36" x14ac:dyDescent="0.3">
      <c r="A368" t="s">
        <v>55</v>
      </c>
      <c r="B368" t="s">
        <v>55</v>
      </c>
      <c r="C368" t="s">
        <v>56</v>
      </c>
      <c r="E368">
        <v>381</v>
      </c>
      <c r="F368" t="s">
        <v>571</v>
      </c>
      <c r="G368" t="s">
        <v>82</v>
      </c>
      <c r="H368" t="s">
        <v>40</v>
      </c>
      <c r="I368" s="4">
        <v>46153</v>
      </c>
      <c r="J368" s="4">
        <v>46182</v>
      </c>
      <c r="K368" t="s">
        <v>41</v>
      </c>
      <c r="L368" t="s">
        <v>42</v>
      </c>
      <c r="M368" t="s">
        <v>43</v>
      </c>
      <c r="N368" s="5">
        <f t="shared" si="23"/>
        <v>2945.9929194000001</v>
      </c>
      <c r="O368" s="5">
        <v>2302.75</v>
      </c>
      <c r="P368" s="5">
        <v>1235.08</v>
      </c>
      <c r="Q368" s="5">
        <v>698.4</v>
      </c>
      <c r="R368" s="5">
        <v>149.84</v>
      </c>
      <c r="S368" s="5">
        <v>708.8629193999999</v>
      </c>
      <c r="T368" s="5">
        <v>2148.9399999999996</v>
      </c>
      <c r="U368">
        <v>0</v>
      </c>
      <c r="V368">
        <v>0</v>
      </c>
      <c r="X368">
        <v>0</v>
      </c>
      <c r="Y368">
        <v>0</v>
      </c>
      <c r="AF368" s="5">
        <f t="shared" si="24"/>
        <v>2945.9929194000001</v>
      </c>
      <c r="AG368">
        <f t="shared" si="21"/>
        <v>0</v>
      </c>
      <c r="AH368" s="5">
        <f t="shared" si="22"/>
        <v>2945.9929194000001</v>
      </c>
      <c r="AJ368" t="s">
        <v>54</v>
      </c>
    </row>
    <row r="369" spans="1:36" x14ac:dyDescent="0.3">
      <c r="A369" t="s">
        <v>277</v>
      </c>
      <c r="B369" t="s">
        <v>55</v>
      </c>
      <c r="C369" t="s">
        <v>56</v>
      </c>
      <c r="E369">
        <v>382</v>
      </c>
      <c r="F369" t="s">
        <v>572</v>
      </c>
      <c r="G369" t="s">
        <v>82</v>
      </c>
      <c r="H369" t="s">
        <v>68</v>
      </c>
      <c r="I369" s="4">
        <v>46153</v>
      </c>
      <c r="J369" s="4"/>
      <c r="K369" t="s">
        <v>61</v>
      </c>
      <c r="L369" t="s">
        <v>42</v>
      </c>
      <c r="M369" t="s">
        <v>43</v>
      </c>
      <c r="N369" s="5">
        <f t="shared" si="23"/>
        <v>4819.6860279463499</v>
      </c>
      <c r="O369" s="5">
        <v>2302.753455</v>
      </c>
      <c r="P369" s="5">
        <v>232.24</v>
      </c>
      <c r="Q369" s="5">
        <v>1137.68</v>
      </c>
      <c r="R369" s="5">
        <v>471.81</v>
      </c>
      <c r="S369" s="5">
        <v>739.46257294634995</v>
      </c>
      <c r="T369" s="5">
        <v>64.260000000000005</v>
      </c>
      <c r="U369">
        <v>843.31999999999982</v>
      </c>
      <c r="V369">
        <v>0</v>
      </c>
      <c r="X369" t="s">
        <v>44</v>
      </c>
      <c r="Y369" t="s">
        <v>44</v>
      </c>
      <c r="AF369" s="5">
        <f t="shared" si="24"/>
        <v>5663.0060279463496</v>
      </c>
      <c r="AG369">
        <f t="shared" si="21"/>
        <v>0</v>
      </c>
      <c r="AH369" s="5">
        <f t="shared" si="22"/>
        <v>5663.0060279463496</v>
      </c>
      <c r="AJ369" t="s">
        <v>54</v>
      </c>
    </row>
    <row r="370" spans="1:36" x14ac:dyDescent="0.3">
      <c r="A370" t="s">
        <v>55</v>
      </c>
      <c r="B370" t="s">
        <v>55</v>
      </c>
      <c r="C370" t="s">
        <v>56</v>
      </c>
      <c r="E370">
        <v>383</v>
      </c>
      <c r="F370" t="s">
        <v>573</v>
      </c>
      <c r="G370" t="s">
        <v>82</v>
      </c>
      <c r="H370" t="s">
        <v>68</v>
      </c>
      <c r="I370" s="4">
        <v>46153</v>
      </c>
      <c r="J370" s="4"/>
      <c r="K370" t="s">
        <v>61</v>
      </c>
      <c r="L370" t="s">
        <v>42</v>
      </c>
      <c r="M370" t="s">
        <v>43</v>
      </c>
      <c r="N370" s="5">
        <f t="shared" si="23"/>
        <v>6472.1356142000004</v>
      </c>
      <c r="O370" s="5">
        <v>2302.75</v>
      </c>
      <c r="P370" s="5">
        <v>1993.4900000000002</v>
      </c>
      <c r="Q370" s="5">
        <v>1018.5999999999999</v>
      </c>
      <c r="R370" s="5">
        <v>402.64</v>
      </c>
      <c r="S370" s="5">
        <v>1014.7556142000001</v>
      </c>
      <c r="T370" s="5">
        <v>260.10000000000002</v>
      </c>
      <c r="U370">
        <v>1310.1599999999999</v>
      </c>
      <c r="V370">
        <v>0</v>
      </c>
      <c r="X370" t="s">
        <v>44</v>
      </c>
      <c r="Y370" t="s">
        <v>44</v>
      </c>
      <c r="AF370" s="5">
        <f t="shared" si="24"/>
        <v>7782.2956142000003</v>
      </c>
      <c r="AG370">
        <f t="shared" si="21"/>
        <v>0</v>
      </c>
      <c r="AH370" s="5">
        <f t="shared" si="22"/>
        <v>7782.2956142000003</v>
      </c>
      <c r="AJ370" t="s">
        <v>54</v>
      </c>
    </row>
    <row r="371" spans="1:36" x14ac:dyDescent="0.3">
      <c r="A371" t="s">
        <v>55</v>
      </c>
      <c r="B371" t="s">
        <v>55</v>
      </c>
      <c r="C371" t="s">
        <v>56</v>
      </c>
      <c r="E371">
        <v>384</v>
      </c>
      <c r="F371" t="s">
        <v>574</v>
      </c>
      <c r="G371" t="s">
        <v>82</v>
      </c>
      <c r="H371" t="s">
        <v>60</v>
      </c>
      <c r="I371" s="4">
        <v>46153</v>
      </c>
      <c r="J371" s="4"/>
      <c r="K371" t="s">
        <v>61</v>
      </c>
      <c r="L371" t="s">
        <v>42</v>
      </c>
      <c r="M371" t="s">
        <v>43</v>
      </c>
      <c r="N371" s="5">
        <f t="shared" si="23"/>
        <v>6700.4341764000001</v>
      </c>
      <c r="O371" s="5">
        <v>2302.75</v>
      </c>
      <c r="P371" s="5">
        <v>1111.06</v>
      </c>
      <c r="Q371" s="5">
        <v>1752.56</v>
      </c>
      <c r="R371" s="5">
        <v>481.84</v>
      </c>
      <c r="S371" s="5">
        <v>1266.9841763999998</v>
      </c>
      <c r="T371" s="5">
        <v>214.76</v>
      </c>
      <c r="U371">
        <v>1140.3999999999996</v>
      </c>
      <c r="V371">
        <v>0</v>
      </c>
      <c r="X371" t="s">
        <v>44</v>
      </c>
      <c r="Y371" t="s">
        <v>44</v>
      </c>
      <c r="AF371" s="5">
        <f t="shared" si="24"/>
        <v>7840.8341763999997</v>
      </c>
      <c r="AG371">
        <f t="shared" si="21"/>
        <v>0</v>
      </c>
      <c r="AH371" s="5">
        <f t="shared" si="22"/>
        <v>7840.8341763999997</v>
      </c>
      <c r="AJ371" t="s">
        <v>54</v>
      </c>
    </row>
    <row r="372" spans="1:36" x14ac:dyDescent="0.3">
      <c r="A372" t="s">
        <v>55</v>
      </c>
      <c r="B372" t="s">
        <v>55</v>
      </c>
      <c r="C372" t="s">
        <v>56</v>
      </c>
      <c r="E372">
        <v>385</v>
      </c>
      <c r="F372" t="s">
        <v>575</v>
      </c>
      <c r="G372" t="s">
        <v>82</v>
      </c>
      <c r="H372" t="s">
        <v>40</v>
      </c>
      <c r="I372" s="4">
        <v>46153</v>
      </c>
      <c r="J372" s="4">
        <v>46182</v>
      </c>
      <c r="K372" t="s">
        <v>41</v>
      </c>
      <c r="L372" t="s">
        <v>42</v>
      </c>
      <c r="M372" t="s">
        <v>43</v>
      </c>
      <c r="N372" s="5">
        <f t="shared" si="23"/>
        <v>2887.5884175000001</v>
      </c>
      <c r="O372" s="5">
        <v>2302.75</v>
      </c>
      <c r="P372" s="5">
        <v>101.33</v>
      </c>
      <c r="Q372" s="5">
        <v>0</v>
      </c>
      <c r="R372" s="5">
        <v>0</v>
      </c>
      <c r="S372" s="5">
        <v>483.50841750000001</v>
      </c>
      <c r="T372" s="5">
        <v>0</v>
      </c>
      <c r="U372">
        <v>0</v>
      </c>
      <c r="V372">
        <v>0</v>
      </c>
      <c r="X372">
        <v>0</v>
      </c>
      <c r="Y372">
        <v>0</v>
      </c>
      <c r="AF372" s="5">
        <f t="shared" si="24"/>
        <v>2887.5884175000001</v>
      </c>
      <c r="AG372">
        <f t="shared" si="21"/>
        <v>0</v>
      </c>
      <c r="AH372" s="5">
        <f t="shared" si="22"/>
        <v>2887.5884175000001</v>
      </c>
      <c r="AJ372" t="s">
        <v>54</v>
      </c>
    </row>
    <row r="373" spans="1:36" x14ac:dyDescent="0.3">
      <c r="A373" t="s">
        <v>55</v>
      </c>
      <c r="B373" t="s">
        <v>55</v>
      </c>
      <c r="C373" t="s">
        <v>56</v>
      </c>
      <c r="E373">
        <v>386</v>
      </c>
      <c r="F373" t="s">
        <v>576</v>
      </c>
      <c r="G373" t="s">
        <v>82</v>
      </c>
      <c r="H373" t="s">
        <v>60</v>
      </c>
      <c r="I373" s="4">
        <v>46153</v>
      </c>
      <c r="J373" s="4"/>
      <c r="K373" t="s">
        <v>61</v>
      </c>
      <c r="L373" t="s">
        <v>42</v>
      </c>
      <c r="M373" t="s">
        <v>43</v>
      </c>
      <c r="N373" s="5">
        <f t="shared" si="23"/>
        <v>4386.6184174999999</v>
      </c>
      <c r="O373" s="5">
        <v>2302.75</v>
      </c>
      <c r="P373" s="5">
        <v>1600.36</v>
      </c>
      <c r="Q373" s="5">
        <v>0</v>
      </c>
      <c r="R373" s="5">
        <v>0</v>
      </c>
      <c r="S373" s="5">
        <v>483.50841750000001</v>
      </c>
      <c r="T373" s="5">
        <v>0</v>
      </c>
      <c r="U373">
        <v>1310.1599999999999</v>
      </c>
      <c r="V373">
        <v>0</v>
      </c>
      <c r="X373" t="s">
        <v>44</v>
      </c>
      <c r="Y373" t="s">
        <v>44</v>
      </c>
      <c r="AF373" s="5">
        <f t="shared" si="24"/>
        <v>5696.7784174999997</v>
      </c>
      <c r="AG373">
        <f t="shared" si="21"/>
        <v>0</v>
      </c>
      <c r="AH373" s="5">
        <f t="shared" si="22"/>
        <v>5696.7784174999997</v>
      </c>
      <c r="AJ373" t="s">
        <v>54</v>
      </c>
    </row>
    <row r="374" spans="1:36" x14ac:dyDescent="0.3">
      <c r="A374" t="s">
        <v>55</v>
      </c>
      <c r="B374" t="s">
        <v>55</v>
      </c>
      <c r="C374" t="s">
        <v>56</v>
      </c>
      <c r="E374">
        <v>387</v>
      </c>
      <c r="F374" t="s">
        <v>577</v>
      </c>
      <c r="G374" t="s">
        <v>59</v>
      </c>
      <c r="H374" t="s">
        <v>60</v>
      </c>
      <c r="I374" s="4">
        <v>46153</v>
      </c>
      <c r="J374" s="4"/>
      <c r="K374" t="s">
        <v>61</v>
      </c>
      <c r="L374" t="s">
        <v>42</v>
      </c>
      <c r="M374" t="s">
        <v>43</v>
      </c>
      <c r="N374" s="5">
        <f t="shared" si="23"/>
        <v>5322.5496408999988</v>
      </c>
      <c r="O374" s="5">
        <v>2801.97</v>
      </c>
      <c r="P374" s="5">
        <v>1932.25</v>
      </c>
      <c r="Q374" s="5">
        <v>0</v>
      </c>
      <c r="R374" s="5">
        <v>0</v>
      </c>
      <c r="S374" s="5">
        <v>588.32964089999996</v>
      </c>
      <c r="T374" s="5">
        <v>0</v>
      </c>
      <c r="U374">
        <v>1310.1599999999999</v>
      </c>
      <c r="V374">
        <v>0</v>
      </c>
      <c r="X374" t="s">
        <v>44</v>
      </c>
      <c r="Y374" t="s">
        <v>44</v>
      </c>
      <c r="AF374" s="5">
        <f t="shared" si="24"/>
        <v>6632.7096408999987</v>
      </c>
      <c r="AG374">
        <f t="shared" si="21"/>
        <v>0</v>
      </c>
      <c r="AH374" s="5">
        <f t="shared" si="22"/>
        <v>6632.7096408999987</v>
      </c>
      <c r="AJ374" t="s">
        <v>54</v>
      </c>
    </row>
    <row r="375" spans="1:36" x14ac:dyDescent="0.3">
      <c r="A375" t="s">
        <v>55</v>
      </c>
      <c r="B375" t="s">
        <v>55</v>
      </c>
      <c r="C375" t="s">
        <v>56</v>
      </c>
      <c r="E375">
        <v>388</v>
      </c>
      <c r="F375" t="s">
        <v>578</v>
      </c>
      <c r="G375" t="s">
        <v>82</v>
      </c>
      <c r="H375" t="s">
        <v>60</v>
      </c>
      <c r="I375" s="4">
        <v>46153</v>
      </c>
      <c r="J375" s="4"/>
      <c r="K375" t="s">
        <v>61</v>
      </c>
      <c r="L375" t="s">
        <v>42</v>
      </c>
      <c r="M375" t="s">
        <v>43</v>
      </c>
      <c r="N375" s="5">
        <f t="shared" si="23"/>
        <v>3624.7684175000004</v>
      </c>
      <c r="O375" s="5">
        <v>2302.75</v>
      </c>
      <c r="P375" s="5">
        <v>838.51</v>
      </c>
      <c r="Q375" s="5">
        <v>0</v>
      </c>
      <c r="R375" s="5">
        <v>0</v>
      </c>
      <c r="S375" s="5">
        <v>483.50841750000001</v>
      </c>
      <c r="T375" s="5">
        <v>0</v>
      </c>
      <c r="U375">
        <v>1013.0799999999997</v>
      </c>
      <c r="V375">
        <v>0</v>
      </c>
      <c r="X375" t="s">
        <v>44</v>
      </c>
      <c r="Y375" t="s">
        <v>44</v>
      </c>
      <c r="AF375" s="5">
        <f t="shared" si="24"/>
        <v>4637.8484175000003</v>
      </c>
      <c r="AG375">
        <f t="shared" si="21"/>
        <v>0</v>
      </c>
      <c r="AH375" s="5">
        <f t="shared" si="22"/>
        <v>4637.8484175000003</v>
      </c>
      <c r="AJ375" t="s">
        <v>54</v>
      </c>
    </row>
    <row r="376" spans="1:36" x14ac:dyDescent="0.3">
      <c r="A376" t="s">
        <v>277</v>
      </c>
      <c r="B376" t="s">
        <v>55</v>
      </c>
      <c r="C376" t="s">
        <v>56</v>
      </c>
      <c r="E376">
        <v>389</v>
      </c>
      <c r="F376" t="s">
        <v>579</v>
      </c>
      <c r="G376" t="s">
        <v>82</v>
      </c>
      <c r="H376" t="s">
        <v>68</v>
      </c>
      <c r="I376" s="4">
        <v>46153</v>
      </c>
      <c r="J376" s="4"/>
      <c r="K376" t="s">
        <v>61</v>
      </c>
      <c r="L376" t="s">
        <v>42</v>
      </c>
      <c r="M376" t="s">
        <v>43</v>
      </c>
      <c r="N376" s="5">
        <f t="shared" si="23"/>
        <v>3347.3784175000001</v>
      </c>
      <c r="O376" s="5">
        <v>2302.75</v>
      </c>
      <c r="P376" s="5">
        <v>561.12</v>
      </c>
      <c r="Q376" s="5">
        <v>0</v>
      </c>
      <c r="R376" s="5">
        <v>0</v>
      </c>
      <c r="S376" s="5">
        <v>483.50841750000001</v>
      </c>
      <c r="T376" s="5">
        <v>0</v>
      </c>
      <c r="U376">
        <v>1140.3999999999996</v>
      </c>
      <c r="V376">
        <v>0</v>
      </c>
      <c r="X376" t="s">
        <v>44</v>
      </c>
      <c r="Y376" t="s">
        <v>44</v>
      </c>
      <c r="AF376" s="5">
        <f t="shared" si="24"/>
        <v>4487.7784174999997</v>
      </c>
      <c r="AG376">
        <f t="shared" si="21"/>
        <v>0</v>
      </c>
      <c r="AH376" s="5">
        <f t="shared" si="22"/>
        <v>4487.7784174999997</v>
      </c>
      <c r="AJ376" t="s">
        <v>54</v>
      </c>
    </row>
    <row r="377" spans="1:36" x14ac:dyDescent="0.3">
      <c r="A377" t="s">
        <v>55</v>
      </c>
      <c r="B377" t="s">
        <v>55</v>
      </c>
      <c r="C377" t="s">
        <v>56</v>
      </c>
      <c r="E377">
        <v>390</v>
      </c>
      <c r="F377" t="s">
        <v>580</v>
      </c>
      <c r="G377" t="s">
        <v>59</v>
      </c>
      <c r="H377" t="s">
        <v>40</v>
      </c>
      <c r="I377" s="4">
        <v>46153</v>
      </c>
      <c r="J377" s="4">
        <v>46182</v>
      </c>
      <c r="K377" t="s">
        <v>41</v>
      </c>
      <c r="L377" t="s">
        <v>42</v>
      </c>
      <c r="M377" t="s">
        <v>43</v>
      </c>
      <c r="N377" s="5">
        <f t="shared" si="23"/>
        <v>7336.5683709767</v>
      </c>
      <c r="O377" s="5">
        <v>2801.9741100000001</v>
      </c>
      <c r="P377" s="5">
        <v>0</v>
      </c>
      <c r="Q377" s="5">
        <v>1387.08</v>
      </c>
      <c r="R377" s="5">
        <v>1737.5900000000001</v>
      </c>
      <c r="S377" s="5">
        <v>1543.9942609766999</v>
      </c>
      <c r="T377" s="5">
        <v>134.07</v>
      </c>
      <c r="U377">
        <v>0</v>
      </c>
      <c r="V377">
        <v>0</v>
      </c>
      <c r="X377">
        <v>0</v>
      </c>
      <c r="Y377">
        <v>0</v>
      </c>
      <c r="AF377" s="5">
        <f t="shared" si="24"/>
        <v>7336.5683709767</v>
      </c>
      <c r="AG377">
        <f t="shared" si="21"/>
        <v>0</v>
      </c>
      <c r="AH377" s="5">
        <f t="shared" si="22"/>
        <v>7336.5683709767</v>
      </c>
      <c r="AJ377" t="s">
        <v>54</v>
      </c>
    </row>
    <row r="378" spans="1:36" x14ac:dyDescent="0.3">
      <c r="A378" t="s">
        <v>55</v>
      </c>
      <c r="B378" t="s">
        <v>55</v>
      </c>
      <c r="C378" t="s">
        <v>56</v>
      </c>
      <c r="E378">
        <v>391</v>
      </c>
      <c r="F378" t="s">
        <v>581</v>
      </c>
      <c r="G378" t="s">
        <v>82</v>
      </c>
      <c r="H378" t="s">
        <v>60</v>
      </c>
      <c r="I378" s="4">
        <v>46153</v>
      </c>
      <c r="J378" s="4"/>
      <c r="K378" t="s">
        <v>61</v>
      </c>
      <c r="L378" t="s">
        <v>42</v>
      </c>
      <c r="M378" t="s">
        <v>43</v>
      </c>
      <c r="N378" s="5">
        <f t="shared" si="23"/>
        <v>3467.2184175000002</v>
      </c>
      <c r="O378" s="5">
        <v>2302.75</v>
      </c>
      <c r="P378" s="5">
        <v>680.96</v>
      </c>
      <c r="Q378" s="5">
        <v>0</v>
      </c>
      <c r="R378" s="5">
        <v>0</v>
      </c>
      <c r="S378" s="5">
        <v>483.50841750000001</v>
      </c>
      <c r="T378" s="5">
        <v>0</v>
      </c>
      <c r="U378">
        <v>1097.9599999999996</v>
      </c>
      <c r="V378">
        <v>0</v>
      </c>
      <c r="X378" t="s">
        <v>44</v>
      </c>
      <c r="Y378" t="s">
        <v>44</v>
      </c>
      <c r="AF378" s="5">
        <f t="shared" si="24"/>
        <v>4565.1784174999993</v>
      </c>
      <c r="AG378">
        <f t="shared" si="21"/>
        <v>0</v>
      </c>
      <c r="AH378" s="5">
        <f t="shared" si="22"/>
        <v>4565.1784174999993</v>
      </c>
      <c r="AJ378" t="s">
        <v>54</v>
      </c>
    </row>
    <row r="379" spans="1:36" x14ac:dyDescent="0.3">
      <c r="A379" t="s">
        <v>55</v>
      </c>
      <c r="B379" t="s">
        <v>55</v>
      </c>
      <c r="C379" t="s">
        <v>56</v>
      </c>
      <c r="E379">
        <v>392</v>
      </c>
      <c r="F379" t="s">
        <v>582</v>
      </c>
      <c r="G379" t="s">
        <v>139</v>
      </c>
      <c r="H379" t="s">
        <v>60</v>
      </c>
      <c r="I379" s="4">
        <v>46153</v>
      </c>
      <c r="J379" s="4"/>
      <c r="K379" t="s">
        <v>61</v>
      </c>
      <c r="L379" t="s">
        <v>42</v>
      </c>
      <c r="M379" t="s">
        <v>43</v>
      </c>
      <c r="N379" s="5">
        <f t="shared" si="23"/>
        <v>8284.3477397999995</v>
      </c>
      <c r="O379" s="5">
        <v>3356.8</v>
      </c>
      <c r="P379" s="5">
        <v>1881.5199999999998</v>
      </c>
      <c r="Q379" s="5">
        <v>1413.4</v>
      </c>
      <c r="R379" s="5">
        <v>482.63</v>
      </c>
      <c r="S379" s="5">
        <v>1355.4277397999999</v>
      </c>
      <c r="T379" s="5">
        <v>205.42999999999998</v>
      </c>
      <c r="U379">
        <v>1140.3999999999996</v>
      </c>
      <c r="V379">
        <v>0</v>
      </c>
      <c r="X379" t="s">
        <v>44</v>
      </c>
      <c r="Y379" t="s">
        <v>44</v>
      </c>
      <c r="Z379">
        <v>14000</v>
      </c>
      <c r="AD379" t="s">
        <v>65</v>
      </c>
      <c r="AF379" s="5">
        <f t="shared" si="24"/>
        <v>9424.7477397999992</v>
      </c>
      <c r="AG379">
        <f t="shared" si="21"/>
        <v>14000</v>
      </c>
      <c r="AH379" s="5">
        <f t="shared" si="22"/>
        <v>23424.747739799997</v>
      </c>
      <c r="AJ379" t="s">
        <v>54</v>
      </c>
    </row>
    <row r="380" spans="1:36" x14ac:dyDescent="0.3">
      <c r="A380" t="s">
        <v>55</v>
      </c>
      <c r="B380" t="s">
        <v>55</v>
      </c>
      <c r="C380" t="s">
        <v>56</v>
      </c>
      <c r="E380">
        <v>393</v>
      </c>
      <c r="F380" t="s">
        <v>583</v>
      </c>
      <c r="G380" t="s">
        <v>82</v>
      </c>
      <c r="H380" t="s">
        <v>60</v>
      </c>
      <c r="I380" s="4">
        <v>46153</v>
      </c>
      <c r="J380" s="4">
        <v>46195</v>
      </c>
      <c r="K380" t="s">
        <v>41</v>
      </c>
      <c r="L380" t="s">
        <v>42</v>
      </c>
      <c r="M380" t="s">
        <v>43</v>
      </c>
      <c r="N380" s="5">
        <f t="shared" si="23"/>
        <v>387.6972813000001</v>
      </c>
      <c r="O380" s="5">
        <v>2302.75</v>
      </c>
      <c r="P380" s="5">
        <v>961.30000000000007</v>
      </c>
      <c r="Q380" s="5">
        <v>1024.28</v>
      </c>
      <c r="R380" s="5">
        <v>480.43</v>
      </c>
      <c r="S380" s="5">
        <v>1005.1872812999999</v>
      </c>
      <c r="T380" s="5">
        <v>5386.25</v>
      </c>
      <c r="U380">
        <v>0</v>
      </c>
      <c r="V380">
        <v>0</v>
      </c>
      <c r="X380" t="s">
        <v>44</v>
      </c>
      <c r="Y380" t="s">
        <v>44</v>
      </c>
      <c r="AF380" s="5">
        <f t="shared" si="24"/>
        <v>387.6972813000001</v>
      </c>
      <c r="AG380">
        <f t="shared" si="21"/>
        <v>0</v>
      </c>
      <c r="AH380" s="5">
        <f t="shared" si="22"/>
        <v>387.6972813000001</v>
      </c>
      <c r="AJ380" t="s">
        <v>54</v>
      </c>
    </row>
    <row r="381" spans="1:36" x14ac:dyDescent="0.3">
      <c r="A381" t="s">
        <v>277</v>
      </c>
      <c r="B381" t="s">
        <v>55</v>
      </c>
      <c r="C381" t="s">
        <v>56</v>
      </c>
      <c r="E381">
        <v>394</v>
      </c>
      <c r="F381" t="s">
        <v>584</v>
      </c>
      <c r="G381" t="s">
        <v>209</v>
      </c>
      <c r="H381" t="s">
        <v>68</v>
      </c>
      <c r="I381" s="4">
        <v>46153</v>
      </c>
      <c r="J381" s="4"/>
      <c r="K381" t="s">
        <v>61</v>
      </c>
      <c r="L381" t="s">
        <v>42</v>
      </c>
      <c r="M381" t="s">
        <v>43</v>
      </c>
      <c r="N381" s="5">
        <f t="shared" si="23"/>
        <v>5163.9696408999989</v>
      </c>
      <c r="O381" s="5">
        <v>2801.97</v>
      </c>
      <c r="P381" s="5">
        <v>1773.67</v>
      </c>
      <c r="Q381" s="5">
        <v>0</v>
      </c>
      <c r="R381" s="5">
        <v>0</v>
      </c>
      <c r="S381" s="5">
        <v>588.32964089999996</v>
      </c>
      <c r="T381" s="5">
        <v>0</v>
      </c>
      <c r="U381">
        <v>1051.0799999999997</v>
      </c>
      <c r="V381">
        <v>0</v>
      </c>
      <c r="X381" t="s">
        <v>44</v>
      </c>
      <c r="Y381" t="s">
        <v>44</v>
      </c>
      <c r="AF381" s="5">
        <f t="shared" si="24"/>
        <v>6215.0496408999988</v>
      </c>
      <c r="AG381">
        <f t="shared" si="21"/>
        <v>0</v>
      </c>
      <c r="AH381" s="5">
        <f t="shared" si="22"/>
        <v>6215.0496408999988</v>
      </c>
      <c r="AJ381" t="s">
        <v>54</v>
      </c>
    </row>
    <row r="382" spans="1:36" x14ac:dyDescent="0.3">
      <c r="A382" t="s">
        <v>277</v>
      </c>
      <c r="B382" t="s">
        <v>55</v>
      </c>
      <c r="C382" t="s">
        <v>56</v>
      </c>
      <c r="E382">
        <v>395</v>
      </c>
      <c r="F382" t="s">
        <v>585</v>
      </c>
      <c r="G382" t="s">
        <v>209</v>
      </c>
      <c r="H382" t="s">
        <v>68</v>
      </c>
      <c r="I382" s="4">
        <v>46153</v>
      </c>
      <c r="J382" s="4"/>
      <c r="K382" t="s">
        <v>61</v>
      </c>
      <c r="L382" t="s">
        <v>42</v>
      </c>
      <c r="M382" t="s">
        <v>43</v>
      </c>
      <c r="N382" s="5">
        <f t="shared" si="23"/>
        <v>5164.2496408999996</v>
      </c>
      <c r="O382" s="5">
        <v>2801.97</v>
      </c>
      <c r="P382" s="5">
        <v>1773.95</v>
      </c>
      <c r="Q382" s="5">
        <v>0</v>
      </c>
      <c r="R382" s="5">
        <v>0</v>
      </c>
      <c r="S382" s="5">
        <v>588.32964089999996</v>
      </c>
      <c r="T382" s="5">
        <v>0</v>
      </c>
      <c r="U382">
        <v>1267.7199999999998</v>
      </c>
      <c r="V382">
        <v>0</v>
      </c>
      <c r="X382" t="s">
        <v>44</v>
      </c>
      <c r="Y382" t="s">
        <v>44</v>
      </c>
      <c r="AF382" s="5">
        <f t="shared" si="24"/>
        <v>6431.9696408999989</v>
      </c>
      <c r="AG382">
        <f t="shared" si="21"/>
        <v>0</v>
      </c>
      <c r="AH382" s="5">
        <f t="shared" si="22"/>
        <v>6431.9696408999989</v>
      </c>
      <c r="AJ382" t="s">
        <v>54</v>
      </c>
    </row>
    <row r="383" spans="1:36" x14ac:dyDescent="0.3">
      <c r="A383" t="s">
        <v>55</v>
      </c>
      <c r="B383" t="s">
        <v>55</v>
      </c>
      <c r="C383" t="s">
        <v>56</v>
      </c>
      <c r="E383">
        <v>396</v>
      </c>
      <c r="F383" t="s">
        <v>586</v>
      </c>
      <c r="G383" t="s">
        <v>82</v>
      </c>
      <c r="H383" t="s">
        <v>60</v>
      </c>
      <c r="I383" s="4">
        <v>46153</v>
      </c>
      <c r="J383" s="4"/>
      <c r="K383" t="s">
        <v>61</v>
      </c>
      <c r="L383" t="s">
        <v>42</v>
      </c>
      <c r="M383" t="s">
        <v>43</v>
      </c>
      <c r="N383" s="5">
        <f t="shared" si="23"/>
        <v>3517.4884175000002</v>
      </c>
      <c r="O383" s="5">
        <v>2302.75</v>
      </c>
      <c r="P383" s="5">
        <v>731.23</v>
      </c>
      <c r="Q383" s="5">
        <v>0</v>
      </c>
      <c r="R383" s="5">
        <v>0</v>
      </c>
      <c r="S383" s="5">
        <v>483.50841750000001</v>
      </c>
      <c r="T383" s="5">
        <v>0</v>
      </c>
      <c r="U383">
        <v>1140.3999999999996</v>
      </c>
      <c r="V383">
        <v>0</v>
      </c>
      <c r="X383" t="s">
        <v>44</v>
      </c>
      <c r="Y383" t="s">
        <v>44</v>
      </c>
      <c r="AF383" s="5">
        <f t="shared" si="24"/>
        <v>4657.8884175000003</v>
      </c>
      <c r="AG383">
        <f t="shared" si="21"/>
        <v>0</v>
      </c>
      <c r="AH383" s="5">
        <f t="shared" si="22"/>
        <v>4657.8884175000003</v>
      </c>
      <c r="AJ383" t="s">
        <v>54</v>
      </c>
    </row>
    <row r="384" spans="1:36" x14ac:dyDescent="0.3">
      <c r="A384" t="s">
        <v>55</v>
      </c>
      <c r="B384" t="s">
        <v>55</v>
      </c>
      <c r="C384" t="s">
        <v>56</v>
      </c>
      <c r="E384">
        <v>397</v>
      </c>
      <c r="F384" t="s">
        <v>587</v>
      </c>
      <c r="G384" t="s">
        <v>59</v>
      </c>
      <c r="H384" t="s">
        <v>68</v>
      </c>
      <c r="I384" s="4">
        <v>46153</v>
      </c>
      <c r="J384" s="4"/>
      <c r="K384" t="s">
        <v>61</v>
      </c>
      <c r="L384" t="s">
        <v>42</v>
      </c>
      <c r="M384" t="s">
        <v>43</v>
      </c>
      <c r="N384" s="5">
        <f t="shared" si="23"/>
        <v>9573.2662120999994</v>
      </c>
      <c r="O384" s="5">
        <v>2801.97</v>
      </c>
      <c r="P384" s="5">
        <v>2691.94</v>
      </c>
      <c r="Q384" s="5">
        <v>749.2</v>
      </c>
      <c r="R384" s="5">
        <v>2066.73</v>
      </c>
      <c r="S384" s="5">
        <v>1323.4262120999999</v>
      </c>
      <c r="T384" s="5">
        <v>60</v>
      </c>
      <c r="U384">
        <v>1310.1599999999999</v>
      </c>
      <c r="V384">
        <v>0</v>
      </c>
      <c r="X384" t="s">
        <v>44</v>
      </c>
      <c r="Y384" t="s">
        <v>44</v>
      </c>
      <c r="AF384" s="5">
        <f t="shared" si="24"/>
        <v>10883.426212099999</v>
      </c>
      <c r="AG384">
        <f t="shared" si="21"/>
        <v>0</v>
      </c>
      <c r="AH384" s="5">
        <f t="shared" si="22"/>
        <v>10883.426212099999</v>
      </c>
      <c r="AJ384" t="s">
        <v>54</v>
      </c>
    </row>
    <row r="385" spans="1:36" x14ac:dyDescent="0.3">
      <c r="A385" t="s">
        <v>48</v>
      </c>
      <c r="B385" t="s">
        <v>51</v>
      </c>
      <c r="C385" t="s">
        <v>37</v>
      </c>
      <c r="E385">
        <v>398</v>
      </c>
      <c r="F385" t="s">
        <v>588</v>
      </c>
      <c r="G385" t="s">
        <v>104</v>
      </c>
      <c r="H385" t="s">
        <v>68</v>
      </c>
      <c r="I385" s="4">
        <v>46153</v>
      </c>
      <c r="J385" s="4"/>
      <c r="K385" t="s">
        <v>61</v>
      </c>
      <c r="L385" t="s">
        <v>42</v>
      </c>
      <c r="M385" t="s">
        <v>43</v>
      </c>
      <c r="N385" s="5">
        <f t="shared" si="23"/>
        <v>6825.5073255000007</v>
      </c>
      <c r="O385" s="5">
        <v>2819.39</v>
      </c>
      <c r="P385" s="5">
        <v>968.53</v>
      </c>
      <c r="Q385" s="5">
        <v>1524.6</v>
      </c>
      <c r="R385" s="5">
        <v>477.56</v>
      </c>
      <c r="S385" s="5">
        <v>1289.0373255</v>
      </c>
      <c r="T385" s="5">
        <v>253.60999999999999</v>
      </c>
      <c r="U385">
        <v>1267.7199999999998</v>
      </c>
      <c r="V385">
        <v>0</v>
      </c>
      <c r="X385" t="s">
        <v>44</v>
      </c>
      <c r="Y385" t="s">
        <v>44</v>
      </c>
      <c r="AF385" s="5">
        <f t="shared" si="24"/>
        <v>8093.2273255</v>
      </c>
      <c r="AG385">
        <f t="shared" si="21"/>
        <v>0</v>
      </c>
      <c r="AH385" s="5">
        <f t="shared" si="22"/>
        <v>8093.2273255</v>
      </c>
      <c r="AJ385" t="s">
        <v>54</v>
      </c>
    </row>
    <row r="386" spans="1:36" x14ac:dyDescent="0.3">
      <c r="A386" t="s">
        <v>55</v>
      </c>
      <c r="B386" t="s">
        <v>55</v>
      </c>
      <c r="C386" t="s">
        <v>56</v>
      </c>
      <c r="E386">
        <v>399</v>
      </c>
      <c r="F386" t="s">
        <v>589</v>
      </c>
      <c r="G386" t="s">
        <v>82</v>
      </c>
      <c r="H386" t="s">
        <v>68</v>
      </c>
      <c r="I386" s="4">
        <v>46163</v>
      </c>
      <c r="J386" s="4">
        <v>46192</v>
      </c>
      <c r="K386" t="s">
        <v>41</v>
      </c>
      <c r="L386" t="s">
        <v>42</v>
      </c>
      <c r="M386" t="s">
        <v>43</v>
      </c>
      <c r="N386" s="5">
        <f t="shared" si="23"/>
        <v>3243.2481547000002</v>
      </c>
      <c r="O386" s="5">
        <v>2302.75</v>
      </c>
      <c r="P386" s="5">
        <v>1552.21</v>
      </c>
      <c r="Q386" s="5">
        <v>1328.76</v>
      </c>
      <c r="R386" s="5">
        <v>68.41</v>
      </c>
      <c r="S386" s="5">
        <v>762.50815470000009</v>
      </c>
      <c r="T386" s="5">
        <v>2771.39</v>
      </c>
      <c r="U386">
        <v>0</v>
      </c>
      <c r="V386">
        <v>0</v>
      </c>
      <c r="X386" t="s">
        <v>44</v>
      </c>
      <c r="Y386" t="s">
        <v>44</v>
      </c>
      <c r="AF386" s="5">
        <f t="shared" si="24"/>
        <v>3243.2481547000002</v>
      </c>
      <c r="AG386">
        <f t="shared" si="21"/>
        <v>0</v>
      </c>
      <c r="AH386" s="5">
        <f t="shared" si="22"/>
        <v>3243.2481547000002</v>
      </c>
      <c r="AJ386" t="s">
        <v>54</v>
      </c>
    </row>
    <row r="387" spans="1:36" x14ac:dyDescent="0.3">
      <c r="A387" t="s">
        <v>55</v>
      </c>
      <c r="B387" t="s">
        <v>55</v>
      </c>
      <c r="C387" t="s">
        <v>56</v>
      </c>
      <c r="E387">
        <v>401</v>
      </c>
      <c r="F387" t="s">
        <v>590</v>
      </c>
      <c r="G387" t="s">
        <v>139</v>
      </c>
      <c r="H387" t="s">
        <v>60</v>
      </c>
      <c r="I387" s="4">
        <v>46163</v>
      </c>
      <c r="J387" s="4"/>
      <c r="K387" t="s">
        <v>61</v>
      </c>
      <c r="L387" t="s">
        <v>42</v>
      </c>
      <c r="M387" t="s">
        <v>43</v>
      </c>
      <c r="N387" s="5">
        <f t="shared" si="23"/>
        <v>5721.0872960000006</v>
      </c>
      <c r="O387" s="5">
        <v>3356.8</v>
      </c>
      <c r="P387" s="5">
        <v>1659.46</v>
      </c>
      <c r="Q387" s="5">
        <v>0</v>
      </c>
      <c r="R387" s="5">
        <v>0</v>
      </c>
      <c r="S387" s="5">
        <v>704.82729600000005</v>
      </c>
      <c r="T387" s="5">
        <v>0</v>
      </c>
      <c r="U387">
        <v>1274.6399999999999</v>
      </c>
      <c r="V387">
        <v>0</v>
      </c>
      <c r="X387" t="s">
        <v>44</v>
      </c>
      <c r="Y387" t="s">
        <v>44</v>
      </c>
      <c r="Z387">
        <v>9000</v>
      </c>
      <c r="AD387" t="s">
        <v>65</v>
      </c>
      <c r="AF387" s="5">
        <f t="shared" si="24"/>
        <v>6995.7272960000009</v>
      </c>
      <c r="AG387">
        <f t="shared" ref="AG387:AG466" si="25">V387+Z387</f>
        <v>9000</v>
      </c>
      <c r="AH387" s="5">
        <f t="shared" ref="AH387:AH466" si="26">AG387+AF387</f>
        <v>15995.727296000001</v>
      </c>
      <c r="AJ387" t="s">
        <v>54</v>
      </c>
    </row>
    <row r="388" spans="1:36" x14ac:dyDescent="0.3">
      <c r="A388" t="s">
        <v>55</v>
      </c>
      <c r="B388" t="s">
        <v>55</v>
      </c>
      <c r="C388" t="s">
        <v>56</v>
      </c>
      <c r="E388">
        <v>402</v>
      </c>
      <c r="F388" t="s">
        <v>591</v>
      </c>
      <c r="G388" t="s">
        <v>82</v>
      </c>
      <c r="H388" t="s">
        <v>60</v>
      </c>
      <c r="I388" s="4">
        <v>46163</v>
      </c>
      <c r="J388" s="4"/>
      <c r="K388" t="s">
        <v>61</v>
      </c>
      <c r="L388" t="s">
        <v>42</v>
      </c>
      <c r="M388" t="s">
        <v>43</v>
      </c>
      <c r="N388" s="5">
        <f t="shared" ref="N388:N421" si="27">O388+P388+Q388+R388-T388+S388</f>
        <v>4060.3184175000001</v>
      </c>
      <c r="O388" s="5">
        <v>2302.75</v>
      </c>
      <c r="P388" s="5">
        <v>1274.06</v>
      </c>
      <c r="Q388" s="5">
        <v>0</v>
      </c>
      <c r="R388" s="5">
        <v>0</v>
      </c>
      <c r="S388" s="5">
        <v>483.50841750000001</v>
      </c>
      <c r="T388" s="5">
        <v>0</v>
      </c>
      <c r="U388">
        <v>1220.8399999999997</v>
      </c>
      <c r="V388">
        <v>0</v>
      </c>
      <c r="X388" t="s">
        <v>44</v>
      </c>
      <c r="Y388" t="s">
        <v>44</v>
      </c>
      <c r="AF388" s="5">
        <f t="shared" ref="AF388:AF467" si="28">N388+U388+W388</f>
        <v>5281.1584174999998</v>
      </c>
      <c r="AG388">
        <f t="shared" si="25"/>
        <v>0</v>
      </c>
      <c r="AH388" s="5">
        <f t="shared" si="26"/>
        <v>5281.1584174999998</v>
      </c>
      <c r="AJ388" t="s">
        <v>54</v>
      </c>
    </row>
    <row r="389" spans="1:36" x14ac:dyDescent="0.3">
      <c r="A389" t="s">
        <v>55</v>
      </c>
      <c r="B389" t="s">
        <v>55</v>
      </c>
      <c r="C389" t="s">
        <v>56</v>
      </c>
      <c r="E389">
        <v>403</v>
      </c>
      <c r="F389" t="s">
        <v>592</v>
      </c>
      <c r="G389" t="s">
        <v>139</v>
      </c>
      <c r="H389" t="s">
        <v>60</v>
      </c>
      <c r="I389" s="4">
        <v>46163</v>
      </c>
      <c r="J389" s="4"/>
      <c r="K389" t="s">
        <v>61</v>
      </c>
      <c r="L389" t="s">
        <v>42</v>
      </c>
      <c r="M389" t="s">
        <v>43</v>
      </c>
      <c r="N389" s="5">
        <f t="shared" si="27"/>
        <v>5276.8072960000009</v>
      </c>
      <c r="O389" s="5">
        <v>3356.8</v>
      </c>
      <c r="P389" s="5">
        <v>1215.18</v>
      </c>
      <c r="Q389" s="5">
        <v>0</v>
      </c>
      <c r="R389" s="5">
        <v>0</v>
      </c>
      <c r="S389" s="5">
        <v>704.82729600000005</v>
      </c>
      <c r="T389" s="5">
        <v>0</v>
      </c>
      <c r="U389">
        <v>1232.1999999999998</v>
      </c>
      <c r="V389">
        <v>0</v>
      </c>
      <c r="X389" t="s">
        <v>44</v>
      </c>
      <c r="Y389" t="s">
        <v>44</v>
      </c>
      <c r="Z389">
        <v>14000</v>
      </c>
      <c r="AD389" t="s">
        <v>65</v>
      </c>
      <c r="AF389" s="5">
        <f t="shared" si="28"/>
        <v>6509.0072960000007</v>
      </c>
      <c r="AG389">
        <f t="shared" si="25"/>
        <v>14000</v>
      </c>
      <c r="AH389" s="5">
        <f t="shared" si="26"/>
        <v>20509.007296</v>
      </c>
      <c r="AJ389" t="s">
        <v>54</v>
      </c>
    </row>
    <row r="390" spans="1:36" x14ac:dyDescent="0.3">
      <c r="A390" t="s">
        <v>277</v>
      </c>
      <c r="B390" t="s">
        <v>55</v>
      </c>
      <c r="C390" t="s">
        <v>56</v>
      </c>
      <c r="E390">
        <v>404</v>
      </c>
      <c r="F390" t="s">
        <v>593</v>
      </c>
      <c r="G390" t="s">
        <v>356</v>
      </c>
      <c r="H390" t="s">
        <v>68</v>
      </c>
      <c r="I390" s="4">
        <v>46163</v>
      </c>
      <c r="J390" s="4"/>
      <c r="K390" t="s">
        <v>61</v>
      </c>
      <c r="L390" t="s">
        <v>42</v>
      </c>
      <c r="M390" t="s">
        <v>43</v>
      </c>
      <c r="N390" s="5">
        <f t="shared" si="27"/>
        <v>11945.6316788</v>
      </c>
      <c r="O390" s="5">
        <v>4416.3</v>
      </c>
      <c r="P390" s="5">
        <v>3438.0600000000004</v>
      </c>
      <c r="Q390" s="5">
        <v>1015.56</v>
      </c>
      <c r="R390" s="5">
        <v>1408.91</v>
      </c>
      <c r="S390" s="5">
        <v>1726.8016787999998</v>
      </c>
      <c r="T390" s="5">
        <v>60</v>
      </c>
      <c r="U390">
        <v>1317.08</v>
      </c>
      <c r="V390">
        <v>0</v>
      </c>
      <c r="X390" t="s">
        <v>44</v>
      </c>
      <c r="Y390" t="s">
        <v>44</v>
      </c>
      <c r="Z390">
        <v>38000</v>
      </c>
      <c r="AD390" t="s">
        <v>65</v>
      </c>
      <c r="AF390" s="5">
        <f t="shared" si="28"/>
        <v>13262.7116788</v>
      </c>
      <c r="AG390">
        <f t="shared" si="25"/>
        <v>38000</v>
      </c>
      <c r="AH390" s="5">
        <f t="shared" si="26"/>
        <v>51262.711678799998</v>
      </c>
      <c r="AJ390" t="s">
        <v>54</v>
      </c>
    </row>
    <row r="391" spans="1:36" x14ac:dyDescent="0.3">
      <c r="A391" t="s">
        <v>55</v>
      </c>
      <c r="B391" t="s">
        <v>55</v>
      </c>
      <c r="C391" t="s">
        <v>56</v>
      </c>
      <c r="E391">
        <v>405</v>
      </c>
      <c r="F391" t="s">
        <v>594</v>
      </c>
      <c r="G391" t="s">
        <v>82</v>
      </c>
      <c r="H391" t="s">
        <v>60</v>
      </c>
      <c r="I391" s="4">
        <v>46163</v>
      </c>
      <c r="J391" s="4">
        <v>46192</v>
      </c>
      <c r="K391" t="s">
        <v>41</v>
      </c>
      <c r="L391" t="s">
        <v>42</v>
      </c>
      <c r="M391" t="s">
        <v>43</v>
      </c>
      <c r="N391" s="5">
        <f t="shared" si="27"/>
        <v>2041.3684174999999</v>
      </c>
      <c r="O391" s="5">
        <v>2302.75</v>
      </c>
      <c r="P391" s="5">
        <v>631.27</v>
      </c>
      <c r="Q391" s="5">
        <v>0</v>
      </c>
      <c r="R391" s="5">
        <v>0</v>
      </c>
      <c r="S391" s="5">
        <v>483.50841750000001</v>
      </c>
      <c r="T391" s="5">
        <v>1376.16</v>
      </c>
      <c r="U391">
        <v>0</v>
      </c>
      <c r="V391">
        <v>0</v>
      </c>
      <c r="X391" t="s">
        <v>44</v>
      </c>
      <c r="Y391" t="s">
        <v>44</v>
      </c>
      <c r="AF391" s="5">
        <f t="shared" si="28"/>
        <v>2041.3684174999999</v>
      </c>
      <c r="AG391">
        <f t="shared" si="25"/>
        <v>0</v>
      </c>
      <c r="AH391" s="5">
        <f t="shared" si="26"/>
        <v>2041.3684174999999</v>
      </c>
      <c r="AJ391" t="s">
        <v>54</v>
      </c>
    </row>
    <row r="392" spans="1:36" x14ac:dyDescent="0.3">
      <c r="A392" t="s">
        <v>55</v>
      </c>
      <c r="B392" t="s">
        <v>55</v>
      </c>
      <c r="C392" t="s">
        <v>56</v>
      </c>
      <c r="E392">
        <v>406</v>
      </c>
      <c r="F392" t="s">
        <v>595</v>
      </c>
      <c r="G392" t="s">
        <v>396</v>
      </c>
      <c r="H392" t="s">
        <v>60</v>
      </c>
      <c r="I392" s="4">
        <v>46163</v>
      </c>
      <c r="K392" t="s">
        <v>61</v>
      </c>
      <c r="L392" t="s">
        <v>42</v>
      </c>
      <c r="M392" t="s">
        <v>43</v>
      </c>
      <c r="N392" s="5">
        <f t="shared" si="27"/>
        <v>7796.4812032999998</v>
      </c>
      <c r="O392" s="5">
        <v>3049.35</v>
      </c>
      <c r="P392" s="5">
        <v>1452.18</v>
      </c>
      <c r="Q392" s="5">
        <v>724.6400000000001</v>
      </c>
      <c r="R392" s="5">
        <v>1334.93</v>
      </c>
      <c r="S392" s="5">
        <v>1299.6912033000001</v>
      </c>
      <c r="T392" s="5">
        <v>64.31</v>
      </c>
      <c r="U392">
        <v>1274.6399999999999</v>
      </c>
      <c r="V392">
        <v>0</v>
      </c>
      <c r="X392" t="s">
        <v>44</v>
      </c>
      <c r="Y392" t="s">
        <v>44</v>
      </c>
      <c r="AF392" s="5">
        <f t="shared" si="28"/>
        <v>9071.1212032999993</v>
      </c>
      <c r="AG392">
        <f t="shared" si="25"/>
        <v>0</v>
      </c>
      <c r="AH392" s="5">
        <f t="shared" si="26"/>
        <v>9071.1212032999993</v>
      </c>
      <c r="AJ392" t="s">
        <v>47</v>
      </c>
    </row>
    <row r="393" spans="1:36" x14ac:dyDescent="0.3">
      <c r="A393" t="s">
        <v>55</v>
      </c>
      <c r="B393" t="s">
        <v>55</v>
      </c>
      <c r="C393" t="s">
        <v>56</v>
      </c>
      <c r="E393">
        <v>408</v>
      </c>
      <c r="F393" t="s">
        <v>596</v>
      </c>
      <c r="G393" t="s">
        <v>82</v>
      </c>
      <c r="H393" t="s">
        <v>60</v>
      </c>
      <c r="I393" s="4">
        <v>46163</v>
      </c>
      <c r="K393" t="s">
        <v>61</v>
      </c>
      <c r="L393" t="s">
        <v>42</v>
      </c>
      <c r="M393" t="s">
        <v>43</v>
      </c>
      <c r="N393" s="5">
        <f t="shared" si="27"/>
        <v>6802.3963667000007</v>
      </c>
      <c r="O393" s="5">
        <v>2302.75</v>
      </c>
      <c r="P393" s="5">
        <v>822.13</v>
      </c>
      <c r="Q393" s="5">
        <v>1004.56</v>
      </c>
      <c r="R393" s="5">
        <v>1608.7</v>
      </c>
      <c r="S393" s="5">
        <v>1446.9263667000002</v>
      </c>
      <c r="T393" s="5">
        <v>382.67</v>
      </c>
      <c r="U393">
        <v>1147.32</v>
      </c>
      <c r="V393">
        <v>0</v>
      </c>
      <c r="X393" t="s">
        <v>44</v>
      </c>
      <c r="Y393" t="s">
        <v>44</v>
      </c>
      <c r="AF393" s="5">
        <f t="shared" si="28"/>
        <v>7949.7163667000004</v>
      </c>
      <c r="AG393">
        <f t="shared" si="25"/>
        <v>0</v>
      </c>
      <c r="AH393" s="5">
        <f t="shared" si="26"/>
        <v>7949.7163667000004</v>
      </c>
      <c r="AJ393" t="s">
        <v>54</v>
      </c>
    </row>
    <row r="394" spans="1:36" x14ac:dyDescent="0.3">
      <c r="A394" t="s">
        <v>55</v>
      </c>
      <c r="B394" t="s">
        <v>55</v>
      </c>
      <c r="C394" t="s">
        <v>56</v>
      </c>
      <c r="E394">
        <v>409</v>
      </c>
      <c r="F394" t="s">
        <v>597</v>
      </c>
      <c r="G394" t="s">
        <v>82</v>
      </c>
      <c r="H394" t="s">
        <v>60</v>
      </c>
      <c r="I394" s="4">
        <v>46163</v>
      </c>
      <c r="K394" t="s">
        <v>61</v>
      </c>
      <c r="L394" t="s">
        <v>42</v>
      </c>
      <c r="M394" t="s">
        <v>43</v>
      </c>
      <c r="N394" s="5">
        <f t="shared" si="27"/>
        <v>3677.5084175000002</v>
      </c>
      <c r="O394" s="5">
        <v>2302.75</v>
      </c>
      <c r="P394" s="5">
        <v>891.25</v>
      </c>
      <c r="Q394" s="5">
        <v>0</v>
      </c>
      <c r="R394" s="5">
        <v>0</v>
      </c>
      <c r="S394" s="5">
        <v>483.50841750000001</v>
      </c>
      <c r="T394" s="5">
        <v>0</v>
      </c>
      <c r="U394">
        <v>1147.32</v>
      </c>
      <c r="V394">
        <v>0</v>
      </c>
      <c r="X394" t="s">
        <v>44</v>
      </c>
      <c r="Y394" t="s">
        <v>44</v>
      </c>
      <c r="AF394" s="5">
        <f t="shared" si="28"/>
        <v>4824.8284174999999</v>
      </c>
      <c r="AG394">
        <f t="shared" si="25"/>
        <v>0</v>
      </c>
      <c r="AH394" s="5">
        <f t="shared" si="26"/>
        <v>4824.8284174999999</v>
      </c>
      <c r="AJ394" t="s">
        <v>54</v>
      </c>
    </row>
    <row r="395" spans="1:36" s="6" customFormat="1" x14ac:dyDescent="0.3">
      <c r="A395" s="6" t="s">
        <v>89</v>
      </c>
      <c r="B395" s="6" t="s">
        <v>90</v>
      </c>
      <c r="C395" s="6" t="s">
        <v>37</v>
      </c>
      <c r="E395" s="6">
        <v>410</v>
      </c>
      <c r="F395" s="6" t="s">
        <v>598</v>
      </c>
      <c r="G395" s="6" t="s">
        <v>92</v>
      </c>
      <c r="H395" t="s">
        <v>60</v>
      </c>
      <c r="I395" s="4">
        <v>46163</v>
      </c>
      <c r="J395"/>
      <c r="K395" s="6" t="s">
        <v>61</v>
      </c>
      <c r="L395" t="s">
        <v>42</v>
      </c>
      <c r="M395" s="6" t="s">
        <v>43</v>
      </c>
      <c r="N395" s="5">
        <f t="shared" si="27"/>
        <v>8762.2623114999988</v>
      </c>
      <c r="O395" s="5">
        <v>5572.95</v>
      </c>
      <c r="P395" s="5">
        <v>2019.16</v>
      </c>
      <c r="Q395" s="5">
        <v>0</v>
      </c>
      <c r="R395" s="5">
        <v>0</v>
      </c>
      <c r="S395" s="5">
        <v>1170.1523115</v>
      </c>
      <c r="T395" s="5">
        <v>0</v>
      </c>
      <c r="U395" s="6">
        <v>1104.8799999999999</v>
      </c>
      <c r="V395" s="6">
        <v>2000</v>
      </c>
      <c r="W395" s="6">
        <v>1000</v>
      </c>
      <c r="X395" s="6" t="s">
        <v>599</v>
      </c>
      <c r="Y395" s="6" t="s">
        <v>600</v>
      </c>
      <c r="AF395" s="7">
        <f t="shared" si="28"/>
        <v>10867.142311499998</v>
      </c>
      <c r="AG395" s="6">
        <f t="shared" si="25"/>
        <v>2000</v>
      </c>
      <c r="AH395" s="7">
        <f t="shared" si="26"/>
        <v>12867.142311499998</v>
      </c>
      <c r="AJ395" s="6" t="s">
        <v>54</v>
      </c>
    </row>
    <row r="396" spans="1:36" x14ac:dyDescent="0.3">
      <c r="A396" t="s">
        <v>277</v>
      </c>
      <c r="B396" t="s">
        <v>55</v>
      </c>
      <c r="C396" t="s">
        <v>56</v>
      </c>
      <c r="E396">
        <v>411</v>
      </c>
      <c r="F396" t="s">
        <v>601</v>
      </c>
      <c r="G396" t="s">
        <v>106</v>
      </c>
      <c r="H396" t="s">
        <v>68</v>
      </c>
      <c r="I396" s="4">
        <v>46174</v>
      </c>
      <c r="K396" t="s">
        <v>61</v>
      </c>
      <c r="L396" t="s">
        <v>42</v>
      </c>
      <c r="M396" t="s">
        <v>43</v>
      </c>
      <c r="N396" s="5">
        <f t="shared" si="27"/>
        <v>11067.220580700003</v>
      </c>
      <c r="O396" s="5">
        <v>5377.9</v>
      </c>
      <c r="P396" s="5">
        <v>3583.8</v>
      </c>
      <c r="Q396" s="5">
        <v>474.2</v>
      </c>
      <c r="R396" s="5">
        <v>410.04</v>
      </c>
      <c r="S396" s="5">
        <v>1431.4305807000001</v>
      </c>
      <c r="T396" s="5">
        <v>210.15</v>
      </c>
      <c r="U396">
        <v>1286</v>
      </c>
      <c r="V396">
        <v>0</v>
      </c>
      <c r="X396" t="s">
        <v>44</v>
      </c>
      <c r="Y396" t="s">
        <v>44</v>
      </c>
      <c r="AF396" s="5">
        <f t="shared" si="28"/>
        <v>12353.220580700003</v>
      </c>
      <c r="AG396">
        <f t="shared" si="25"/>
        <v>0</v>
      </c>
      <c r="AH396" s="5">
        <f t="shared" si="26"/>
        <v>12353.220580700003</v>
      </c>
      <c r="AJ396" t="s">
        <v>54</v>
      </c>
    </row>
    <row r="397" spans="1:36" x14ac:dyDescent="0.3">
      <c r="A397" t="s">
        <v>55</v>
      </c>
      <c r="B397" t="s">
        <v>55</v>
      </c>
      <c r="C397" t="s">
        <v>56</v>
      </c>
      <c r="E397">
        <v>412</v>
      </c>
      <c r="F397" t="s">
        <v>602</v>
      </c>
      <c r="G397" t="s">
        <v>209</v>
      </c>
      <c r="H397" t="s">
        <v>60</v>
      </c>
      <c r="I397" s="4">
        <v>46174</v>
      </c>
      <c r="K397" t="s">
        <v>61</v>
      </c>
      <c r="L397" t="s">
        <v>42</v>
      </c>
      <c r="M397" t="s">
        <v>43</v>
      </c>
      <c r="N397" s="5">
        <f t="shared" si="27"/>
        <v>4229.1796408999999</v>
      </c>
      <c r="O397" s="5">
        <v>2801.97</v>
      </c>
      <c r="P397" s="5">
        <v>838.87999999999988</v>
      </c>
      <c r="Q397" s="5">
        <v>0</v>
      </c>
      <c r="R397" s="5">
        <v>0</v>
      </c>
      <c r="S397" s="5">
        <v>588.32964089999996</v>
      </c>
      <c r="T397" s="5">
        <v>0</v>
      </c>
      <c r="U397">
        <v>1158.6799999999998</v>
      </c>
      <c r="V397">
        <v>0</v>
      </c>
      <c r="X397" t="s">
        <v>44</v>
      </c>
      <c r="Y397" t="s">
        <v>44</v>
      </c>
      <c r="AF397" s="5">
        <f t="shared" si="28"/>
        <v>5387.8596409000002</v>
      </c>
      <c r="AG397">
        <f t="shared" si="25"/>
        <v>0</v>
      </c>
      <c r="AH397" s="5">
        <f t="shared" si="26"/>
        <v>5387.8596409000002</v>
      </c>
      <c r="AJ397" t="s">
        <v>54</v>
      </c>
    </row>
    <row r="398" spans="1:36" x14ac:dyDescent="0.3">
      <c r="A398" t="s">
        <v>277</v>
      </c>
      <c r="B398" t="s">
        <v>55</v>
      </c>
      <c r="C398" t="s">
        <v>56</v>
      </c>
      <c r="E398">
        <v>413</v>
      </c>
      <c r="F398" t="s">
        <v>603</v>
      </c>
      <c r="G398" t="s">
        <v>82</v>
      </c>
      <c r="H398" t="s">
        <v>68</v>
      </c>
      <c r="I398" s="4">
        <v>46174</v>
      </c>
      <c r="K398" t="s">
        <v>61</v>
      </c>
      <c r="L398" t="s">
        <v>42</v>
      </c>
      <c r="M398" t="s">
        <v>43</v>
      </c>
      <c r="N398" s="5">
        <f t="shared" si="27"/>
        <v>3404.0584175000004</v>
      </c>
      <c r="O398" s="5">
        <v>2302.75</v>
      </c>
      <c r="P398" s="5">
        <v>617.79999999999995</v>
      </c>
      <c r="Q398" s="5">
        <v>0</v>
      </c>
      <c r="R398" s="5">
        <v>0</v>
      </c>
      <c r="S398" s="5">
        <v>483.50841750000001</v>
      </c>
      <c r="T398" s="5">
        <v>0</v>
      </c>
      <c r="U398">
        <v>1201.1199999999999</v>
      </c>
      <c r="V398">
        <v>0</v>
      </c>
      <c r="X398" t="s">
        <v>44</v>
      </c>
      <c r="Y398" t="s">
        <v>44</v>
      </c>
      <c r="AF398" s="5">
        <f t="shared" si="28"/>
        <v>4605.1784175000003</v>
      </c>
      <c r="AG398">
        <f t="shared" si="25"/>
        <v>0</v>
      </c>
      <c r="AH398" s="5">
        <f t="shared" si="26"/>
        <v>4605.1784175000003</v>
      </c>
      <c r="AJ398" t="s">
        <v>54</v>
      </c>
    </row>
    <row r="399" spans="1:36" x14ac:dyDescent="0.3">
      <c r="A399" t="s">
        <v>55</v>
      </c>
      <c r="B399" t="s">
        <v>55</v>
      </c>
      <c r="C399" t="s">
        <v>56</v>
      </c>
      <c r="E399">
        <v>414</v>
      </c>
      <c r="F399" t="s">
        <v>604</v>
      </c>
      <c r="G399" t="s">
        <v>133</v>
      </c>
      <c r="I399" s="4">
        <v>46181</v>
      </c>
      <c r="K399" t="s">
        <v>61</v>
      </c>
      <c r="L399" t="s">
        <v>42</v>
      </c>
      <c r="M399" t="s">
        <v>43</v>
      </c>
      <c r="N399" s="5">
        <f t="shared" si="27"/>
        <v>7201.3961537999994</v>
      </c>
      <c r="O399" s="5">
        <v>4681.28</v>
      </c>
      <c r="P399" s="5">
        <v>686.15</v>
      </c>
      <c r="Q399" s="5">
        <v>324.2</v>
      </c>
      <c r="R399" s="5">
        <v>375.59</v>
      </c>
      <c r="S399" s="5">
        <v>1310.5361537999997</v>
      </c>
      <c r="T399" s="5">
        <v>176.35999999999999</v>
      </c>
      <c r="U399">
        <v>1094.04</v>
      </c>
      <c r="V399">
        <v>0</v>
      </c>
      <c r="X399" t="s">
        <v>44</v>
      </c>
      <c r="Y399" t="s">
        <v>44</v>
      </c>
      <c r="Z399">
        <v>15000</v>
      </c>
      <c r="AD399" t="s">
        <v>88</v>
      </c>
      <c r="AF399" s="5">
        <f t="shared" si="28"/>
        <v>8295.4361537999994</v>
      </c>
      <c r="AG399">
        <f t="shared" si="25"/>
        <v>15000</v>
      </c>
      <c r="AH399" s="5">
        <f t="shared" si="26"/>
        <v>23295.436153800001</v>
      </c>
      <c r="AJ399" t="s">
        <v>54</v>
      </c>
    </row>
    <row r="400" spans="1:36" x14ac:dyDescent="0.3">
      <c r="A400" t="s">
        <v>277</v>
      </c>
      <c r="B400" t="s">
        <v>55</v>
      </c>
      <c r="C400" t="s">
        <v>56</v>
      </c>
      <c r="E400">
        <v>415</v>
      </c>
      <c r="F400" t="s">
        <v>605</v>
      </c>
      <c r="G400" t="s">
        <v>82</v>
      </c>
      <c r="H400" t="s">
        <v>68</v>
      </c>
      <c r="I400" s="4">
        <v>46174</v>
      </c>
      <c r="K400" t="s">
        <v>61</v>
      </c>
      <c r="L400" t="s">
        <v>42</v>
      </c>
      <c r="M400" t="s">
        <v>43</v>
      </c>
      <c r="N400" s="5">
        <f t="shared" si="27"/>
        <v>3246.9705697999998</v>
      </c>
      <c r="O400" s="5">
        <v>2302.75</v>
      </c>
      <c r="P400" s="5">
        <v>0</v>
      </c>
      <c r="Q400" s="5">
        <v>368.2</v>
      </c>
      <c r="R400" s="5">
        <v>160.38999999999999</v>
      </c>
      <c r="S400" s="5">
        <v>565.7305697999999</v>
      </c>
      <c r="T400" s="5">
        <v>150.1</v>
      </c>
      <c r="U400">
        <v>1073.7999999999997</v>
      </c>
      <c r="V400">
        <v>0</v>
      </c>
      <c r="X400" t="s">
        <v>44</v>
      </c>
      <c r="Y400" t="s">
        <v>44</v>
      </c>
      <c r="AF400" s="5">
        <f t="shared" si="28"/>
        <v>4320.7705697999991</v>
      </c>
      <c r="AG400">
        <f t="shared" si="25"/>
        <v>0</v>
      </c>
      <c r="AH400" s="5">
        <f t="shared" si="26"/>
        <v>4320.7705697999991</v>
      </c>
      <c r="AJ400" t="s">
        <v>54</v>
      </c>
    </row>
    <row r="401" spans="1:36" x14ac:dyDescent="0.3">
      <c r="A401" t="s">
        <v>277</v>
      </c>
      <c r="B401" t="s">
        <v>55</v>
      </c>
      <c r="C401" t="s">
        <v>56</v>
      </c>
      <c r="E401">
        <v>416</v>
      </c>
      <c r="F401" t="s">
        <v>606</v>
      </c>
      <c r="G401" t="s">
        <v>82</v>
      </c>
      <c r="H401" t="s">
        <v>68</v>
      </c>
      <c r="I401" s="4">
        <v>46174</v>
      </c>
      <c r="K401" t="s">
        <v>61</v>
      </c>
      <c r="L401" t="s">
        <v>42</v>
      </c>
      <c r="M401" t="s">
        <v>43</v>
      </c>
      <c r="N401" s="5">
        <f t="shared" si="27"/>
        <v>3231.7684175000004</v>
      </c>
      <c r="O401" s="5">
        <v>2302.75</v>
      </c>
      <c r="P401" s="5">
        <v>445.51</v>
      </c>
      <c r="Q401" s="5">
        <v>0</v>
      </c>
      <c r="R401" s="5">
        <v>0</v>
      </c>
      <c r="S401" s="5">
        <v>483.50841750000001</v>
      </c>
      <c r="T401" s="5">
        <v>0</v>
      </c>
      <c r="U401">
        <v>1158.6799999999998</v>
      </c>
      <c r="V401">
        <v>0</v>
      </c>
      <c r="X401" t="s">
        <v>44</v>
      </c>
      <c r="Y401" t="s">
        <v>44</v>
      </c>
      <c r="AF401" s="5">
        <f t="shared" si="28"/>
        <v>4390.4484174999998</v>
      </c>
      <c r="AG401">
        <f t="shared" si="25"/>
        <v>0</v>
      </c>
      <c r="AH401" s="5">
        <f t="shared" si="26"/>
        <v>4390.4484174999998</v>
      </c>
      <c r="AJ401" t="s">
        <v>54</v>
      </c>
    </row>
    <row r="402" spans="1:36" x14ac:dyDescent="0.3">
      <c r="A402" t="s">
        <v>55</v>
      </c>
      <c r="B402" t="s">
        <v>55</v>
      </c>
      <c r="C402" t="s">
        <v>56</v>
      </c>
      <c r="E402">
        <v>417</v>
      </c>
      <c r="F402" t="s">
        <v>607</v>
      </c>
      <c r="G402" t="s">
        <v>78</v>
      </c>
      <c r="H402" t="s">
        <v>60</v>
      </c>
      <c r="I402" s="4">
        <v>46174</v>
      </c>
      <c r="K402" t="s">
        <v>61</v>
      </c>
      <c r="L402" t="s">
        <v>42</v>
      </c>
      <c r="M402" t="s">
        <v>43</v>
      </c>
      <c r="N402" s="5">
        <f t="shared" si="27"/>
        <v>4915.5329555999997</v>
      </c>
      <c r="O402" s="5">
        <v>2801.97</v>
      </c>
      <c r="P402" s="5">
        <v>217.92</v>
      </c>
      <c r="Q402" s="5">
        <v>484.2</v>
      </c>
      <c r="R402" s="5">
        <v>481.06</v>
      </c>
      <c r="S402" s="5">
        <v>1104.7529556</v>
      </c>
      <c r="T402" s="5">
        <v>174.36999999999998</v>
      </c>
      <c r="U402">
        <v>1116.2399999999998</v>
      </c>
      <c r="V402">
        <v>0</v>
      </c>
      <c r="X402" t="s">
        <v>44</v>
      </c>
      <c r="Y402" t="s">
        <v>44</v>
      </c>
      <c r="AF402" s="5">
        <f t="shared" si="28"/>
        <v>6031.7729555999995</v>
      </c>
      <c r="AG402">
        <f t="shared" si="25"/>
        <v>0</v>
      </c>
      <c r="AH402" s="5">
        <f t="shared" si="26"/>
        <v>6031.7729555999995</v>
      </c>
      <c r="AJ402" t="s">
        <v>47</v>
      </c>
    </row>
    <row r="403" spans="1:36" x14ac:dyDescent="0.3">
      <c r="A403" t="s">
        <v>55</v>
      </c>
      <c r="B403" t="s">
        <v>55</v>
      </c>
      <c r="C403" t="s">
        <v>56</v>
      </c>
      <c r="E403">
        <v>418</v>
      </c>
      <c r="F403" t="s">
        <v>608</v>
      </c>
      <c r="G403" t="s">
        <v>82</v>
      </c>
      <c r="H403" t="s">
        <v>68</v>
      </c>
      <c r="I403" s="4">
        <v>46174</v>
      </c>
      <c r="K403" t="s">
        <v>61</v>
      </c>
      <c r="L403" t="s">
        <v>42</v>
      </c>
      <c r="M403" t="s">
        <v>43</v>
      </c>
      <c r="N403" s="5">
        <f t="shared" si="27"/>
        <v>3286.1684175</v>
      </c>
      <c r="O403" s="5">
        <v>2302.75</v>
      </c>
      <c r="P403" s="5">
        <v>499.91</v>
      </c>
      <c r="Q403" s="5">
        <v>0</v>
      </c>
      <c r="R403" s="5">
        <v>0</v>
      </c>
      <c r="S403" s="5">
        <v>483.50841750000001</v>
      </c>
      <c r="T403" s="5">
        <v>0</v>
      </c>
      <c r="U403">
        <v>1158.6799999999998</v>
      </c>
      <c r="V403">
        <v>0</v>
      </c>
      <c r="X403" t="s">
        <v>44</v>
      </c>
      <c r="Y403" t="s">
        <v>44</v>
      </c>
      <c r="AF403" s="5">
        <f t="shared" si="28"/>
        <v>4444.8484174999994</v>
      </c>
      <c r="AG403">
        <f t="shared" si="25"/>
        <v>0</v>
      </c>
      <c r="AH403" s="5">
        <f t="shared" si="26"/>
        <v>4444.8484174999994</v>
      </c>
      <c r="AJ403" t="s">
        <v>54</v>
      </c>
    </row>
    <row r="404" spans="1:36" x14ac:dyDescent="0.3">
      <c r="A404" t="s">
        <v>55</v>
      </c>
      <c r="B404" t="s">
        <v>55</v>
      </c>
      <c r="C404" t="s">
        <v>56</v>
      </c>
      <c r="E404">
        <v>419</v>
      </c>
      <c r="F404" t="s">
        <v>609</v>
      </c>
      <c r="G404" t="s">
        <v>139</v>
      </c>
      <c r="I404" s="4">
        <v>46181</v>
      </c>
      <c r="K404" t="s">
        <v>61</v>
      </c>
      <c r="L404" t="s">
        <v>42</v>
      </c>
      <c r="M404" t="s">
        <v>43</v>
      </c>
      <c r="N404" s="5">
        <f t="shared" si="27"/>
        <v>5295.0115306000007</v>
      </c>
      <c r="O404" s="5">
        <v>3356.8</v>
      </c>
      <c r="P404" s="5">
        <v>718.03</v>
      </c>
      <c r="Q404" s="5">
        <v>0</v>
      </c>
      <c r="R404" s="5">
        <v>439.14</v>
      </c>
      <c r="S404" s="5">
        <v>1009.7415306000003</v>
      </c>
      <c r="T404" s="5">
        <v>228.70000000000002</v>
      </c>
      <c r="U404">
        <v>1136.48</v>
      </c>
      <c r="V404">
        <v>0</v>
      </c>
      <c r="X404" t="s">
        <v>44</v>
      </c>
      <c r="Y404" t="s">
        <v>44</v>
      </c>
      <c r="Z404">
        <v>38000</v>
      </c>
      <c r="AD404" t="s">
        <v>65</v>
      </c>
      <c r="AF404" s="5">
        <f t="shared" si="28"/>
        <v>6431.4915306000003</v>
      </c>
      <c r="AG404">
        <f t="shared" si="25"/>
        <v>38000</v>
      </c>
      <c r="AH404" s="5">
        <f t="shared" si="26"/>
        <v>44431.491530600004</v>
      </c>
      <c r="AJ404" t="s">
        <v>54</v>
      </c>
    </row>
    <row r="405" spans="1:36" x14ac:dyDescent="0.3">
      <c r="A405" t="s">
        <v>55</v>
      </c>
      <c r="B405" t="s">
        <v>55</v>
      </c>
      <c r="C405" t="s">
        <v>56</v>
      </c>
      <c r="E405">
        <v>420</v>
      </c>
      <c r="F405" t="s">
        <v>610</v>
      </c>
      <c r="G405" t="s">
        <v>139</v>
      </c>
      <c r="I405" s="4">
        <v>46181</v>
      </c>
      <c r="K405" t="s">
        <v>61</v>
      </c>
      <c r="L405" t="s">
        <v>42</v>
      </c>
      <c r="M405" t="s">
        <v>43</v>
      </c>
      <c r="N405" s="5">
        <f t="shared" si="27"/>
        <v>5623.2156107999999</v>
      </c>
      <c r="O405" s="5">
        <v>3356.8</v>
      </c>
      <c r="P405" s="5">
        <v>283.28000000000003</v>
      </c>
      <c r="Q405" s="5">
        <v>500</v>
      </c>
      <c r="R405" s="5">
        <v>840.45</v>
      </c>
      <c r="S405" s="5">
        <v>1041.3756108</v>
      </c>
      <c r="T405" s="5">
        <v>398.69</v>
      </c>
      <c r="U405">
        <v>1094.04</v>
      </c>
      <c r="V405">
        <v>0</v>
      </c>
      <c r="X405" t="s">
        <v>44</v>
      </c>
      <c r="Y405" t="s">
        <v>44</v>
      </c>
      <c r="Z405">
        <v>15000</v>
      </c>
      <c r="AD405" t="s">
        <v>65</v>
      </c>
      <c r="AF405" s="5">
        <f t="shared" si="28"/>
        <v>6717.2556107999999</v>
      </c>
      <c r="AG405">
        <f t="shared" si="25"/>
        <v>15000</v>
      </c>
      <c r="AH405" s="5">
        <f t="shared" si="26"/>
        <v>21717.255610799999</v>
      </c>
      <c r="AJ405" t="s">
        <v>54</v>
      </c>
    </row>
    <row r="406" spans="1:36" x14ac:dyDescent="0.3">
      <c r="A406" t="s">
        <v>55</v>
      </c>
      <c r="B406" t="s">
        <v>55</v>
      </c>
      <c r="C406" t="s">
        <v>56</v>
      </c>
      <c r="E406">
        <v>421</v>
      </c>
      <c r="F406" s="8" t="s">
        <v>611</v>
      </c>
      <c r="G406" t="s">
        <v>612</v>
      </c>
      <c r="I406" s="4">
        <v>46195</v>
      </c>
      <c r="K406" t="s">
        <v>61</v>
      </c>
      <c r="L406" t="s">
        <v>42</v>
      </c>
      <c r="M406" t="s">
        <v>43</v>
      </c>
      <c r="N406" s="5">
        <f t="shared" si="27"/>
        <v>4597.8860000000004</v>
      </c>
      <c r="O406" s="5">
        <v>3800</v>
      </c>
      <c r="P406" s="5">
        <v>0</v>
      </c>
      <c r="Q406" s="5">
        <v>0</v>
      </c>
      <c r="R406" s="5">
        <v>0</v>
      </c>
      <c r="S406" s="5">
        <v>797.88599999999997</v>
      </c>
      <c r="T406" s="5">
        <v>0</v>
      </c>
      <c r="U406">
        <v>1273.1999999999998</v>
      </c>
      <c r="V406">
        <v>0</v>
      </c>
      <c r="X406" t="s">
        <v>44</v>
      </c>
      <c r="Y406" t="s">
        <v>44</v>
      </c>
      <c r="Z406" s="8"/>
      <c r="AF406" s="5">
        <f t="shared" si="28"/>
        <v>5871.0860000000002</v>
      </c>
      <c r="AG406">
        <f t="shared" si="25"/>
        <v>0</v>
      </c>
      <c r="AH406" s="5">
        <f t="shared" si="26"/>
        <v>5871.0860000000002</v>
      </c>
      <c r="AJ406" t="s">
        <v>54</v>
      </c>
    </row>
    <row r="407" spans="1:36" x14ac:dyDescent="0.3">
      <c r="A407" t="s">
        <v>55</v>
      </c>
      <c r="B407" t="s">
        <v>55</v>
      </c>
      <c r="C407" t="s">
        <v>56</v>
      </c>
      <c r="E407">
        <v>422</v>
      </c>
      <c r="F407" s="8" t="s">
        <v>613</v>
      </c>
      <c r="G407" t="s">
        <v>614</v>
      </c>
      <c r="I407" s="4">
        <v>46195</v>
      </c>
      <c r="K407" t="s">
        <v>61</v>
      </c>
      <c r="L407" t="s">
        <v>42</v>
      </c>
      <c r="M407" t="s">
        <v>43</v>
      </c>
      <c r="N407" s="5">
        <f t="shared" si="27"/>
        <v>5720.4009784999998</v>
      </c>
      <c r="O407" s="5">
        <v>3800</v>
      </c>
      <c r="P407" s="5">
        <v>0</v>
      </c>
      <c r="Q407" s="5">
        <v>161.44</v>
      </c>
      <c r="R407" s="5">
        <v>549.05999999999995</v>
      </c>
      <c r="S407" s="5">
        <v>1256.4709785</v>
      </c>
      <c r="T407" s="5">
        <v>46.57</v>
      </c>
      <c r="U407">
        <v>1273.1999999999998</v>
      </c>
      <c r="V407">
        <v>0</v>
      </c>
      <c r="X407" t="s">
        <v>44</v>
      </c>
      <c r="Y407" t="s">
        <v>44</v>
      </c>
      <c r="Z407" s="8"/>
      <c r="AF407" s="5">
        <f t="shared" si="28"/>
        <v>6993.6009784999997</v>
      </c>
      <c r="AG407">
        <f t="shared" si="25"/>
        <v>0</v>
      </c>
      <c r="AH407" s="5">
        <f t="shared" si="26"/>
        <v>6993.6009784999997</v>
      </c>
      <c r="AJ407" t="s">
        <v>54</v>
      </c>
    </row>
    <row r="408" spans="1:36" x14ac:dyDescent="0.3">
      <c r="A408" t="s">
        <v>55</v>
      </c>
      <c r="B408" t="s">
        <v>55</v>
      </c>
      <c r="C408" t="s">
        <v>56</v>
      </c>
      <c r="E408">
        <v>423</v>
      </c>
      <c r="F408" s="8" t="s">
        <v>615</v>
      </c>
      <c r="G408" t="s">
        <v>82</v>
      </c>
      <c r="I408" s="4">
        <v>46195</v>
      </c>
      <c r="K408" t="s">
        <v>61</v>
      </c>
      <c r="L408" t="s">
        <v>42</v>
      </c>
      <c r="M408" t="s">
        <v>43</v>
      </c>
      <c r="N408" s="5">
        <f t="shared" si="27"/>
        <v>2786.2584175000002</v>
      </c>
      <c r="O408" s="5">
        <v>2302.75</v>
      </c>
      <c r="P408" s="5">
        <v>0</v>
      </c>
      <c r="Q408" s="5">
        <v>0</v>
      </c>
      <c r="R408" s="5">
        <v>0</v>
      </c>
      <c r="S408" s="5">
        <v>483.50841750000001</v>
      </c>
      <c r="T408" s="5">
        <v>0</v>
      </c>
      <c r="U408">
        <v>1273.1999999999998</v>
      </c>
      <c r="V408">
        <v>0</v>
      </c>
      <c r="X408" t="s">
        <v>44</v>
      </c>
      <c r="Y408" t="s">
        <v>44</v>
      </c>
      <c r="Z408" s="8"/>
      <c r="AF408" s="5">
        <f t="shared" si="28"/>
        <v>4059.4584175</v>
      </c>
      <c r="AG408">
        <f t="shared" si="25"/>
        <v>0</v>
      </c>
      <c r="AH408" s="5">
        <f t="shared" si="26"/>
        <v>4059.4584175</v>
      </c>
      <c r="AJ408" t="s">
        <v>54</v>
      </c>
    </row>
    <row r="409" spans="1:36" x14ac:dyDescent="0.3">
      <c r="A409" t="s">
        <v>55</v>
      </c>
      <c r="B409" t="s">
        <v>55</v>
      </c>
      <c r="C409" t="s">
        <v>56</v>
      </c>
      <c r="E409">
        <v>424</v>
      </c>
      <c r="F409" s="8" t="s">
        <v>616</v>
      </c>
      <c r="G409" t="s">
        <v>82</v>
      </c>
      <c r="I409" s="4">
        <v>46195</v>
      </c>
      <c r="K409" t="s">
        <v>61</v>
      </c>
      <c r="L409" t="s">
        <v>42</v>
      </c>
      <c r="M409" t="s">
        <v>43</v>
      </c>
      <c r="N409" s="5">
        <f t="shared" si="27"/>
        <v>2786.2584175000002</v>
      </c>
      <c r="O409" s="5">
        <v>2302.75</v>
      </c>
      <c r="P409" s="5">
        <v>0</v>
      </c>
      <c r="Q409" s="5">
        <v>0</v>
      </c>
      <c r="R409" s="5">
        <v>0</v>
      </c>
      <c r="S409" s="5">
        <v>483.50841750000001</v>
      </c>
      <c r="T409" s="5">
        <v>0</v>
      </c>
      <c r="U409">
        <v>1273.1999999999998</v>
      </c>
      <c r="V409">
        <v>0</v>
      </c>
      <c r="X409" t="s">
        <v>44</v>
      </c>
      <c r="Y409" t="s">
        <v>44</v>
      </c>
      <c r="Z409" s="8"/>
      <c r="AF409" s="5">
        <f t="shared" si="28"/>
        <v>4059.4584175</v>
      </c>
      <c r="AG409">
        <f t="shared" si="25"/>
        <v>0</v>
      </c>
      <c r="AH409" s="5">
        <f t="shared" si="26"/>
        <v>4059.4584175</v>
      </c>
      <c r="AJ409" t="s">
        <v>54</v>
      </c>
    </row>
    <row r="410" spans="1:36" x14ac:dyDescent="0.3">
      <c r="A410" t="s">
        <v>55</v>
      </c>
      <c r="B410" t="s">
        <v>55</v>
      </c>
      <c r="C410" t="s">
        <v>56</v>
      </c>
      <c r="E410">
        <v>425</v>
      </c>
      <c r="F410" s="8" t="s">
        <v>617</v>
      </c>
      <c r="G410" t="s">
        <v>82</v>
      </c>
      <c r="I410" s="4">
        <v>46195</v>
      </c>
      <c r="K410" t="s">
        <v>61</v>
      </c>
      <c r="L410" t="s">
        <v>42</v>
      </c>
      <c r="M410" t="s">
        <v>43</v>
      </c>
      <c r="N410" s="5">
        <f t="shared" si="27"/>
        <v>2786.2584175000002</v>
      </c>
      <c r="O410" s="5">
        <v>2302.75</v>
      </c>
      <c r="P410" s="5">
        <v>0</v>
      </c>
      <c r="Q410" s="5">
        <v>0</v>
      </c>
      <c r="R410" s="5">
        <v>0</v>
      </c>
      <c r="S410" s="5">
        <v>483.50841750000001</v>
      </c>
      <c r="T410" s="5">
        <v>0</v>
      </c>
      <c r="U410">
        <v>1273.1999999999998</v>
      </c>
      <c r="V410">
        <v>0</v>
      </c>
      <c r="X410" t="s">
        <v>44</v>
      </c>
      <c r="Y410" t="s">
        <v>44</v>
      </c>
      <c r="Z410" s="8"/>
      <c r="AF410" s="5">
        <f t="shared" si="28"/>
        <v>4059.4584175</v>
      </c>
      <c r="AG410">
        <f t="shared" si="25"/>
        <v>0</v>
      </c>
      <c r="AH410" s="5">
        <f t="shared" si="26"/>
        <v>4059.4584175</v>
      </c>
      <c r="AJ410" t="s">
        <v>54</v>
      </c>
    </row>
    <row r="411" spans="1:36" x14ac:dyDescent="0.3">
      <c r="A411" t="s">
        <v>55</v>
      </c>
      <c r="B411" t="s">
        <v>55</v>
      </c>
      <c r="C411" t="s">
        <v>56</v>
      </c>
      <c r="E411">
        <v>426</v>
      </c>
      <c r="F411" s="8" t="s">
        <v>618</v>
      </c>
      <c r="G411" t="s">
        <v>82</v>
      </c>
      <c r="I411" s="4">
        <v>46209</v>
      </c>
      <c r="K411" t="s">
        <v>61</v>
      </c>
      <c r="L411" t="s">
        <v>42</v>
      </c>
      <c r="M411" t="s">
        <v>43</v>
      </c>
      <c r="N411" s="5">
        <f t="shared" si="27"/>
        <v>3079.6998371999998</v>
      </c>
      <c r="O411" s="5">
        <v>2302.75</v>
      </c>
      <c r="P411" s="5">
        <v>0</v>
      </c>
      <c r="Q411" s="5">
        <v>160</v>
      </c>
      <c r="R411" s="5">
        <v>267.68</v>
      </c>
      <c r="S411" s="5">
        <v>558.25983719999999</v>
      </c>
      <c r="T411" s="5">
        <v>208.99</v>
      </c>
      <c r="U411">
        <v>848.8</v>
      </c>
      <c r="V411">
        <v>0</v>
      </c>
      <c r="X411" t="s">
        <v>44</v>
      </c>
      <c r="Y411" t="s">
        <v>44</v>
      </c>
      <c r="Z411" s="8"/>
      <c r="AF411" s="5">
        <f t="shared" si="28"/>
        <v>3928.4998372</v>
      </c>
      <c r="AG411">
        <f t="shared" si="25"/>
        <v>0</v>
      </c>
      <c r="AH411" s="5">
        <f t="shared" si="26"/>
        <v>3928.4998372</v>
      </c>
      <c r="AJ411" t="s">
        <v>54</v>
      </c>
    </row>
    <row r="412" spans="1:36" x14ac:dyDescent="0.3">
      <c r="A412" t="s">
        <v>55</v>
      </c>
      <c r="B412" t="s">
        <v>55</v>
      </c>
      <c r="C412" t="s">
        <v>56</v>
      </c>
      <c r="E412">
        <v>427</v>
      </c>
      <c r="F412" s="8" t="s">
        <v>619</v>
      </c>
      <c r="G412" t="s">
        <v>82</v>
      </c>
      <c r="I412" s="4">
        <v>46209</v>
      </c>
      <c r="K412" t="s">
        <v>61</v>
      </c>
      <c r="L412" t="s">
        <v>42</v>
      </c>
      <c r="M412" t="s">
        <v>43</v>
      </c>
      <c r="N412" s="5">
        <f t="shared" si="27"/>
        <v>2786.2584175000002</v>
      </c>
      <c r="O412" s="5">
        <v>2302.75</v>
      </c>
      <c r="P412" s="5">
        <v>0</v>
      </c>
      <c r="Q412" s="5">
        <v>0</v>
      </c>
      <c r="R412" s="5">
        <v>0</v>
      </c>
      <c r="S412" s="5">
        <v>483.50841750000001</v>
      </c>
      <c r="T412" s="5">
        <v>0</v>
      </c>
      <c r="U412">
        <v>848.8</v>
      </c>
      <c r="V412">
        <v>0</v>
      </c>
      <c r="X412" t="s">
        <v>44</v>
      </c>
      <c r="Y412" t="s">
        <v>44</v>
      </c>
      <c r="Z412" s="8"/>
      <c r="AF412" s="5">
        <f t="shared" si="28"/>
        <v>3635.0584175000004</v>
      </c>
      <c r="AG412">
        <f t="shared" si="25"/>
        <v>0</v>
      </c>
      <c r="AH412" s="5">
        <f t="shared" si="26"/>
        <v>3635.0584175000004</v>
      </c>
      <c r="AJ412" t="s">
        <v>54</v>
      </c>
    </row>
    <row r="413" spans="1:36" x14ac:dyDescent="0.3">
      <c r="A413" t="s">
        <v>55</v>
      </c>
      <c r="B413" t="s">
        <v>55</v>
      </c>
      <c r="C413" t="s">
        <v>56</v>
      </c>
      <c r="E413">
        <v>429</v>
      </c>
      <c r="F413" s="8" t="s">
        <v>620</v>
      </c>
      <c r="G413" t="s">
        <v>82</v>
      </c>
      <c r="I413" s="4">
        <v>46209</v>
      </c>
      <c r="K413" t="s">
        <v>61</v>
      </c>
      <c r="L413" t="s">
        <v>42</v>
      </c>
      <c r="M413" t="s">
        <v>43</v>
      </c>
      <c r="N413" s="5">
        <f t="shared" si="27"/>
        <v>3289.7597621000004</v>
      </c>
      <c r="O413" s="5">
        <v>2302.75</v>
      </c>
      <c r="P413" s="5">
        <v>0</v>
      </c>
      <c r="Q413" s="5">
        <v>0</v>
      </c>
      <c r="R413" s="5">
        <v>449.76</v>
      </c>
      <c r="S413" s="5">
        <v>738.65976209999997</v>
      </c>
      <c r="T413" s="5">
        <v>201.41</v>
      </c>
      <c r="U413">
        <v>848.8</v>
      </c>
      <c r="V413">
        <v>0</v>
      </c>
      <c r="X413" t="s">
        <v>44</v>
      </c>
      <c r="Y413" t="s">
        <v>44</v>
      </c>
      <c r="Z413" s="8"/>
      <c r="AF413" s="5">
        <f t="shared" si="28"/>
        <v>4138.5597621000006</v>
      </c>
      <c r="AG413">
        <f t="shared" si="25"/>
        <v>0</v>
      </c>
      <c r="AH413" s="5">
        <f t="shared" si="26"/>
        <v>4138.5597621000006</v>
      </c>
      <c r="AJ413" t="s">
        <v>54</v>
      </c>
    </row>
    <row r="414" spans="1:36" x14ac:dyDescent="0.3">
      <c r="A414" t="s">
        <v>55</v>
      </c>
      <c r="B414" t="s">
        <v>55</v>
      </c>
      <c r="C414" t="s">
        <v>56</v>
      </c>
      <c r="E414">
        <v>430</v>
      </c>
      <c r="F414" s="8" t="s">
        <v>621</v>
      </c>
      <c r="G414" t="s">
        <v>209</v>
      </c>
      <c r="I414" s="4">
        <v>46209</v>
      </c>
      <c r="K414" t="s">
        <v>61</v>
      </c>
      <c r="L414" t="s">
        <v>42</v>
      </c>
      <c r="M414" t="s">
        <v>43</v>
      </c>
      <c r="N414" s="5">
        <f t="shared" si="27"/>
        <v>3390.2996408999998</v>
      </c>
      <c r="O414" s="5">
        <v>2801.97</v>
      </c>
      <c r="P414" s="5">
        <v>0</v>
      </c>
      <c r="Q414" s="5">
        <v>0</v>
      </c>
      <c r="R414" s="5">
        <v>0</v>
      </c>
      <c r="S414" s="5">
        <v>588.32964089999996</v>
      </c>
      <c r="T414" s="5">
        <v>0</v>
      </c>
      <c r="U414">
        <v>848.8</v>
      </c>
      <c r="V414">
        <v>0</v>
      </c>
      <c r="X414" t="s">
        <v>44</v>
      </c>
      <c r="Y414" t="s">
        <v>44</v>
      </c>
      <c r="Z414" s="8"/>
      <c r="AF414" s="5">
        <f t="shared" si="28"/>
        <v>4239.0996408999999</v>
      </c>
      <c r="AG414">
        <f t="shared" si="25"/>
        <v>0</v>
      </c>
      <c r="AH414" s="5">
        <f t="shared" si="26"/>
        <v>4239.0996408999999</v>
      </c>
      <c r="AJ414" t="s">
        <v>54</v>
      </c>
    </row>
    <row r="415" spans="1:36" x14ac:dyDescent="0.3">
      <c r="A415" t="s">
        <v>55</v>
      </c>
      <c r="B415" t="s">
        <v>55</v>
      </c>
      <c r="C415" t="s">
        <v>56</v>
      </c>
      <c r="E415">
        <v>431</v>
      </c>
      <c r="F415" s="8" t="s">
        <v>622</v>
      </c>
      <c r="G415" t="s">
        <v>356</v>
      </c>
      <c r="I415" s="4">
        <v>46209</v>
      </c>
      <c r="K415" t="s">
        <v>61</v>
      </c>
      <c r="L415" t="s">
        <v>42</v>
      </c>
      <c r="M415" t="s">
        <v>43</v>
      </c>
      <c r="N415" s="5">
        <f t="shared" si="27"/>
        <v>5928.5727934999995</v>
      </c>
      <c r="O415" s="5">
        <v>4416.3</v>
      </c>
      <c r="P415" s="5">
        <v>0</v>
      </c>
      <c r="Q415" s="5">
        <v>160</v>
      </c>
      <c r="R415" s="5">
        <v>405.66</v>
      </c>
      <c r="S415" s="5">
        <v>1138.7827935</v>
      </c>
      <c r="T415" s="5">
        <v>192.17</v>
      </c>
      <c r="U415">
        <v>848.8</v>
      </c>
      <c r="V415">
        <v>0</v>
      </c>
      <c r="X415" t="s">
        <v>44</v>
      </c>
      <c r="Y415" t="s">
        <v>44</v>
      </c>
      <c r="Z415" s="8"/>
      <c r="AF415" s="5">
        <f t="shared" si="28"/>
        <v>6777.3727934999997</v>
      </c>
      <c r="AG415">
        <f t="shared" si="25"/>
        <v>0</v>
      </c>
      <c r="AH415" s="5">
        <f t="shared" si="26"/>
        <v>6777.3727934999997</v>
      </c>
      <c r="AJ415" t="s">
        <v>54</v>
      </c>
    </row>
    <row r="416" spans="1:36" x14ac:dyDescent="0.3">
      <c r="A416" t="s">
        <v>55</v>
      </c>
      <c r="B416" t="s">
        <v>55</v>
      </c>
      <c r="C416" t="s">
        <v>56</v>
      </c>
      <c r="E416">
        <v>432</v>
      </c>
      <c r="F416" s="8" t="s">
        <v>623</v>
      </c>
      <c r="G416" t="s">
        <v>133</v>
      </c>
      <c r="I416" s="4">
        <v>46209</v>
      </c>
      <c r="K416" t="s">
        <v>61</v>
      </c>
      <c r="L416" t="s">
        <v>42</v>
      </c>
      <c r="M416" t="s">
        <v>43</v>
      </c>
      <c r="N416" s="5">
        <f t="shared" si="27"/>
        <v>5664.2083616</v>
      </c>
      <c r="O416" s="5">
        <v>4681.28</v>
      </c>
      <c r="P416" s="5">
        <v>0</v>
      </c>
      <c r="Q416" s="5">
        <v>0</v>
      </c>
      <c r="R416" s="5">
        <v>0</v>
      </c>
      <c r="S416" s="5">
        <v>982.92836159999979</v>
      </c>
      <c r="T416" s="5">
        <v>0</v>
      </c>
      <c r="U416">
        <v>848.8</v>
      </c>
      <c r="V416">
        <v>0</v>
      </c>
      <c r="X416" t="s">
        <v>44</v>
      </c>
      <c r="Y416" t="s">
        <v>44</v>
      </c>
      <c r="Z416" s="8"/>
      <c r="AF416" s="5">
        <f t="shared" si="28"/>
        <v>6513.0083616000002</v>
      </c>
      <c r="AG416">
        <f t="shared" si="25"/>
        <v>0</v>
      </c>
      <c r="AH416" s="5">
        <f t="shared" si="26"/>
        <v>6513.0083616000002</v>
      </c>
      <c r="AJ416" t="s">
        <v>54</v>
      </c>
    </row>
    <row r="417" spans="1:36" x14ac:dyDescent="0.3">
      <c r="A417" t="s">
        <v>55</v>
      </c>
      <c r="B417" t="s">
        <v>55</v>
      </c>
      <c r="C417" t="s">
        <v>56</v>
      </c>
      <c r="E417">
        <v>433</v>
      </c>
      <c r="F417" s="8" t="s">
        <v>624</v>
      </c>
      <c r="G417" t="s">
        <v>209</v>
      </c>
      <c r="I417" s="4">
        <v>46209</v>
      </c>
      <c r="K417" t="s">
        <v>61</v>
      </c>
      <c r="L417" t="s">
        <v>42</v>
      </c>
      <c r="M417" t="s">
        <v>43</v>
      </c>
      <c r="N417" s="5">
        <f t="shared" si="27"/>
        <v>4526.1053348999994</v>
      </c>
      <c r="O417" s="5">
        <v>2801.97</v>
      </c>
      <c r="P417" s="5">
        <v>0</v>
      </c>
      <c r="Q417" s="5">
        <v>120.03</v>
      </c>
      <c r="R417" s="5">
        <v>604.64</v>
      </c>
      <c r="S417" s="5">
        <v>1052.4053348999998</v>
      </c>
      <c r="T417" s="5">
        <v>52.94</v>
      </c>
      <c r="U417">
        <v>848.8</v>
      </c>
      <c r="V417">
        <v>0</v>
      </c>
      <c r="X417" t="s">
        <v>44</v>
      </c>
      <c r="Y417" t="s">
        <v>44</v>
      </c>
      <c r="Z417" s="8"/>
      <c r="AF417" s="5">
        <f t="shared" si="28"/>
        <v>5374.9053348999996</v>
      </c>
      <c r="AG417">
        <f t="shared" si="25"/>
        <v>0</v>
      </c>
      <c r="AH417" s="5">
        <f t="shared" si="26"/>
        <v>5374.9053348999996</v>
      </c>
      <c r="AJ417" t="s">
        <v>54</v>
      </c>
    </row>
    <row r="418" spans="1:36" x14ac:dyDescent="0.3">
      <c r="A418" t="s">
        <v>55</v>
      </c>
      <c r="B418" t="s">
        <v>55</v>
      </c>
      <c r="C418" t="s">
        <v>56</v>
      </c>
      <c r="E418">
        <v>435</v>
      </c>
      <c r="F418" s="8" t="s">
        <v>625</v>
      </c>
      <c r="G418" t="s">
        <v>82</v>
      </c>
      <c r="I418" s="4">
        <v>46209</v>
      </c>
      <c r="K418" t="s">
        <v>61</v>
      </c>
      <c r="L418" t="s">
        <v>42</v>
      </c>
      <c r="M418" t="s">
        <v>43</v>
      </c>
      <c r="N418" s="5">
        <f t="shared" si="27"/>
        <v>2786.2584175000002</v>
      </c>
      <c r="O418" s="5">
        <v>2302.75</v>
      </c>
      <c r="P418" s="5">
        <v>0</v>
      </c>
      <c r="Q418" s="5">
        <v>0</v>
      </c>
      <c r="R418" s="5">
        <v>0</v>
      </c>
      <c r="S418" s="5">
        <v>483.50841750000001</v>
      </c>
      <c r="T418" s="5">
        <v>0</v>
      </c>
      <c r="U418">
        <v>848.8</v>
      </c>
      <c r="V418">
        <v>0</v>
      </c>
      <c r="X418" t="s">
        <v>44</v>
      </c>
      <c r="Y418" t="s">
        <v>44</v>
      </c>
      <c r="Z418" s="8"/>
      <c r="AF418" s="5">
        <f t="shared" si="28"/>
        <v>3635.0584175000004</v>
      </c>
      <c r="AG418">
        <f t="shared" si="25"/>
        <v>0</v>
      </c>
      <c r="AH418" s="5">
        <f t="shared" si="26"/>
        <v>3635.0584175000004</v>
      </c>
      <c r="AJ418" t="s">
        <v>54</v>
      </c>
    </row>
    <row r="419" spans="1:36" x14ac:dyDescent="0.3">
      <c r="A419" t="s">
        <v>55</v>
      </c>
      <c r="B419" t="s">
        <v>55</v>
      </c>
      <c r="C419" t="s">
        <v>56</v>
      </c>
      <c r="E419">
        <v>436</v>
      </c>
      <c r="F419" s="8" t="s">
        <v>626</v>
      </c>
      <c r="G419" t="s">
        <v>82</v>
      </c>
      <c r="I419" s="4">
        <v>46209</v>
      </c>
      <c r="K419" t="s">
        <v>61</v>
      </c>
      <c r="L419" t="s">
        <v>42</v>
      </c>
      <c r="M419" t="s">
        <v>43</v>
      </c>
      <c r="N419" s="5">
        <f t="shared" si="27"/>
        <v>6477.7922141999998</v>
      </c>
      <c r="O419" s="5">
        <v>2302.75</v>
      </c>
      <c r="P419" s="5">
        <v>0</v>
      </c>
      <c r="Q419" s="5">
        <v>400</v>
      </c>
      <c r="R419" s="5">
        <v>2236.5700000000002</v>
      </c>
      <c r="S419" s="5">
        <v>1598.4722142000003</v>
      </c>
      <c r="T419" s="5">
        <v>60</v>
      </c>
      <c r="U419">
        <v>848.8</v>
      </c>
      <c r="V419">
        <v>0</v>
      </c>
      <c r="X419" t="s">
        <v>44</v>
      </c>
      <c r="Y419" t="s">
        <v>44</v>
      </c>
      <c r="Z419" s="8"/>
      <c r="AF419" s="5">
        <f t="shared" si="28"/>
        <v>7326.5922141999999</v>
      </c>
      <c r="AG419">
        <f t="shared" si="25"/>
        <v>0</v>
      </c>
      <c r="AH419" s="5">
        <f t="shared" si="26"/>
        <v>7326.5922141999999</v>
      </c>
      <c r="AJ419" t="s">
        <v>54</v>
      </c>
    </row>
    <row r="420" spans="1:36" x14ac:dyDescent="0.3">
      <c r="A420" t="s">
        <v>55</v>
      </c>
      <c r="B420" t="s">
        <v>55</v>
      </c>
      <c r="C420" t="s">
        <v>56</v>
      </c>
      <c r="E420">
        <v>437</v>
      </c>
      <c r="F420" s="8" t="s">
        <v>627</v>
      </c>
      <c r="G420" t="s">
        <v>82</v>
      </c>
      <c r="I420" s="4">
        <v>46209</v>
      </c>
      <c r="K420" t="s">
        <v>61</v>
      </c>
      <c r="L420" t="s">
        <v>42</v>
      </c>
      <c r="M420" t="s">
        <v>43</v>
      </c>
      <c r="N420" s="5">
        <f t="shared" si="27"/>
        <v>3836.3769729999999</v>
      </c>
      <c r="O420" s="5">
        <v>2302.75</v>
      </c>
      <c r="P420" s="5">
        <v>0</v>
      </c>
      <c r="Q420" s="5">
        <v>324.2</v>
      </c>
      <c r="R420" s="5">
        <v>498.32</v>
      </c>
      <c r="S420" s="5">
        <v>924.05697299999986</v>
      </c>
      <c r="T420" s="5">
        <v>212.95</v>
      </c>
      <c r="U420">
        <v>848.8</v>
      </c>
      <c r="V420">
        <v>0</v>
      </c>
      <c r="X420" t="s">
        <v>44</v>
      </c>
      <c r="Y420" t="s">
        <v>44</v>
      </c>
      <c r="Z420" s="8"/>
      <c r="AF420" s="5">
        <f t="shared" si="28"/>
        <v>4685.1769729999996</v>
      </c>
      <c r="AG420">
        <f t="shared" si="25"/>
        <v>0</v>
      </c>
      <c r="AH420" s="5">
        <f t="shared" si="26"/>
        <v>4685.1769729999996</v>
      </c>
      <c r="AJ420" t="s">
        <v>54</v>
      </c>
    </row>
    <row r="421" spans="1:36" x14ac:dyDescent="0.3">
      <c r="A421" t="s">
        <v>55</v>
      </c>
      <c r="B421" t="s">
        <v>55</v>
      </c>
      <c r="C421" t="s">
        <v>56</v>
      </c>
      <c r="E421">
        <v>438</v>
      </c>
      <c r="F421" s="8" t="s">
        <v>628</v>
      </c>
      <c r="G421" t="s">
        <v>449</v>
      </c>
      <c r="I421" s="4">
        <v>46209</v>
      </c>
      <c r="K421" t="s">
        <v>61</v>
      </c>
      <c r="L421" t="s">
        <v>42</v>
      </c>
      <c r="M421" t="s">
        <v>43</v>
      </c>
      <c r="N421" s="5">
        <f t="shared" si="27"/>
        <v>3371.5572056000001</v>
      </c>
      <c r="O421" s="5">
        <v>2786.48</v>
      </c>
      <c r="P421" s="5">
        <v>0</v>
      </c>
      <c r="Q421" s="5">
        <v>0</v>
      </c>
      <c r="R421" s="5">
        <v>0</v>
      </c>
      <c r="S421" s="5">
        <v>585.07720560000007</v>
      </c>
      <c r="T421" s="5">
        <v>0</v>
      </c>
      <c r="U421">
        <v>848.8</v>
      </c>
      <c r="V421">
        <v>0</v>
      </c>
      <c r="X421" t="s">
        <v>44</v>
      </c>
      <c r="Y421" t="s">
        <v>44</v>
      </c>
      <c r="Z421" s="8"/>
      <c r="AF421" s="5">
        <f t="shared" si="28"/>
        <v>4220.3572056000003</v>
      </c>
      <c r="AG421">
        <f t="shared" si="25"/>
        <v>0</v>
      </c>
      <c r="AH421" s="5">
        <f t="shared" si="26"/>
        <v>4220.3572056000003</v>
      </c>
      <c r="AJ421" t="s">
        <v>54</v>
      </c>
    </row>
    <row r="422" spans="1:36" s="6" customFormat="1" x14ac:dyDescent="0.3">
      <c r="A422" s="6" t="s">
        <v>629</v>
      </c>
      <c r="B422" s="6" t="s">
        <v>630</v>
      </c>
      <c r="C422" s="6" t="s">
        <v>37</v>
      </c>
      <c r="D422" s="6" t="s">
        <v>117</v>
      </c>
      <c r="E422" s="6">
        <v>5000</v>
      </c>
      <c r="F422" s="6" t="s">
        <v>631</v>
      </c>
      <c r="G422" s="6" t="s">
        <v>632</v>
      </c>
      <c r="H422" t="s">
        <v>60</v>
      </c>
      <c r="I422" s="4">
        <v>45797</v>
      </c>
      <c r="J422" t="s">
        <v>44</v>
      </c>
      <c r="K422" s="6" t="s">
        <v>61</v>
      </c>
      <c r="L422" t="s">
        <v>42</v>
      </c>
      <c r="M422" s="6" t="s">
        <v>633</v>
      </c>
      <c r="N422" s="5">
        <f t="shared" ref="N422:N482" si="29">O422+P422+Q422+R422-T422</f>
        <v>25000</v>
      </c>
      <c r="O422" s="5">
        <v>25000</v>
      </c>
      <c r="P422" s="5">
        <v>0</v>
      </c>
      <c r="Q422" s="5"/>
      <c r="R422" s="5">
        <v>0</v>
      </c>
      <c r="S422" s="5"/>
      <c r="T422" s="5">
        <v>0</v>
      </c>
      <c r="U422" s="6">
        <v>0</v>
      </c>
      <c r="V422" s="6">
        <v>2000</v>
      </c>
      <c r="W422" s="6">
        <v>2000</v>
      </c>
      <c r="X422" s="6" t="s">
        <v>634</v>
      </c>
      <c r="Y422" s="6" t="s">
        <v>635</v>
      </c>
      <c r="AA422" s="6" t="s">
        <v>636</v>
      </c>
      <c r="AB422" s="6" t="s">
        <v>636</v>
      </c>
      <c r="AD422" s="6" t="s">
        <v>45</v>
      </c>
      <c r="AE422" s="6" t="s">
        <v>46</v>
      </c>
      <c r="AF422" s="7">
        <f t="shared" si="28"/>
        <v>27000</v>
      </c>
      <c r="AG422" s="6">
        <f t="shared" si="25"/>
        <v>2000</v>
      </c>
      <c r="AH422" s="7">
        <f t="shared" si="26"/>
        <v>29000</v>
      </c>
      <c r="AJ422" s="6" t="s">
        <v>54</v>
      </c>
    </row>
    <row r="423" spans="1:36" x14ac:dyDescent="0.3">
      <c r="A423" t="s">
        <v>637</v>
      </c>
      <c r="B423" t="s">
        <v>638</v>
      </c>
      <c r="C423" t="s">
        <v>37</v>
      </c>
      <c r="D423" t="s">
        <v>117</v>
      </c>
      <c r="E423">
        <v>5001</v>
      </c>
      <c r="F423" t="s">
        <v>639</v>
      </c>
      <c r="G423" t="s">
        <v>640</v>
      </c>
      <c r="H423" t="s">
        <v>40</v>
      </c>
      <c r="I423" s="4">
        <v>45705</v>
      </c>
      <c r="J423" t="s">
        <v>44</v>
      </c>
      <c r="K423" t="s">
        <v>41</v>
      </c>
      <c r="L423" t="s">
        <v>42</v>
      </c>
      <c r="M423" t="s">
        <v>633</v>
      </c>
      <c r="N423" s="5">
        <f t="shared" si="29"/>
        <v>12650</v>
      </c>
      <c r="O423" s="5">
        <v>12650</v>
      </c>
      <c r="P423" s="5">
        <v>0</v>
      </c>
      <c r="Q423" s="5">
        <v>0</v>
      </c>
      <c r="R423" s="5">
        <v>0</v>
      </c>
      <c r="S423" s="5"/>
      <c r="T423" s="5">
        <v>0</v>
      </c>
      <c r="U423">
        <v>0</v>
      </c>
      <c r="V423">
        <v>0</v>
      </c>
      <c r="X423">
        <v>0</v>
      </c>
      <c r="Y423" t="s">
        <v>44</v>
      </c>
      <c r="AD423" t="s">
        <v>45</v>
      </c>
      <c r="AE423" t="s">
        <v>46</v>
      </c>
      <c r="AF423" s="5">
        <f t="shared" si="28"/>
        <v>12650</v>
      </c>
      <c r="AG423">
        <f t="shared" si="25"/>
        <v>0</v>
      </c>
      <c r="AH423" s="5">
        <f t="shared" si="26"/>
        <v>12650</v>
      </c>
      <c r="AJ423" t="s">
        <v>54</v>
      </c>
    </row>
    <row r="424" spans="1:36" x14ac:dyDescent="0.3">
      <c r="A424" t="s">
        <v>637</v>
      </c>
      <c r="B424" t="s">
        <v>55</v>
      </c>
      <c r="C424" t="s">
        <v>37</v>
      </c>
      <c r="D424" t="s">
        <v>117</v>
      </c>
      <c r="E424">
        <v>5002</v>
      </c>
      <c r="F424" t="s">
        <v>641</v>
      </c>
      <c r="G424" t="s">
        <v>642</v>
      </c>
      <c r="H424" t="s">
        <v>40</v>
      </c>
      <c r="I424" s="4">
        <v>45817</v>
      </c>
      <c r="J424" t="s">
        <v>44</v>
      </c>
      <c r="K424" t="s">
        <v>41</v>
      </c>
      <c r="L424" t="s">
        <v>42</v>
      </c>
      <c r="M424" t="s">
        <v>633</v>
      </c>
      <c r="N424" s="5">
        <f t="shared" si="29"/>
        <v>7000</v>
      </c>
      <c r="O424" s="5">
        <v>7000</v>
      </c>
      <c r="P424" s="5">
        <v>0</v>
      </c>
      <c r="Q424" s="5">
        <v>0</v>
      </c>
      <c r="R424" s="5">
        <v>0</v>
      </c>
      <c r="S424" s="5"/>
      <c r="T424" s="5">
        <v>0</v>
      </c>
      <c r="U424">
        <v>0</v>
      </c>
      <c r="V424">
        <v>0</v>
      </c>
      <c r="X424">
        <v>0</v>
      </c>
      <c r="Y424" t="s">
        <v>44</v>
      </c>
      <c r="AA424" t="s">
        <v>643</v>
      </c>
      <c r="AD424" t="s">
        <v>45</v>
      </c>
      <c r="AE424" t="s">
        <v>46</v>
      </c>
      <c r="AF424" s="5">
        <f t="shared" si="28"/>
        <v>7000</v>
      </c>
      <c r="AG424">
        <f t="shared" si="25"/>
        <v>0</v>
      </c>
      <c r="AH424" s="5">
        <f t="shared" si="26"/>
        <v>7000</v>
      </c>
      <c r="AJ424" t="s">
        <v>54</v>
      </c>
    </row>
    <row r="425" spans="1:36" x14ac:dyDescent="0.3">
      <c r="A425" t="s">
        <v>55</v>
      </c>
      <c r="B425" t="s">
        <v>55</v>
      </c>
      <c r="C425" t="s">
        <v>37</v>
      </c>
      <c r="D425" t="s">
        <v>117</v>
      </c>
      <c r="E425">
        <v>5003</v>
      </c>
      <c r="F425" t="s">
        <v>644</v>
      </c>
      <c r="G425" t="s">
        <v>645</v>
      </c>
      <c r="H425" t="s">
        <v>40</v>
      </c>
      <c r="I425" s="4">
        <v>45691</v>
      </c>
      <c r="J425" s="4">
        <v>46097</v>
      </c>
      <c r="K425" t="s">
        <v>41</v>
      </c>
      <c r="L425" t="s">
        <v>42</v>
      </c>
      <c r="M425" t="s">
        <v>633</v>
      </c>
      <c r="N425" s="5">
        <f t="shared" si="29"/>
        <v>20000</v>
      </c>
      <c r="O425" s="5">
        <v>20000</v>
      </c>
      <c r="P425" s="5">
        <v>0</v>
      </c>
      <c r="Q425" s="5">
        <v>0</v>
      </c>
      <c r="R425" s="5">
        <v>0</v>
      </c>
      <c r="S425" s="5"/>
      <c r="T425" s="5">
        <v>0</v>
      </c>
      <c r="U425">
        <v>0</v>
      </c>
      <c r="V425">
        <v>0</v>
      </c>
      <c r="X425" t="s">
        <v>44</v>
      </c>
      <c r="Y425" t="s">
        <v>44</v>
      </c>
      <c r="AA425" t="s">
        <v>646</v>
      </c>
      <c r="AC425" t="s">
        <v>647</v>
      </c>
      <c r="AD425" t="s">
        <v>45</v>
      </c>
      <c r="AE425" t="s">
        <v>46</v>
      </c>
      <c r="AF425" s="5">
        <f t="shared" si="28"/>
        <v>20000</v>
      </c>
      <c r="AG425">
        <f t="shared" si="25"/>
        <v>0</v>
      </c>
      <c r="AH425" s="5">
        <f t="shared" si="26"/>
        <v>20000</v>
      </c>
      <c r="AJ425" t="s">
        <v>54</v>
      </c>
    </row>
    <row r="426" spans="1:36" x14ac:dyDescent="0.3">
      <c r="A426" t="s">
        <v>637</v>
      </c>
      <c r="B426" t="s">
        <v>648</v>
      </c>
      <c r="C426" t="s">
        <v>37</v>
      </c>
      <c r="D426" t="s">
        <v>117</v>
      </c>
      <c r="E426">
        <v>5004</v>
      </c>
      <c r="F426" t="s">
        <v>649</v>
      </c>
      <c r="G426" t="s">
        <v>650</v>
      </c>
      <c r="H426" t="s">
        <v>60</v>
      </c>
      <c r="I426" t="s">
        <v>44</v>
      </c>
      <c r="J426" t="s">
        <v>44</v>
      </c>
      <c r="K426" t="s">
        <v>41</v>
      </c>
      <c r="L426" t="s">
        <v>42</v>
      </c>
      <c r="M426" t="s">
        <v>633</v>
      </c>
      <c r="N426" s="5">
        <f t="shared" si="29"/>
        <v>24130</v>
      </c>
      <c r="O426" s="5">
        <v>20000</v>
      </c>
      <c r="P426" s="5">
        <v>0</v>
      </c>
      <c r="Q426" s="5">
        <v>4130</v>
      </c>
      <c r="R426" s="5">
        <v>0</v>
      </c>
      <c r="S426" s="5"/>
      <c r="T426" s="5">
        <v>0</v>
      </c>
      <c r="U426">
        <v>0</v>
      </c>
      <c r="V426">
        <v>0</v>
      </c>
      <c r="W426">
        <v>0</v>
      </c>
      <c r="X426">
        <v>0</v>
      </c>
      <c r="Y426">
        <v>0</v>
      </c>
      <c r="AA426" t="s">
        <v>636</v>
      </c>
      <c r="AB426" t="s">
        <v>636</v>
      </c>
      <c r="AD426" t="s">
        <v>45</v>
      </c>
      <c r="AE426" t="s">
        <v>46</v>
      </c>
      <c r="AF426" s="5">
        <f t="shared" si="28"/>
        <v>24130</v>
      </c>
      <c r="AG426">
        <f t="shared" si="25"/>
        <v>0</v>
      </c>
      <c r="AH426" s="5">
        <f t="shared" si="26"/>
        <v>24130</v>
      </c>
      <c r="AJ426" t="s">
        <v>47</v>
      </c>
    </row>
    <row r="427" spans="1:36" x14ac:dyDescent="0.3">
      <c r="A427" t="s">
        <v>637</v>
      </c>
      <c r="B427" t="s">
        <v>648</v>
      </c>
      <c r="C427" t="s">
        <v>37</v>
      </c>
      <c r="D427" t="s">
        <v>117</v>
      </c>
      <c r="E427">
        <v>5005</v>
      </c>
      <c r="F427" s="6" t="s">
        <v>651</v>
      </c>
      <c r="G427" s="6" t="s">
        <v>652</v>
      </c>
      <c r="H427" t="s">
        <v>60</v>
      </c>
      <c r="I427" s="4">
        <v>45722</v>
      </c>
      <c r="J427" t="s">
        <v>44</v>
      </c>
      <c r="K427" t="s">
        <v>61</v>
      </c>
      <c r="L427" t="s">
        <v>42</v>
      </c>
      <c r="M427" t="s">
        <v>633</v>
      </c>
      <c r="N427" s="5">
        <f t="shared" si="29"/>
        <v>15000</v>
      </c>
      <c r="O427" s="5">
        <v>15000</v>
      </c>
      <c r="P427" s="5">
        <v>0</v>
      </c>
      <c r="Q427" s="5"/>
      <c r="R427" s="5">
        <v>0</v>
      </c>
      <c r="S427" s="5"/>
      <c r="T427" s="5">
        <v>0</v>
      </c>
      <c r="U427">
        <v>0</v>
      </c>
      <c r="V427">
        <v>0</v>
      </c>
      <c r="W427">
        <v>300</v>
      </c>
      <c r="X427" t="s">
        <v>44</v>
      </c>
      <c r="Y427" t="s">
        <v>44</v>
      </c>
      <c r="AA427" t="s">
        <v>653</v>
      </c>
      <c r="AB427" t="s">
        <v>636</v>
      </c>
      <c r="AD427" t="s">
        <v>45</v>
      </c>
      <c r="AE427" t="s">
        <v>46</v>
      </c>
      <c r="AF427" s="5">
        <f t="shared" si="28"/>
        <v>15300</v>
      </c>
      <c r="AG427">
        <f t="shared" si="25"/>
        <v>0</v>
      </c>
      <c r="AH427" s="5">
        <f t="shared" si="26"/>
        <v>15300</v>
      </c>
      <c r="AJ427" t="s">
        <v>54</v>
      </c>
    </row>
    <row r="428" spans="1:36" x14ac:dyDescent="0.3">
      <c r="E428">
        <v>5006</v>
      </c>
      <c r="F428" t="s">
        <v>654</v>
      </c>
      <c r="G428" t="s">
        <v>655</v>
      </c>
      <c r="H428" t="s">
        <v>40</v>
      </c>
      <c r="I428" s="4">
        <v>45762</v>
      </c>
      <c r="J428" t="s">
        <v>44</v>
      </c>
      <c r="K428" t="s">
        <v>41</v>
      </c>
      <c r="L428" t="s">
        <v>42</v>
      </c>
      <c r="M428" t="s">
        <v>633</v>
      </c>
      <c r="N428" s="5">
        <f t="shared" si="29"/>
        <v>12000</v>
      </c>
      <c r="O428" s="5">
        <v>12000</v>
      </c>
      <c r="P428" s="5">
        <v>0</v>
      </c>
      <c r="Q428" s="5">
        <v>0</v>
      </c>
      <c r="R428" s="5">
        <v>0</v>
      </c>
      <c r="S428" s="5"/>
      <c r="T428" s="5">
        <v>0</v>
      </c>
      <c r="U428">
        <v>0</v>
      </c>
      <c r="V428">
        <v>0</v>
      </c>
      <c r="X428">
        <v>0</v>
      </c>
      <c r="Y428" t="s">
        <v>44</v>
      </c>
      <c r="AD428" t="s">
        <v>45</v>
      </c>
      <c r="AE428" t="s">
        <v>46</v>
      </c>
      <c r="AF428" s="5">
        <f t="shared" si="28"/>
        <v>12000</v>
      </c>
      <c r="AG428">
        <f t="shared" si="25"/>
        <v>0</v>
      </c>
      <c r="AH428" s="5">
        <f t="shared" si="26"/>
        <v>12000</v>
      </c>
      <c r="AJ428" t="s">
        <v>47</v>
      </c>
    </row>
    <row r="429" spans="1:36" s="6" customFormat="1" x14ac:dyDescent="0.3">
      <c r="A429" s="6" t="s">
        <v>637</v>
      </c>
      <c r="B429" s="6" t="s">
        <v>55</v>
      </c>
      <c r="C429" s="6" t="s">
        <v>37</v>
      </c>
      <c r="D429" s="6" t="s">
        <v>117</v>
      </c>
      <c r="E429" s="6">
        <v>5007</v>
      </c>
      <c r="F429" s="6" t="s">
        <v>656</v>
      </c>
      <c r="G429" s="6" t="s">
        <v>645</v>
      </c>
      <c r="H429" t="s">
        <v>60</v>
      </c>
      <c r="I429" s="4">
        <v>45733</v>
      </c>
      <c r="J429" t="s">
        <v>44</v>
      </c>
      <c r="K429" s="6" t="s">
        <v>61</v>
      </c>
      <c r="L429" t="s">
        <v>42</v>
      </c>
      <c r="M429" s="6" t="s">
        <v>633</v>
      </c>
      <c r="N429" s="5">
        <f t="shared" si="29"/>
        <v>19000</v>
      </c>
      <c r="O429" s="5">
        <v>19000</v>
      </c>
      <c r="P429" s="5">
        <v>0</v>
      </c>
      <c r="Q429" s="5"/>
      <c r="R429" s="5">
        <v>0</v>
      </c>
      <c r="S429" s="5"/>
      <c r="T429" s="5">
        <v>0</v>
      </c>
      <c r="U429" s="6">
        <v>0</v>
      </c>
      <c r="V429" s="6">
        <v>2750</v>
      </c>
      <c r="W429" s="6">
        <v>1200</v>
      </c>
      <c r="X429" s="6" t="s">
        <v>657</v>
      </c>
      <c r="Y429" s="6" t="s">
        <v>658</v>
      </c>
      <c r="AA429" s="6" t="s">
        <v>659</v>
      </c>
      <c r="AB429" s="6" t="s">
        <v>636</v>
      </c>
      <c r="AC429" s="6" t="s">
        <v>660</v>
      </c>
      <c r="AD429" s="6" t="s">
        <v>45</v>
      </c>
      <c r="AE429" s="6" t="s">
        <v>46</v>
      </c>
      <c r="AF429" s="7">
        <f t="shared" si="28"/>
        <v>20200</v>
      </c>
      <c r="AG429" s="6">
        <f t="shared" si="25"/>
        <v>2750</v>
      </c>
      <c r="AH429" s="7">
        <f t="shared" si="26"/>
        <v>22950</v>
      </c>
      <c r="AJ429" s="6" t="s">
        <v>54</v>
      </c>
    </row>
    <row r="430" spans="1:36" x14ac:dyDescent="0.3">
      <c r="A430" t="s">
        <v>89</v>
      </c>
      <c r="B430" t="s">
        <v>90</v>
      </c>
      <c r="C430" t="s">
        <v>37</v>
      </c>
      <c r="D430" t="s">
        <v>117</v>
      </c>
      <c r="E430">
        <v>5008</v>
      </c>
      <c r="F430" t="s">
        <v>661</v>
      </c>
      <c r="G430" t="s">
        <v>662</v>
      </c>
      <c r="H430" t="s">
        <v>40</v>
      </c>
      <c r="I430" s="4">
        <v>45783</v>
      </c>
      <c r="J430" s="4">
        <v>46093</v>
      </c>
      <c r="K430" t="s">
        <v>41</v>
      </c>
      <c r="L430" t="s">
        <v>42</v>
      </c>
      <c r="M430" t="s">
        <v>633</v>
      </c>
      <c r="N430" s="5">
        <f t="shared" si="29"/>
        <v>15000</v>
      </c>
      <c r="O430" s="5">
        <v>15000</v>
      </c>
      <c r="P430" s="5">
        <v>0</v>
      </c>
      <c r="Q430" s="5">
        <v>0</v>
      </c>
      <c r="R430" s="5">
        <v>0</v>
      </c>
      <c r="S430" s="5"/>
      <c r="T430" s="5">
        <v>0</v>
      </c>
      <c r="U430">
        <v>0</v>
      </c>
      <c r="V430">
        <v>0</v>
      </c>
      <c r="X430" t="s">
        <v>44</v>
      </c>
      <c r="Y430" t="s">
        <v>44</v>
      </c>
      <c r="AA430" t="s">
        <v>636</v>
      </c>
      <c r="AD430" t="s">
        <v>45</v>
      </c>
      <c r="AE430" t="s">
        <v>46</v>
      </c>
      <c r="AF430" s="5">
        <f t="shared" si="28"/>
        <v>15000</v>
      </c>
      <c r="AG430">
        <f t="shared" si="25"/>
        <v>0</v>
      </c>
      <c r="AH430" s="5">
        <f t="shared" si="26"/>
        <v>15000</v>
      </c>
      <c r="AJ430" t="s">
        <v>54</v>
      </c>
    </row>
    <row r="431" spans="1:36" s="6" customFormat="1" x14ac:dyDescent="0.3">
      <c r="A431" s="6" t="s">
        <v>89</v>
      </c>
      <c r="B431" s="6" t="s">
        <v>161</v>
      </c>
      <c r="C431" s="6" t="s">
        <v>37</v>
      </c>
      <c r="D431" s="6" t="s">
        <v>117</v>
      </c>
      <c r="E431" s="6">
        <v>5010</v>
      </c>
      <c r="F431" s="6" t="s">
        <v>118</v>
      </c>
      <c r="G431" s="6" t="s">
        <v>663</v>
      </c>
      <c r="H431" t="s">
        <v>60</v>
      </c>
      <c r="I431" s="4">
        <v>45855</v>
      </c>
      <c r="J431" t="s">
        <v>44</v>
      </c>
      <c r="K431" s="6" t="s">
        <v>61</v>
      </c>
      <c r="L431" t="s">
        <v>42</v>
      </c>
      <c r="M431" s="6" t="s">
        <v>633</v>
      </c>
      <c r="N431" s="5">
        <f t="shared" si="29"/>
        <v>15000</v>
      </c>
      <c r="O431" s="5">
        <v>15000</v>
      </c>
      <c r="P431" s="5">
        <v>0</v>
      </c>
      <c r="Q431" s="5"/>
      <c r="R431" s="5">
        <v>0</v>
      </c>
      <c r="S431" s="5"/>
      <c r="T431" s="5">
        <v>0</v>
      </c>
      <c r="U431" s="6">
        <v>0</v>
      </c>
      <c r="V431" s="6">
        <v>2000</v>
      </c>
      <c r="W431" s="6">
        <v>900</v>
      </c>
      <c r="X431" s="6" t="s">
        <v>664</v>
      </c>
      <c r="Y431" s="6" t="s">
        <v>665</v>
      </c>
      <c r="AA431" s="6" t="s">
        <v>666</v>
      </c>
      <c r="AB431" s="6" t="s">
        <v>636</v>
      </c>
      <c r="AC431" s="6" t="s">
        <v>667</v>
      </c>
      <c r="AD431" s="6" t="s">
        <v>45</v>
      </c>
      <c r="AE431" s="6" t="s">
        <v>46</v>
      </c>
      <c r="AF431" s="7">
        <f t="shared" si="28"/>
        <v>15900</v>
      </c>
      <c r="AG431" s="6">
        <f t="shared" si="25"/>
        <v>2000</v>
      </c>
      <c r="AH431" s="7">
        <f t="shared" si="26"/>
        <v>17900</v>
      </c>
      <c r="AJ431" s="6" t="s">
        <v>47</v>
      </c>
    </row>
    <row r="432" spans="1:36" s="6" customFormat="1" x14ac:dyDescent="0.3">
      <c r="A432" s="6" t="s">
        <v>637</v>
      </c>
      <c r="B432" s="6" t="s">
        <v>55</v>
      </c>
      <c r="C432" s="6" t="s">
        <v>37</v>
      </c>
      <c r="D432" s="6" t="s">
        <v>117</v>
      </c>
      <c r="E432" s="6">
        <v>5011</v>
      </c>
      <c r="F432" s="6" t="s">
        <v>668</v>
      </c>
      <c r="G432" s="6" t="s">
        <v>640</v>
      </c>
      <c r="H432" t="s">
        <v>60</v>
      </c>
      <c r="I432" s="4">
        <v>45789</v>
      </c>
      <c r="J432" t="s">
        <v>44</v>
      </c>
      <c r="K432" s="6" t="s">
        <v>61</v>
      </c>
      <c r="L432" t="s">
        <v>42</v>
      </c>
      <c r="M432" s="6" t="s">
        <v>633</v>
      </c>
      <c r="N432" s="5">
        <f t="shared" si="29"/>
        <v>15000</v>
      </c>
      <c r="O432" s="5">
        <v>15000</v>
      </c>
      <c r="P432" s="5">
        <v>0</v>
      </c>
      <c r="Q432" s="5"/>
      <c r="R432" s="5">
        <v>0</v>
      </c>
      <c r="S432" s="5"/>
      <c r="T432" s="5">
        <v>0</v>
      </c>
      <c r="U432" s="6">
        <v>0</v>
      </c>
      <c r="V432" s="6">
        <v>2400</v>
      </c>
      <c r="W432" s="6">
        <v>2000</v>
      </c>
      <c r="X432" s="6" t="s">
        <v>669</v>
      </c>
      <c r="Y432" s="6" t="s">
        <v>670</v>
      </c>
      <c r="AA432" s="6" t="s">
        <v>671</v>
      </c>
      <c r="AD432" s="6" t="s">
        <v>45</v>
      </c>
      <c r="AE432" s="6" t="s">
        <v>46</v>
      </c>
      <c r="AF432" s="7">
        <f t="shared" si="28"/>
        <v>17000</v>
      </c>
      <c r="AG432" s="6">
        <f t="shared" si="25"/>
        <v>2400</v>
      </c>
      <c r="AH432" s="7">
        <f t="shared" si="26"/>
        <v>19400</v>
      </c>
      <c r="AJ432" s="6" t="s">
        <v>54</v>
      </c>
    </row>
    <row r="433" spans="1:36" x14ac:dyDescent="0.3">
      <c r="E433">
        <v>5012</v>
      </c>
      <c r="F433" t="s">
        <v>672</v>
      </c>
      <c r="G433" t="s">
        <v>673</v>
      </c>
      <c r="H433" t="s">
        <v>40</v>
      </c>
      <c r="I433" s="4">
        <v>45691</v>
      </c>
      <c r="J433" t="s">
        <v>44</v>
      </c>
      <c r="K433" t="s">
        <v>41</v>
      </c>
      <c r="L433" t="s">
        <v>42</v>
      </c>
      <c r="M433" t="s">
        <v>633</v>
      </c>
      <c r="N433" s="5">
        <f t="shared" si="29"/>
        <v>15800</v>
      </c>
      <c r="O433" s="5">
        <v>15800</v>
      </c>
      <c r="P433" s="5">
        <v>0</v>
      </c>
      <c r="Q433" s="5">
        <v>0</v>
      </c>
      <c r="R433" s="5">
        <v>0</v>
      </c>
      <c r="S433" s="5"/>
      <c r="T433" s="5">
        <v>0</v>
      </c>
      <c r="U433">
        <v>0</v>
      </c>
      <c r="V433">
        <v>0</v>
      </c>
      <c r="X433" t="s">
        <v>44</v>
      </c>
      <c r="Y433" t="s">
        <v>44</v>
      </c>
      <c r="AA433" t="s">
        <v>674</v>
      </c>
      <c r="AB433" t="s">
        <v>636</v>
      </c>
      <c r="AC433" t="s">
        <v>675</v>
      </c>
      <c r="AD433" t="s">
        <v>45</v>
      </c>
      <c r="AE433" t="s">
        <v>46</v>
      </c>
      <c r="AF433" s="5">
        <f t="shared" si="28"/>
        <v>15800</v>
      </c>
      <c r="AG433">
        <f t="shared" si="25"/>
        <v>0</v>
      </c>
      <c r="AH433" s="5">
        <f t="shared" si="26"/>
        <v>15800</v>
      </c>
      <c r="AJ433" t="s">
        <v>54</v>
      </c>
    </row>
    <row r="434" spans="1:36" s="6" customFormat="1" x14ac:dyDescent="0.3">
      <c r="A434" s="6" t="s">
        <v>637</v>
      </c>
      <c r="B434" s="6" t="s">
        <v>648</v>
      </c>
      <c r="C434" s="6" t="s">
        <v>37</v>
      </c>
      <c r="D434" s="6" t="s">
        <v>117</v>
      </c>
      <c r="E434" s="6">
        <v>5013</v>
      </c>
      <c r="F434" s="6" t="s">
        <v>676</v>
      </c>
      <c r="G434" s="6" t="s">
        <v>677</v>
      </c>
      <c r="H434" t="s">
        <v>60</v>
      </c>
      <c r="I434" s="4">
        <v>45763</v>
      </c>
      <c r="J434" t="s">
        <v>44</v>
      </c>
      <c r="K434" s="6" t="s">
        <v>61</v>
      </c>
      <c r="L434" t="s">
        <v>42</v>
      </c>
      <c r="M434" s="6" t="s">
        <v>633</v>
      </c>
      <c r="N434" s="5">
        <f t="shared" si="29"/>
        <v>7000</v>
      </c>
      <c r="O434" s="5">
        <v>7000</v>
      </c>
      <c r="P434" s="5">
        <v>0</v>
      </c>
      <c r="Q434" s="5"/>
      <c r="R434" s="5">
        <v>0</v>
      </c>
      <c r="S434" s="5"/>
      <c r="T434" s="5">
        <v>0</v>
      </c>
      <c r="U434" s="6">
        <v>0</v>
      </c>
      <c r="V434" s="6">
        <v>2000</v>
      </c>
      <c r="W434" s="6">
        <v>900</v>
      </c>
      <c r="X434" s="6" t="s">
        <v>678</v>
      </c>
      <c r="Y434" s="6" t="s">
        <v>679</v>
      </c>
      <c r="AD434" s="6" t="s">
        <v>45</v>
      </c>
      <c r="AE434" s="6" t="s">
        <v>46</v>
      </c>
      <c r="AF434" s="7">
        <f t="shared" si="28"/>
        <v>7900</v>
      </c>
      <c r="AG434" s="6">
        <f t="shared" si="25"/>
        <v>2000</v>
      </c>
      <c r="AH434" s="7">
        <f t="shared" si="26"/>
        <v>9900</v>
      </c>
      <c r="AJ434" s="6" t="s">
        <v>54</v>
      </c>
    </row>
    <row r="435" spans="1:36" x14ac:dyDescent="0.3">
      <c r="E435">
        <v>5014</v>
      </c>
      <c r="F435" t="s">
        <v>680</v>
      </c>
      <c r="G435" t="s">
        <v>681</v>
      </c>
      <c r="H435" t="s">
        <v>40</v>
      </c>
      <c r="I435" s="4">
        <v>45824</v>
      </c>
      <c r="J435" s="4">
        <v>46028</v>
      </c>
      <c r="K435" t="s">
        <v>41</v>
      </c>
      <c r="L435" t="s">
        <v>42</v>
      </c>
      <c r="M435" t="s">
        <v>633</v>
      </c>
      <c r="N435" s="5">
        <f t="shared" si="29"/>
        <v>7000</v>
      </c>
      <c r="O435" s="5">
        <v>7000</v>
      </c>
      <c r="P435" s="5">
        <v>0</v>
      </c>
      <c r="Q435" s="5">
        <v>0</v>
      </c>
      <c r="R435" s="5">
        <v>0</v>
      </c>
      <c r="S435" s="5"/>
      <c r="T435" s="5">
        <v>0</v>
      </c>
      <c r="U435">
        <v>0</v>
      </c>
      <c r="V435">
        <v>0</v>
      </c>
      <c r="X435">
        <v>0</v>
      </c>
      <c r="Y435">
        <v>0</v>
      </c>
      <c r="AD435" t="s">
        <v>45</v>
      </c>
      <c r="AE435" t="s">
        <v>46</v>
      </c>
      <c r="AF435" s="5">
        <f t="shared" si="28"/>
        <v>7000</v>
      </c>
      <c r="AG435">
        <f t="shared" si="25"/>
        <v>0</v>
      </c>
      <c r="AH435" s="5">
        <f t="shared" si="26"/>
        <v>7000</v>
      </c>
      <c r="AJ435" t="s">
        <v>54</v>
      </c>
    </row>
    <row r="436" spans="1:36" x14ac:dyDescent="0.3">
      <c r="A436" t="s">
        <v>637</v>
      </c>
      <c r="B436" t="s">
        <v>55</v>
      </c>
      <c r="C436" t="s">
        <v>37</v>
      </c>
      <c r="D436" t="s">
        <v>117</v>
      </c>
      <c r="E436">
        <v>5015</v>
      </c>
      <c r="F436" s="6" t="s">
        <v>682</v>
      </c>
      <c r="G436" s="6" t="s">
        <v>683</v>
      </c>
      <c r="H436" t="s">
        <v>60</v>
      </c>
      <c r="I436" s="4">
        <v>45824</v>
      </c>
      <c r="J436" t="s">
        <v>44</v>
      </c>
      <c r="K436" t="s">
        <v>61</v>
      </c>
      <c r="L436" t="s">
        <v>42</v>
      </c>
      <c r="M436" t="s">
        <v>633</v>
      </c>
      <c r="N436" s="5">
        <f t="shared" si="29"/>
        <v>7000</v>
      </c>
      <c r="O436" s="5">
        <v>7000</v>
      </c>
      <c r="P436" s="5">
        <v>0</v>
      </c>
      <c r="Q436" s="5"/>
      <c r="R436" s="5">
        <v>0</v>
      </c>
      <c r="S436" s="5"/>
      <c r="T436" s="5">
        <v>0</v>
      </c>
      <c r="U436">
        <v>0</v>
      </c>
      <c r="V436">
        <v>0</v>
      </c>
      <c r="W436">
        <v>1000</v>
      </c>
      <c r="X436">
        <v>0</v>
      </c>
      <c r="Y436">
        <v>0</v>
      </c>
      <c r="AA436" t="s">
        <v>684</v>
      </c>
      <c r="AD436" t="s">
        <v>45</v>
      </c>
      <c r="AE436" t="s">
        <v>46</v>
      </c>
      <c r="AF436" s="5">
        <f t="shared" si="28"/>
        <v>8000</v>
      </c>
      <c r="AG436">
        <f t="shared" si="25"/>
        <v>0</v>
      </c>
      <c r="AH436" s="5">
        <f t="shared" si="26"/>
        <v>8000</v>
      </c>
      <c r="AJ436" t="s">
        <v>54</v>
      </c>
    </row>
    <row r="437" spans="1:36" s="6" customFormat="1" x14ac:dyDescent="0.3">
      <c r="A437" s="6" t="s">
        <v>685</v>
      </c>
      <c r="B437" s="6" t="s">
        <v>685</v>
      </c>
      <c r="C437" s="6" t="s">
        <v>37</v>
      </c>
      <c r="D437" s="6" t="s">
        <v>117</v>
      </c>
      <c r="E437" s="6">
        <v>5016</v>
      </c>
      <c r="F437" s="6" t="s">
        <v>686</v>
      </c>
      <c r="G437" s="6" t="s">
        <v>681</v>
      </c>
      <c r="H437" t="s">
        <v>60</v>
      </c>
      <c r="I437" s="4">
        <v>45824</v>
      </c>
      <c r="J437" t="s">
        <v>44</v>
      </c>
      <c r="K437" s="6" t="s">
        <v>61</v>
      </c>
      <c r="L437" t="s">
        <v>42</v>
      </c>
      <c r="M437" s="6" t="s">
        <v>633</v>
      </c>
      <c r="N437" s="5">
        <v>12650</v>
      </c>
      <c r="O437" s="5">
        <v>12650</v>
      </c>
      <c r="P437" s="5">
        <v>0</v>
      </c>
      <c r="Q437" s="5"/>
      <c r="R437" s="5">
        <v>0</v>
      </c>
      <c r="S437" s="5"/>
      <c r="T437" s="5">
        <v>0</v>
      </c>
      <c r="U437" s="6">
        <v>0</v>
      </c>
      <c r="V437" s="6">
        <v>2400</v>
      </c>
      <c r="W437" s="6">
        <v>1000</v>
      </c>
      <c r="X437" s="6" t="s">
        <v>687</v>
      </c>
      <c r="Y437" s="6" t="s">
        <v>688</v>
      </c>
      <c r="AA437" s="6" t="s">
        <v>636</v>
      </c>
      <c r="AD437" s="6" t="s">
        <v>45</v>
      </c>
      <c r="AE437" s="6" t="s">
        <v>46</v>
      </c>
      <c r="AF437" s="7">
        <f t="shared" si="28"/>
        <v>13650</v>
      </c>
      <c r="AG437" s="6">
        <f t="shared" si="25"/>
        <v>2400</v>
      </c>
      <c r="AH437" s="7">
        <f t="shared" si="26"/>
        <v>16050</v>
      </c>
      <c r="AJ437" s="6" t="s">
        <v>54</v>
      </c>
    </row>
    <row r="438" spans="1:36" s="6" customFormat="1" x14ac:dyDescent="0.3">
      <c r="A438" s="6" t="s">
        <v>637</v>
      </c>
      <c r="B438" s="6" t="s">
        <v>689</v>
      </c>
      <c r="C438" s="6" t="s">
        <v>37</v>
      </c>
      <c r="D438" s="6" t="s">
        <v>117</v>
      </c>
      <c r="E438" s="6">
        <v>5017</v>
      </c>
      <c r="F438" s="6" t="s">
        <v>690</v>
      </c>
      <c r="G438" s="6" t="s">
        <v>691</v>
      </c>
      <c r="H438" t="s">
        <v>60</v>
      </c>
      <c r="I438" s="4">
        <v>45824</v>
      </c>
      <c r="J438" t="s">
        <v>44</v>
      </c>
      <c r="K438" s="6" t="s">
        <v>61</v>
      </c>
      <c r="L438" t="s">
        <v>42</v>
      </c>
      <c r="M438" s="6" t="s">
        <v>633</v>
      </c>
      <c r="N438" s="5">
        <f t="shared" si="29"/>
        <v>9000</v>
      </c>
      <c r="O438" s="5">
        <v>9000</v>
      </c>
      <c r="P438" s="5">
        <v>0</v>
      </c>
      <c r="Q438" s="5"/>
      <c r="R438" s="5">
        <v>0</v>
      </c>
      <c r="S438" s="5"/>
      <c r="T438" s="5">
        <v>0</v>
      </c>
      <c r="U438" s="6">
        <v>0</v>
      </c>
      <c r="V438" s="6">
        <v>2400</v>
      </c>
      <c r="W438" s="7">
        <v>2000</v>
      </c>
      <c r="X438" s="6" t="s">
        <v>669</v>
      </c>
      <c r="Y438" s="6" t="s">
        <v>692</v>
      </c>
      <c r="AA438" s="6" t="s">
        <v>693</v>
      </c>
      <c r="AD438" s="6" t="s">
        <v>45</v>
      </c>
      <c r="AE438" s="6" t="s">
        <v>46</v>
      </c>
      <c r="AF438" s="7">
        <f t="shared" si="28"/>
        <v>11000</v>
      </c>
      <c r="AG438" s="6">
        <f t="shared" si="25"/>
        <v>2400</v>
      </c>
      <c r="AH438" s="7">
        <f t="shared" si="26"/>
        <v>13400</v>
      </c>
      <c r="AJ438" s="6" t="s">
        <v>54</v>
      </c>
    </row>
    <row r="439" spans="1:36" x14ac:dyDescent="0.3">
      <c r="E439">
        <v>5018</v>
      </c>
      <c r="F439" t="s">
        <v>694</v>
      </c>
      <c r="G439" t="s">
        <v>681</v>
      </c>
      <c r="H439" t="s">
        <v>40</v>
      </c>
      <c r="I439" s="4">
        <v>45839</v>
      </c>
      <c r="J439" s="4">
        <v>46028</v>
      </c>
      <c r="K439" t="s">
        <v>41</v>
      </c>
      <c r="L439" t="s">
        <v>42</v>
      </c>
      <c r="M439" t="s">
        <v>633</v>
      </c>
      <c r="N439" s="5">
        <f t="shared" si="29"/>
        <v>7000</v>
      </c>
      <c r="O439" s="5">
        <v>7000</v>
      </c>
      <c r="P439" s="5">
        <v>0</v>
      </c>
      <c r="Q439" s="5">
        <v>0</v>
      </c>
      <c r="R439" s="5">
        <v>0</v>
      </c>
      <c r="S439" s="5"/>
      <c r="T439" s="5">
        <v>0</v>
      </c>
      <c r="U439">
        <v>0</v>
      </c>
      <c r="V439">
        <v>0</v>
      </c>
      <c r="X439">
        <v>0</v>
      </c>
      <c r="Y439" t="s">
        <v>44</v>
      </c>
      <c r="AA439" t="s">
        <v>636</v>
      </c>
      <c r="AB439" t="s">
        <v>636</v>
      </c>
      <c r="AD439" t="s">
        <v>45</v>
      </c>
      <c r="AE439" t="s">
        <v>46</v>
      </c>
      <c r="AF439" s="5">
        <f t="shared" si="28"/>
        <v>7000</v>
      </c>
      <c r="AG439">
        <f t="shared" si="25"/>
        <v>0</v>
      </c>
      <c r="AH439" s="5">
        <f t="shared" si="26"/>
        <v>7000</v>
      </c>
      <c r="AJ439" t="s">
        <v>47</v>
      </c>
    </row>
    <row r="440" spans="1:36" s="6" customFormat="1" x14ac:dyDescent="0.3">
      <c r="A440" s="6" t="s">
        <v>637</v>
      </c>
      <c r="B440" s="6" t="s">
        <v>55</v>
      </c>
      <c r="C440" s="6" t="s">
        <v>37</v>
      </c>
      <c r="D440" s="6" t="s">
        <v>117</v>
      </c>
      <c r="E440" s="6">
        <v>5019</v>
      </c>
      <c r="F440" s="6" t="s">
        <v>695</v>
      </c>
      <c r="G440" s="6" t="s">
        <v>640</v>
      </c>
      <c r="H440" t="s">
        <v>60</v>
      </c>
      <c r="I440" t="s">
        <v>44</v>
      </c>
      <c r="J440" t="s">
        <v>44</v>
      </c>
      <c r="K440" s="6" t="s">
        <v>61</v>
      </c>
      <c r="L440" t="s">
        <v>42</v>
      </c>
      <c r="M440" s="6" t="s">
        <v>633</v>
      </c>
      <c r="N440" s="5">
        <f t="shared" si="29"/>
        <v>14000</v>
      </c>
      <c r="O440" s="5">
        <v>14000</v>
      </c>
      <c r="P440" s="5">
        <v>0</v>
      </c>
      <c r="Q440" s="5"/>
      <c r="R440" s="5">
        <v>0</v>
      </c>
      <c r="S440" s="5"/>
      <c r="T440" s="5">
        <v>0</v>
      </c>
      <c r="U440" s="6">
        <v>0</v>
      </c>
      <c r="V440" s="6">
        <v>2650</v>
      </c>
      <c r="W440" s="6">
        <v>2000</v>
      </c>
      <c r="X440" s="6" t="s">
        <v>687</v>
      </c>
      <c r="Y440" s="6" t="s">
        <v>696</v>
      </c>
      <c r="AD440" s="6" t="s">
        <v>45</v>
      </c>
      <c r="AE440" s="6" t="s">
        <v>46</v>
      </c>
      <c r="AF440" s="7">
        <f t="shared" si="28"/>
        <v>16000</v>
      </c>
      <c r="AG440" s="6">
        <f t="shared" si="25"/>
        <v>2650</v>
      </c>
      <c r="AH440" s="7">
        <f t="shared" si="26"/>
        <v>18650</v>
      </c>
      <c r="AJ440" s="6" t="s">
        <v>47</v>
      </c>
    </row>
    <row r="441" spans="1:36" x14ac:dyDescent="0.3">
      <c r="A441" t="s">
        <v>277</v>
      </c>
      <c r="B441" t="s">
        <v>277</v>
      </c>
      <c r="C441" t="s">
        <v>37</v>
      </c>
      <c r="D441" t="s">
        <v>117</v>
      </c>
      <c r="E441">
        <v>5020</v>
      </c>
      <c r="F441" t="s">
        <v>697</v>
      </c>
      <c r="G441" t="s">
        <v>698</v>
      </c>
      <c r="H441" t="s">
        <v>40</v>
      </c>
      <c r="I441" s="4">
        <v>45866</v>
      </c>
      <c r="J441" s="4">
        <v>46097</v>
      </c>
      <c r="K441" t="s">
        <v>41</v>
      </c>
      <c r="L441" t="s">
        <v>42</v>
      </c>
      <c r="M441" t="s">
        <v>633</v>
      </c>
      <c r="N441" s="5">
        <f t="shared" si="29"/>
        <v>14000</v>
      </c>
      <c r="O441" s="5">
        <v>14000</v>
      </c>
      <c r="P441" s="5">
        <v>0</v>
      </c>
      <c r="Q441" s="5">
        <v>0</v>
      </c>
      <c r="R441" s="5">
        <v>0</v>
      </c>
      <c r="S441" s="5"/>
      <c r="T441" s="5">
        <v>0</v>
      </c>
      <c r="U441">
        <v>0</v>
      </c>
      <c r="V441">
        <v>0</v>
      </c>
      <c r="X441" t="s">
        <v>44</v>
      </c>
      <c r="Y441" t="s">
        <v>44</v>
      </c>
      <c r="AD441" t="s">
        <v>45</v>
      </c>
      <c r="AE441" t="s">
        <v>46</v>
      </c>
      <c r="AF441" s="5">
        <f t="shared" si="28"/>
        <v>14000</v>
      </c>
      <c r="AG441">
        <f t="shared" si="25"/>
        <v>0</v>
      </c>
      <c r="AH441" s="5">
        <f t="shared" si="26"/>
        <v>14000</v>
      </c>
      <c r="AJ441" t="s">
        <v>54</v>
      </c>
    </row>
    <row r="442" spans="1:36" x14ac:dyDescent="0.3">
      <c r="A442" t="s">
        <v>637</v>
      </c>
      <c r="B442" t="s">
        <v>699</v>
      </c>
      <c r="C442" t="s">
        <v>37</v>
      </c>
      <c r="D442" t="s">
        <v>117</v>
      </c>
      <c r="E442">
        <v>5021</v>
      </c>
      <c r="F442" s="6" t="s">
        <v>700</v>
      </c>
      <c r="G442" s="6" t="s">
        <v>701</v>
      </c>
      <c r="H442" t="s">
        <v>60</v>
      </c>
      <c r="I442" s="4">
        <v>45882</v>
      </c>
      <c r="J442" t="s">
        <v>44</v>
      </c>
      <c r="K442" t="s">
        <v>61</v>
      </c>
      <c r="L442" t="s">
        <v>42</v>
      </c>
      <c r="M442" t="s">
        <v>633</v>
      </c>
      <c r="N442" s="5">
        <f t="shared" si="29"/>
        <v>15000</v>
      </c>
      <c r="O442" s="5">
        <v>15000</v>
      </c>
      <c r="P442" s="5">
        <v>0</v>
      </c>
      <c r="Q442" s="5"/>
      <c r="R442" s="5">
        <v>0</v>
      </c>
      <c r="S442" s="5"/>
      <c r="T442" s="5">
        <v>0</v>
      </c>
      <c r="U442">
        <v>0</v>
      </c>
      <c r="V442">
        <v>0</v>
      </c>
      <c r="W442" s="5">
        <v>0</v>
      </c>
      <c r="X442" t="s">
        <v>687</v>
      </c>
      <c r="Y442" t="s">
        <v>702</v>
      </c>
      <c r="AA442" t="s">
        <v>703</v>
      </c>
      <c r="AB442" t="s">
        <v>636</v>
      </c>
      <c r="AD442" t="s">
        <v>45</v>
      </c>
      <c r="AE442" t="s">
        <v>46</v>
      </c>
      <c r="AF442" s="5">
        <f t="shared" si="28"/>
        <v>15000</v>
      </c>
      <c r="AG442">
        <f t="shared" si="25"/>
        <v>0</v>
      </c>
      <c r="AH442" s="5">
        <f t="shared" si="26"/>
        <v>15000</v>
      </c>
      <c r="AJ442" t="s">
        <v>54</v>
      </c>
    </row>
    <row r="443" spans="1:36" s="6" customFormat="1" x14ac:dyDescent="0.3">
      <c r="A443" s="6" t="s">
        <v>704</v>
      </c>
      <c r="B443" s="6" t="s">
        <v>704</v>
      </c>
      <c r="C443" s="6" t="s">
        <v>37</v>
      </c>
      <c r="D443" s="6" t="s">
        <v>117</v>
      </c>
      <c r="E443" s="6">
        <v>5022</v>
      </c>
      <c r="F443" s="6" t="s">
        <v>705</v>
      </c>
      <c r="G443" s="6" t="s">
        <v>706</v>
      </c>
      <c r="H443" t="s">
        <v>60</v>
      </c>
      <c r="I443" s="4">
        <v>45985</v>
      </c>
      <c r="J443" t="s">
        <v>44</v>
      </c>
      <c r="K443" s="6" t="s">
        <v>61</v>
      </c>
      <c r="L443" t="s">
        <v>42</v>
      </c>
      <c r="M443" s="6" t="s">
        <v>633</v>
      </c>
      <c r="N443" s="5">
        <f t="shared" si="29"/>
        <v>7000</v>
      </c>
      <c r="O443" s="5">
        <v>7000</v>
      </c>
      <c r="P443" s="5">
        <v>0</v>
      </c>
      <c r="Q443" s="5"/>
      <c r="R443" s="5">
        <v>0</v>
      </c>
      <c r="S443" s="5"/>
      <c r="T443" s="5">
        <v>0</v>
      </c>
      <c r="U443" s="6">
        <v>0</v>
      </c>
      <c r="V443" s="6">
        <v>2000</v>
      </c>
      <c r="W443" s="6">
        <v>1000</v>
      </c>
      <c r="X443" s="6" t="s">
        <v>707</v>
      </c>
      <c r="Y443" s="6" t="s">
        <v>708</v>
      </c>
      <c r="AD443" s="6" t="s">
        <v>45</v>
      </c>
      <c r="AE443" s="6" t="s">
        <v>46</v>
      </c>
      <c r="AF443" s="7">
        <f t="shared" si="28"/>
        <v>8000</v>
      </c>
      <c r="AG443" s="6">
        <f t="shared" si="25"/>
        <v>2000</v>
      </c>
      <c r="AH443" s="7">
        <f t="shared" si="26"/>
        <v>10000</v>
      </c>
      <c r="AJ443" s="6" t="s">
        <v>54</v>
      </c>
    </row>
    <row r="444" spans="1:36" s="6" customFormat="1" x14ac:dyDescent="0.3">
      <c r="A444" s="6" t="s">
        <v>637</v>
      </c>
      <c r="B444" s="6" t="s">
        <v>55</v>
      </c>
      <c r="C444" s="6" t="s">
        <v>37</v>
      </c>
      <c r="D444" s="6" t="s">
        <v>117</v>
      </c>
      <c r="E444" s="6">
        <v>5023</v>
      </c>
      <c r="F444" s="6" t="s">
        <v>709</v>
      </c>
      <c r="G444" s="6" t="s">
        <v>640</v>
      </c>
      <c r="H444" t="s">
        <v>68</v>
      </c>
      <c r="I444" s="4">
        <v>46001</v>
      </c>
      <c r="J444" t="s">
        <v>44</v>
      </c>
      <c r="K444" s="6" t="s">
        <v>61</v>
      </c>
      <c r="L444" t="s">
        <v>42</v>
      </c>
      <c r="M444" s="6" t="s">
        <v>633</v>
      </c>
      <c r="N444" s="5">
        <f t="shared" si="29"/>
        <v>15000</v>
      </c>
      <c r="O444" s="5">
        <v>15000</v>
      </c>
      <c r="P444" s="5">
        <v>0</v>
      </c>
      <c r="Q444" s="5"/>
      <c r="R444" s="5">
        <v>0</v>
      </c>
      <c r="S444" s="5"/>
      <c r="T444" s="5">
        <v>0</v>
      </c>
      <c r="U444" s="6">
        <v>0</v>
      </c>
      <c r="V444" s="6">
        <v>2650</v>
      </c>
      <c r="W444" s="6">
        <v>1200</v>
      </c>
      <c r="X444" s="6" t="s">
        <v>687</v>
      </c>
      <c r="Y444" s="6" t="s">
        <v>710</v>
      </c>
      <c r="AD444" s="6" t="s">
        <v>45</v>
      </c>
      <c r="AE444" s="6" t="s">
        <v>46</v>
      </c>
      <c r="AF444" s="7">
        <f t="shared" si="28"/>
        <v>16200</v>
      </c>
      <c r="AG444" s="6">
        <f t="shared" si="25"/>
        <v>2650</v>
      </c>
      <c r="AH444" s="7">
        <f t="shared" si="26"/>
        <v>18850</v>
      </c>
      <c r="AJ444" s="6" t="s">
        <v>54</v>
      </c>
    </row>
    <row r="445" spans="1:36" s="6" customFormat="1" x14ac:dyDescent="0.3">
      <c r="A445" s="6" t="s">
        <v>89</v>
      </c>
      <c r="B445" s="6" t="s">
        <v>161</v>
      </c>
      <c r="C445" s="6" t="s">
        <v>37</v>
      </c>
      <c r="D445" s="6" t="s">
        <v>117</v>
      </c>
      <c r="E445" s="6">
        <v>5024</v>
      </c>
      <c r="F445" s="6" t="s">
        <v>711</v>
      </c>
      <c r="G445" s="6" t="s">
        <v>712</v>
      </c>
      <c r="H445" t="s">
        <v>60</v>
      </c>
      <c r="I445" s="4">
        <v>46055</v>
      </c>
      <c r="J445" t="s">
        <v>44</v>
      </c>
      <c r="K445" s="6" t="s">
        <v>61</v>
      </c>
      <c r="L445" s="6" t="s">
        <v>42</v>
      </c>
      <c r="M445" s="6" t="s">
        <v>633</v>
      </c>
      <c r="N445" s="5">
        <f t="shared" si="29"/>
        <v>7000</v>
      </c>
      <c r="O445" s="5">
        <v>7000</v>
      </c>
      <c r="P445" s="5">
        <v>0</v>
      </c>
      <c r="Q445" s="5"/>
      <c r="R445" s="5">
        <v>0</v>
      </c>
      <c r="S445" s="5"/>
      <c r="T445" s="5">
        <v>0</v>
      </c>
      <c r="U445" s="6">
        <v>0</v>
      </c>
      <c r="V445" s="6">
        <v>2650</v>
      </c>
      <c r="W445" s="6">
        <v>1200</v>
      </c>
      <c r="X445" s="6" t="s">
        <v>713</v>
      </c>
      <c r="Y445" s="6" t="s">
        <v>714</v>
      </c>
      <c r="AD445" s="6" t="s">
        <v>45</v>
      </c>
      <c r="AE445" s="6" t="s">
        <v>46</v>
      </c>
      <c r="AF445" s="7">
        <f t="shared" si="28"/>
        <v>8200</v>
      </c>
      <c r="AG445" s="6">
        <f t="shared" si="25"/>
        <v>2650</v>
      </c>
      <c r="AH445" s="7">
        <f t="shared" si="26"/>
        <v>10850</v>
      </c>
      <c r="AJ445" s="6" t="s">
        <v>47</v>
      </c>
    </row>
    <row r="446" spans="1:36" x14ac:dyDescent="0.3">
      <c r="A446" t="s">
        <v>637</v>
      </c>
      <c r="B446" t="s">
        <v>637</v>
      </c>
      <c r="C446" t="s">
        <v>37</v>
      </c>
      <c r="D446" t="s">
        <v>117</v>
      </c>
      <c r="E446">
        <v>5025</v>
      </c>
      <c r="F446" t="s">
        <v>316</v>
      </c>
      <c r="G446" t="s">
        <v>640</v>
      </c>
      <c r="H446" t="s">
        <v>40</v>
      </c>
      <c r="I446" s="4">
        <v>46071</v>
      </c>
      <c r="J446" s="4">
        <v>46150</v>
      </c>
      <c r="K446" t="s">
        <v>41</v>
      </c>
      <c r="L446" t="s">
        <v>42</v>
      </c>
      <c r="M446" t="s">
        <v>633</v>
      </c>
      <c r="N446" s="5">
        <f t="shared" si="29"/>
        <v>12650</v>
      </c>
      <c r="O446" s="5">
        <v>12650</v>
      </c>
      <c r="P446" s="5">
        <v>0</v>
      </c>
      <c r="Q446" s="5">
        <v>0</v>
      </c>
      <c r="R446" s="5">
        <v>0</v>
      </c>
      <c r="S446" s="5"/>
      <c r="T446" s="5">
        <v>0</v>
      </c>
      <c r="U446">
        <v>0</v>
      </c>
      <c r="V446">
        <v>0</v>
      </c>
      <c r="X446">
        <v>0</v>
      </c>
      <c r="Y446">
        <v>0</v>
      </c>
      <c r="AF446" s="5">
        <f t="shared" si="28"/>
        <v>12650</v>
      </c>
      <c r="AG446">
        <f t="shared" si="25"/>
        <v>0</v>
      </c>
      <c r="AH446" s="5">
        <f t="shared" si="26"/>
        <v>12650</v>
      </c>
      <c r="AJ446" t="s">
        <v>54</v>
      </c>
    </row>
    <row r="447" spans="1:36" s="6" customFormat="1" x14ac:dyDescent="0.3">
      <c r="A447" s="6" t="s">
        <v>637</v>
      </c>
      <c r="B447" s="6" t="s">
        <v>55</v>
      </c>
      <c r="C447" s="6" t="s">
        <v>37</v>
      </c>
      <c r="D447" s="6" t="s">
        <v>117</v>
      </c>
      <c r="E447" s="6">
        <v>5026</v>
      </c>
      <c r="F447" s="6" t="s">
        <v>715</v>
      </c>
      <c r="G447" s="6" t="s">
        <v>640</v>
      </c>
      <c r="H447" t="s">
        <v>68</v>
      </c>
      <c r="I447" s="4">
        <v>46106</v>
      </c>
      <c r="J447" t="s">
        <v>44</v>
      </c>
      <c r="K447" s="6" t="s">
        <v>61</v>
      </c>
      <c r="L447" t="s">
        <v>42</v>
      </c>
      <c r="M447" s="6" t="s">
        <v>633</v>
      </c>
      <c r="N447" s="5">
        <f t="shared" si="29"/>
        <v>12650</v>
      </c>
      <c r="O447" s="5">
        <v>12650</v>
      </c>
      <c r="P447" s="5">
        <v>0</v>
      </c>
      <c r="Q447" s="5"/>
      <c r="R447" s="5">
        <v>0</v>
      </c>
      <c r="S447" s="5"/>
      <c r="T447" s="5">
        <v>0</v>
      </c>
      <c r="U447" s="6">
        <v>0</v>
      </c>
      <c r="V447" s="6">
        <v>2650</v>
      </c>
      <c r="W447" s="6">
        <v>1200</v>
      </c>
      <c r="X447" s="6" t="s">
        <v>687</v>
      </c>
      <c r="Y447" s="6" t="s">
        <v>716</v>
      </c>
      <c r="AF447" s="7">
        <f t="shared" si="28"/>
        <v>13850</v>
      </c>
      <c r="AG447" s="6">
        <f t="shared" si="25"/>
        <v>2650</v>
      </c>
      <c r="AH447" s="7">
        <f t="shared" si="26"/>
        <v>16500</v>
      </c>
      <c r="AJ447" s="6" t="s">
        <v>54</v>
      </c>
    </row>
    <row r="448" spans="1:36" s="6" customFormat="1" x14ac:dyDescent="0.3">
      <c r="A448" s="6" t="s">
        <v>89</v>
      </c>
      <c r="B448" s="6" t="s">
        <v>90</v>
      </c>
      <c r="C448" s="6" t="s">
        <v>37</v>
      </c>
      <c r="D448" s="6" t="s">
        <v>117</v>
      </c>
      <c r="E448" s="6">
        <v>5027</v>
      </c>
      <c r="F448" s="6" t="s">
        <v>717</v>
      </c>
      <c r="G448" s="6" t="s">
        <v>718</v>
      </c>
      <c r="H448" t="s">
        <v>60</v>
      </c>
      <c r="I448" s="4">
        <v>46118</v>
      </c>
      <c r="J448" t="s">
        <v>44</v>
      </c>
      <c r="K448" s="6" t="s">
        <v>61</v>
      </c>
      <c r="L448" t="s">
        <v>42</v>
      </c>
      <c r="M448" s="6" t="s">
        <v>633</v>
      </c>
      <c r="N448" s="5">
        <f t="shared" si="29"/>
        <v>15000</v>
      </c>
      <c r="O448" s="5">
        <v>15000</v>
      </c>
      <c r="P448" s="5">
        <v>0</v>
      </c>
      <c r="Q448" s="5"/>
      <c r="R448" s="5">
        <v>0</v>
      </c>
      <c r="S448" s="5"/>
      <c r="T448" s="5">
        <v>0</v>
      </c>
      <c r="U448" s="6">
        <v>0</v>
      </c>
      <c r="V448" s="6">
        <v>2000</v>
      </c>
      <c r="W448" s="6">
        <v>2000</v>
      </c>
      <c r="X448" s="6" t="s">
        <v>719</v>
      </c>
      <c r="Y448" s="6" t="s">
        <v>720</v>
      </c>
      <c r="AF448" s="7">
        <f t="shared" si="28"/>
        <v>17000</v>
      </c>
      <c r="AG448" s="6">
        <f t="shared" si="25"/>
        <v>2000</v>
      </c>
      <c r="AH448" s="7">
        <f t="shared" si="26"/>
        <v>19000</v>
      </c>
      <c r="AJ448" s="6" t="s">
        <v>47</v>
      </c>
    </row>
    <row r="449" spans="1:36" x14ac:dyDescent="0.3">
      <c r="A449" t="s">
        <v>89</v>
      </c>
      <c r="B449" t="s">
        <v>143</v>
      </c>
      <c r="C449" t="s">
        <v>37</v>
      </c>
      <c r="D449" t="s">
        <v>117</v>
      </c>
      <c r="E449">
        <v>5028</v>
      </c>
      <c r="F449" s="6" t="s">
        <v>330</v>
      </c>
      <c r="G449" s="6" t="s">
        <v>721</v>
      </c>
      <c r="H449" t="s">
        <v>60</v>
      </c>
      <c r="I449" s="4">
        <v>46121</v>
      </c>
      <c r="J449" t="s">
        <v>44</v>
      </c>
      <c r="K449" t="s">
        <v>61</v>
      </c>
      <c r="L449" t="s">
        <v>42</v>
      </c>
      <c r="M449" t="s">
        <v>633</v>
      </c>
      <c r="N449" s="5">
        <f t="shared" si="29"/>
        <v>15000</v>
      </c>
      <c r="O449" s="5">
        <v>15000</v>
      </c>
      <c r="P449" s="5">
        <v>0</v>
      </c>
      <c r="Q449" s="5"/>
      <c r="R449" s="5">
        <v>0</v>
      </c>
      <c r="S449" s="5"/>
      <c r="T449" s="5">
        <v>0</v>
      </c>
      <c r="U449">
        <v>2000</v>
      </c>
      <c r="V449">
        <v>0</v>
      </c>
      <c r="X449" t="s">
        <v>44</v>
      </c>
      <c r="Y449" t="s">
        <v>44</v>
      </c>
      <c r="AF449" s="5">
        <f t="shared" si="28"/>
        <v>17000</v>
      </c>
      <c r="AG449">
        <f t="shared" si="25"/>
        <v>0</v>
      </c>
      <c r="AH449" s="5">
        <f t="shared" si="26"/>
        <v>17000</v>
      </c>
      <c r="AJ449" t="s">
        <v>47</v>
      </c>
    </row>
    <row r="450" spans="1:36" x14ac:dyDescent="0.3">
      <c r="E450">
        <v>5029</v>
      </c>
      <c r="F450" t="s">
        <v>722</v>
      </c>
      <c r="G450" t="s">
        <v>650</v>
      </c>
      <c r="H450" t="s">
        <v>40</v>
      </c>
      <c r="I450" t="s">
        <v>44</v>
      </c>
      <c r="J450" t="s">
        <v>44</v>
      </c>
      <c r="K450" t="s">
        <v>41</v>
      </c>
      <c r="L450" t="s">
        <v>42</v>
      </c>
      <c r="M450" t="s">
        <v>633</v>
      </c>
      <c r="N450" s="5">
        <f t="shared" si="29"/>
        <v>18000</v>
      </c>
      <c r="O450" s="5">
        <v>18000</v>
      </c>
      <c r="P450" s="5">
        <v>0</v>
      </c>
      <c r="Q450" s="5">
        <v>0</v>
      </c>
      <c r="R450" s="5">
        <v>0</v>
      </c>
      <c r="S450" s="5"/>
      <c r="T450" s="5">
        <v>0</v>
      </c>
      <c r="U450">
        <v>0</v>
      </c>
      <c r="V450">
        <v>0</v>
      </c>
      <c r="X450">
        <v>0</v>
      </c>
      <c r="Y450" t="s">
        <v>44</v>
      </c>
      <c r="AF450" s="5">
        <f t="shared" si="28"/>
        <v>18000</v>
      </c>
      <c r="AG450">
        <f t="shared" si="25"/>
        <v>0</v>
      </c>
      <c r="AH450" s="5">
        <f t="shared" si="26"/>
        <v>18000</v>
      </c>
      <c r="AJ450" t="s">
        <v>47</v>
      </c>
    </row>
    <row r="451" spans="1:36" x14ac:dyDescent="0.3">
      <c r="A451" t="s">
        <v>637</v>
      </c>
      <c r="B451" t="s">
        <v>723</v>
      </c>
      <c r="C451" t="s">
        <v>37</v>
      </c>
      <c r="D451" t="s">
        <v>117</v>
      </c>
      <c r="E451">
        <v>5030</v>
      </c>
      <c r="F451" s="6" t="s">
        <v>724</v>
      </c>
      <c r="G451" s="6" t="s">
        <v>725</v>
      </c>
      <c r="H451" t="s">
        <v>60</v>
      </c>
      <c r="I451" s="4">
        <v>46188</v>
      </c>
      <c r="K451" t="s">
        <v>61</v>
      </c>
      <c r="L451" t="s">
        <v>42</v>
      </c>
      <c r="M451" t="s">
        <v>633</v>
      </c>
      <c r="N451" s="5">
        <f t="shared" si="29"/>
        <v>17000</v>
      </c>
      <c r="O451" s="5">
        <v>17000</v>
      </c>
      <c r="P451" s="5">
        <v>0</v>
      </c>
      <c r="Q451" s="5"/>
      <c r="R451" s="5">
        <v>0</v>
      </c>
      <c r="S451" s="5"/>
      <c r="T451" s="5">
        <v>0</v>
      </c>
      <c r="U451">
        <v>0</v>
      </c>
      <c r="V451">
        <v>0</v>
      </c>
      <c r="W451">
        <v>800</v>
      </c>
      <c r="X451" t="s">
        <v>44</v>
      </c>
      <c r="Y451" t="s">
        <v>44</v>
      </c>
      <c r="AA451" t="s">
        <v>636</v>
      </c>
      <c r="AB451" t="s">
        <v>636</v>
      </c>
      <c r="AD451">
        <v>0</v>
      </c>
      <c r="AE451">
        <v>0</v>
      </c>
      <c r="AF451" s="5">
        <f t="shared" si="28"/>
        <v>17800</v>
      </c>
      <c r="AG451">
        <f t="shared" si="25"/>
        <v>0</v>
      </c>
      <c r="AH451" s="5">
        <f t="shared" si="26"/>
        <v>17800</v>
      </c>
      <c r="AJ451" t="s">
        <v>47</v>
      </c>
    </row>
    <row r="452" spans="1:36" x14ac:dyDescent="0.3">
      <c r="E452" t="s">
        <v>44</v>
      </c>
      <c r="F452" t="s">
        <v>726</v>
      </c>
      <c r="G452" t="s">
        <v>727</v>
      </c>
      <c r="H452" t="s">
        <v>40</v>
      </c>
      <c r="I452" s="4">
        <v>45714</v>
      </c>
      <c r="J452" s="4">
        <v>45758</v>
      </c>
      <c r="K452" t="s">
        <v>41</v>
      </c>
      <c r="L452" t="s">
        <v>42</v>
      </c>
      <c r="M452" t="s">
        <v>633</v>
      </c>
      <c r="N452" s="5">
        <f t="shared" si="29"/>
        <v>15800</v>
      </c>
      <c r="O452" s="5">
        <v>15800</v>
      </c>
      <c r="P452" s="5">
        <v>0</v>
      </c>
      <c r="Q452" s="5">
        <v>0</v>
      </c>
      <c r="R452" s="5">
        <v>0</v>
      </c>
      <c r="S452" s="5"/>
      <c r="T452" s="5">
        <v>0</v>
      </c>
      <c r="U452">
        <v>0</v>
      </c>
      <c r="V452">
        <v>0</v>
      </c>
      <c r="X452">
        <v>0</v>
      </c>
      <c r="Y452" t="s">
        <v>44</v>
      </c>
      <c r="AF452" s="5">
        <f t="shared" si="28"/>
        <v>15800</v>
      </c>
      <c r="AG452">
        <f t="shared" si="25"/>
        <v>0</v>
      </c>
      <c r="AH452" s="5">
        <f t="shared" si="26"/>
        <v>15800</v>
      </c>
      <c r="AJ452" t="s">
        <v>54</v>
      </c>
    </row>
    <row r="453" spans="1:36" x14ac:dyDescent="0.3">
      <c r="E453" t="s">
        <v>44</v>
      </c>
      <c r="F453" t="s">
        <v>728</v>
      </c>
      <c r="G453" t="s">
        <v>729</v>
      </c>
      <c r="H453" t="s">
        <v>40</v>
      </c>
      <c r="I453" s="4">
        <v>45691</v>
      </c>
      <c r="J453" s="4">
        <v>45793</v>
      </c>
      <c r="K453" t="s">
        <v>41</v>
      </c>
      <c r="L453" t="s">
        <v>42</v>
      </c>
      <c r="M453" t="s">
        <v>633</v>
      </c>
      <c r="N453" s="5">
        <f t="shared" si="29"/>
        <v>7000</v>
      </c>
      <c r="O453" s="5">
        <v>7000</v>
      </c>
      <c r="P453" s="5">
        <v>0</v>
      </c>
      <c r="Q453" s="5">
        <v>0</v>
      </c>
      <c r="R453" s="5">
        <v>0</v>
      </c>
      <c r="S453" s="5"/>
      <c r="T453" s="5">
        <v>0</v>
      </c>
      <c r="U453">
        <v>0</v>
      </c>
      <c r="V453">
        <v>0</v>
      </c>
      <c r="X453">
        <v>0</v>
      </c>
      <c r="Y453" t="s">
        <v>44</v>
      </c>
      <c r="AF453" s="5">
        <f t="shared" si="28"/>
        <v>7000</v>
      </c>
      <c r="AG453">
        <f t="shared" si="25"/>
        <v>0</v>
      </c>
      <c r="AH453" s="5">
        <f t="shared" si="26"/>
        <v>7000</v>
      </c>
      <c r="AJ453" t="s">
        <v>54</v>
      </c>
    </row>
    <row r="454" spans="1:36" x14ac:dyDescent="0.3">
      <c r="E454" t="s">
        <v>44</v>
      </c>
      <c r="F454" t="s">
        <v>730</v>
      </c>
      <c r="G454" t="s">
        <v>731</v>
      </c>
      <c r="H454" t="s">
        <v>40</v>
      </c>
      <c r="I454" s="4">
        <v>45708</v>
      </c>
      <c r="J454" s="4">
        <v>45758</v>
      </c>
      <c r="K454" t="s">
        <v>41</v>
      </c>
      <c r="L454" t="s">
        <v>42</v>
      </c>
      <c r="M454" t="s">
        <v>633</v>
      </c>
      <c r="N454" s="5">
        <f t="shared" si="29"/>
        <v>11000</v>
      </c>
      <c r="O454" s="5">
        <v>11000</v>
      </c>
      <c r="P454" s="5">
        <v>0</v>
      </c>
      <c r="Q454" s="5">
        <v>0</v>
      </c>
      <c r="R454" s="5">
        <v>0</v>
      </c>
      <c r="S454" s="5"/>
      <c r="T454" s="5">
        <v>0</v>
      </c>
      <c r="U454">
        <v>0</v>
      </c>
      <c r="V454">
        <v>0</v>
      </c>
      <c r="X454">
        <v>0</v>
      </c>
      <c r="Y454" t="s">
        <v>44</v>
      </c>
      <c r="AF454" s="5">
        <f t="shared" si="28"/>
        <v>11000</v>
      </c>
      <c r="AG454">
        <f t="shared" si="25"/>
        <v>0</v>
      </c>
      <c r="AH454" s="5">
        <f t="shared" si="26"/>
        <v>11000</v>
      </c>
      <c r="AJ454" t="s">
        <v>54</v>
      </c>
    </row>
    <row r="455" spans="1:36" x14ac:dyDescent="0.3">
      <c r="E455" t="s">
        <v>44</v>
      </c>
      <c r="F455" t="s">
        <v>732</v>
      </c>
      <c r="G455" t="s">
        <v>733</v>
      </c>
      <c r="H455" t="s">
        <v>40</v>
      </c>
      <c r="I455" s="4">
        <v>45713</v>
      </c>
      <c r="J455" s="4">
        <v>45798</v>
      </c>
      <c r="K455" t="s">
        <v>41</v>
      </c>
      <c r="L455" t="s">
        <v>42</v>
      </c>
      <c r="M455" t="s">
        <v>633</v>
      </c>
      <c r="N455" s="5">
        <f t="shared" si="29"/>
        <v>7300</v>
      </c>
      <c r="O455" s="5">
        <v>7300</v>
      </c>
      <c r="P455" s="5">
        <v>0</v>
      </c>
      <c r="Q455" s="5">
        <v>0</v>
      </c>
      <c r="R455" s="5">
        <v>0</v>
      </c>
      <c r="S455" s="5"/>
      <c r="T455" s="5">
        <v>0</v>
      </c>
      <c r="U455">
        <v>0</v>
      </c>
      <c r="V455">
        <v>0</v>
      </c>
      <c r="X455">
        <v>0</v>
      </c>
      <c r="Y455" t="s">
        <v>44</v>
      </c>
      <c r="AF455" s="5">
        <f t="shared" si="28"/>
        <v>7300</v>
      </c>
      <c r="AG455">
        <f t="shared" si="25"/>
        <v>0</v>
      </c>
      <c r="AH455" s="5">
        <f t="shared" si="26"/>
        <v>7300</v>
      </c>
      <c r="AJ455" t="s">
        <v>54</v>
      </c>
    </row>
    <row r="456" spans="1:36" x14ac:dyDescent="0.3">
      <c r="E456" t="s">
        <v>44</v>
      </c>
      <c r="F456" t="s">
        <v>734</v>
      </c>
      <c r="G456" t="s">
        <v>731</v>
      </c>
      <c r="H456" t="s">
        <v>40</v>
      </c>
      <c r="I456" s="4">
        <v>45659</v>
      </c>
      <c r="J456" s="4">
        <v>45849</v>
      </c>
      <c r="K456" t="s">
        <v>41</v>
      </c>
      <c r="L456" t="s">
        <v>42</v>
      </c>
      <c r="M456" t="s">
        <v>633</v>
      </c>
      <c r="N456" s="5">
        <f t="shared" si="29"/>
        <v>15000</v>
      </c>
      <c r="O456" s="5">
        <v>15000</v>
      </c>
      <c r="P456" s="5">
        <v>0</v>
      </c>
      <c r="Q456" s="5">
        <v>0</v>
      </c>
      <c r="R456" s="5">
        <v>0</v>
      </c>
      <c r="S456" s="5"/>
      <c r="T456" s="5">
        <v>0</v>
      </c>
      <c r="U456">
        <v>0</v>
      </c>
      <c r="V456">
        <v>0</v>
      </c>
      <c r="X456">
        <v>0</v>
      </c>
      <c r="Y456" t="s">
        <v>44</v>
      </c>
      <c r="AF456" s="5">
        <f t="shared" si="28"/>
        <v>15000</v>
      </c>
      <c r="AG456">
        <f t="shared" si="25"/>
        <v>0</v>
      </c>
      <c r="AH456" s="5">
        <f t="shared" si="26"/>
        <v>15000</v>
      </c>
      <c r="AJ456" t="s">
        <v>47</v>
      </c>
    </row>
    <row r="457" spans="1:36" x14ac:dyDescent="0.3">
      <c r="E457" t="s">
        <v>44</v>
      </c>
      <c r="F457" t="s">
        <v>722</v>
      </c>
      <c r="G457" t="s">
        <v>731</v>
      </c>
      <c r="H457" t="s">
        <v>40</v>
      </c>
      <c r="I457" s="4">
        <v>45756</v>
      </c>
      <c r="J457" s="4">
        <v>45852</v>
      </c>
      <c r="K457" t="s">
        <v>41</v>
      </c>
      <c r="L457" t="s">
        <v>42</v>
      </c>
      <c r="M457" t="s">
        <v>633</v>
      </c>
      <c r="N457" s="5">
        <f t="shared" si="29"/>
        <v>15000</v>
      </c>
      <c r="O457" s="5">
        <v>15000</v>
      </c>
      <c r="P457" s="5">
        <v>0</v>
      </c>
      <c r="Q457" s="5">
        <v>0</v>
      </c>
      <c r="R457" s="5">
        <v>0</v>
      </c>
      <c r="S457" s="5"/>
      <c r="T457" s="5">
        <v>0</v>
      </c>
      <c r="U457">
        <v>0</v>
      </c>
      <c r="V457">
        <v>0</v>
      </c>
      <c r="X457">
        <v>0</v>
      </c>
      <c r="Y457" t="s">
        <v>44</v>
      </c>
      <c r="AF457" s="5">
        <f t="shared" si="28"/>
        <v>15000</v>
      </c>
      <c r="AG457">
        <f t="shared" si="25"/>
        <v>0</v>
      </c>
      <c r="AH457" s="5">
        <f t="shared" si="26"/>
        <v>15000</v>
      </c>
      <c r="AJ457" t="s">
        <v>47</v>
      </c>
    </row>
    <row r="458" spans="1:36" x14ac:dyDescent="0.3">
      <c r="E458" t="s">
        <v>44</v>
      </c>
      <c r="F458" t="s">
        <v>735</v>
      </c>
      <c r="G458" t="s">
        <v>736</v>
      </c>
      <c r="H458" t="s">
        <v>40</v>
      </c>
      <c r="I458" s="4">
        <v>45665</v>
      </c>
      <c r="J458" s="4">
        <v>45762</v>
      </c>
      <c r="K458" t="s">
        <v>41</v>
      </c>
      <c r="L458" t="s">
        <v>42</v>
      </c>
      <c r="M458" t="s">
        <v>633</v>
      </c>
      <c r="N458" s="5">
        <f t="shared" si="29"/>
        <v>25000</v>
      </c>
      <c r="O458" s="5">
        <v>25000</v>
      </c>
      <c r="P458" s="5">
        <v>0</v>
      </c>
      <c r="Q458" s="5">
        <v>0</v>
      </c>
      <c r="R458" s="5">
        <v>0</v>
      </c>
      <c r="S458" s="5"/>
      <c r="T458" s="5">
        <v>0</v>
      </c>
      <c r="U458">
        <v>0</v>
      </c>
      <c r="V458">
        <v>0</v>
      </c>
      <c r="X458">
        <v>0</v>
      </c>
      <c r="Y458" t="s">
        <v>44</v>
      </c>
      <c r="AF458" s="5">
        <f t="shared" si="28"/>
        <v>25000</v>
      </c>
      <c r="AG458">
        <f t="shared" si="25"/>
        <v>0</v>
      </c>
      <c r="AH458" s="5">
        <f t="shared" si="26"/>
        <v>25000</v>
      </c>
      <c r="AJ458" t="s">
        <v>54</v>
      </c>
    </row>
    <row r="459" spans="1:36" x14ac:dyDescent="0.3">
      <c r="E459" t="s">
        <v>44</v>
      </c>
      <c r="F459" t="s">
        <v>737</v>
      </c>
      <c r="G459" t="s">
        <v>738</v>
      </c>
      <c r="H459" t="s">
        <v>40</v>
      </c>
      <c r="I459" s="4">
        <v>45665</v>
      </c>
      <c r="J459" s="4">
        <v>45716</v>
      </c>
      <c r="K459" t="s">
        <v>41</v>
      </c>
      <c r="L459" t="s">
        <v>42</v>
      </c>
      <c r="M459" t="s">
        <v>633</v>
      </c>
      <c r="N459" s="5">
        <f t="shared" si="29"/>
        <v>0</v>
      </c>
      <c r="P459" s="5">
        <v>0</v>
      </c>
      <c r="Q459" s="5">
        <v>0</v>
      </c>
      <c r="R459" s="5">
        <v>0</v>
      </c>
      <c r="S459" s="5"/>
      <c r="T459" s="5">
        <v>0</v>
      </c>
      <c r="U459">
        <v>0</v>
      </c>
      <c r="V459">
        <v>0</v>
      </c>
      <c r="X459">
        <v>0</v>
      </c>
      <c r="Y459" t="s">
        <v>44</v>
      </c>
      <c r="AF459" s="5">
        <f t="shared" si="28"/>
        <v>0</v>
      </c>
      <c r="AG459">
        <f t="shared" si="25"/>
        <v>0</v>
      </c>
      <c r="AH459" s="5">
        <f t="shared" si="26"/>
        <v>0</v>
      </c>
      <c r="AJ459" t="s">
        <v>47</v>
      </c>
    </row>
    <row r="460" spans="1:36" x14ac:dyDescent="0.3">
      <c r="E460" t="s">
        <v>44</v>
      </c>
      <c r="F460" t="s">
        <v>739</v>
      </c>
      <c r="G460" t="s">
        <v>740</v>
      </c>
      <c r="H460" t="s">
        <v>40</v>
      </c>
      <c r="I460" s="4">
        <v>45691</v>
      </c>
      <c r="J460" s="4">
        <v>45868</v>
      </c>
      <c r="K460" t="s">
        <v>41</v>
      </c>
      <c r="L460" t="s">
        <v>42</v>
      </c>
      <c r="M460" t="s">
        <v>633</v>
      </c>
      <c r="N460" s="5">
        <f t="shared" si="29"/>
        <v>12000</v>
      </c>
      <c r="O460" s="5">
        <v>12000</v>
      </c>
      <c r="P460" s="5">
        <v>0</v>
      </c>
      <c r="Q460" s="5">
        <v>0</v>
      </c>
      <c r="R460" s="5">
        <v>0</v>
      </c>
      <c r="S460" s="5"/>
      <c r="T460" s="5">
        <v>0</v>
      </c>
      <c r="U460">
        <v>0</v>
      </c>
      <c r="V460">
        <v>0</v>
      </c>
      <c r="X460">
        <v>0</v>
      </c>
      <c r="Y460" t="s">
        <v>44</v>
      </c>
      <c r="AF460" s="5">
        <f t="shared" si="28"/>
        <v>12000</v>
      </c>
      <c r="AG460">
        <f t="shared" si="25"/>
        <v>0</v>
      </c>
      <c r="AH460" s="5">
        <f t="shared" si="26"/>
        <v>12000</v>
      </c>
      <c r="AJ460" t="s">
        <v>47</v>
      </c>
    </row>
    <row r="461" spans="1:36" s="6" customFormat="1" x14ac:dyDescent="0.3">
      <c r="A461" s="6" t="s">
        <v>741</v>
      </c>
      <c r="B461" s="6" t="s">
        <v>741</v>
      </c>
      <c r="C461" s="6" t="s">
        <v>37</v>
      </c>
      <c r="D461" s="6" t="s">
        <v>741</v>
      </c>
      <c r="F461" s="6" t="s">
        <v>742</v>
      </c>
      <c r="H461" t="s">
        <v>40</v>
      </c>
      <c r="I461"/>
      <c r="J461"/>
      <c r="K461" s="6" t="s">
        <v>61</v>
      </c>
      <c r="L461" t="s">
        <v>42</v>
      </c>
      <c r="N461" s="5">
        <f t="shared" si="29"/>
        <v>0</v>
      </c>
      <c r="O461">
        <v>0</v>
      </c>
      <c r="P461" s="5">
        <v>0</v>
      </c>
      <c r="Q461" s="5">
        <v>0</v>
      </c>
      <c r="R461" s="5">
        <v>0</v>
      </c>
      <c r="S461" s="5"/>
      <c r="T461" s="5">
        <v>0</v>
      </c>
      <c r="U461" s="6">
        <v>0</v>
      </c>
      <c r="V461" s="6">
        <v>2300</v>
      </c>
      <c r="W461" s="6">
        <v>1200</v>
      </c>
      <c r="X461" s="6" t="s">
        <v>687</v>
      </c>
      <c r="Y461" s="6" t="s">
        <v>743</v>
      </c>
      <c r="AD461" s="6" t="s">
        <v>45</v>
      </c>
      <c r="AE461" s="6" t="s">
        <v>46</v>
      </c>
      <c r="AF461" s="7">
        <f t="shared" si="28"/>
        <v>1200</v>
      </c>
      <c r="AG461" s="6">
        <f t="shared" si="25"/>
        <v>2300</v>
      </c>
      <c r="AH461" s="7">
        <f t="shared" si="26"/>
        <v>3500</v>
      </c>
      <c r="AJ461" s="6" t="s">
        <v>54</v>
      </c>
    </row>
    <row r="462" spans="1:36" s="6" customFormat="1" x14ac:dyDescent="0.3">
      <c r="A462" s="6" t="s">
        <v>741</v>
      </c>
      <c r="B462" s="6" t="s">
        <v>741</v>
      </c>
      <c r="C462" s="6" t="s">
        <v>37</v>
      </c>
      <c r="D462" s="6" t="s">
        <v>741</v>
      </c>
      <c r="F462" s="6" t="s">
        <v>744</v>
      </c>
      <c r="H462" t="s">
        <v>40</v>
      </c>
      <c r="I462"/>
      <c r="J462"/>
      <c r="K462" s="6" t="s">
        <v>61</v>
      </c>
      <c r="L462" t="s">
        <v>42</v>
      </c>
      <c r="N462" s="5">
        <f t="shared" si="29"/>
        <v>0</v>
      </c>
      <c r="O462">
        <v>0</v>
      </c>
      <c r="P462" s="5">
        <v>0</v>
      </c>
      <c r="Q462" s="5">
        <v>0</v>
      </c>
      <c r="R462" s="5">
        <v>0</v>
      </c>
      <c r="S462" s="5"/>
      <c r="T462" s="5">
        <v>0</v>
      </c>
      <c r="U462" s="6">
        <v>0</v>
      </c>
      <c r="V462" s="6">
        <v>3588.79</v>
      </c>
      <c r="W462" s="6">
        <v>1200</v>
      </c>
      <c r="X462" s="6" t="s">
        <v>745</v>
      </c>
      <c r="Y462" s="6" t="s">
        <v>746</v>
      </c>
      <c r="AD462" s="6" t="s">
        <v>45</v>
      </c>
      <c r="AE462" s="6" t="s">
        <v>46</v>
      </c>
      <c r="AF462" s="7">
        <f t="shared" si="28"/>
        <v>1200</v>
      </c>
      <c r="AG462" s="6">
        <f t="shared" si="25"/>
        <v>3588.79</v>
      </c>
      <c r="AH462" s="7">
        <f t="shared" si="26"/>
        <v>4788.79</v>
      </c>
      <c r="AJ462" s="6" t="s">
        <v>54</v>
      </c>
    </row>
    <row r="463" spans="1:36" s="6" customFormat="1" x14ac:dyDescent="0.3">
      <c r="A463" s="6" t="s">
        <v>741</v>
      </c>
      <c r="B463" s="6" t="s">
        <v>741</v>
      </c>
      <c r="C463" s="6" t="s">
        <v>37</v>
      </c>
      <c r="D463" s="6" t="s">
        <v>741</v>
      </c>
      <c r="F463" s="6" t="s">
        <v>747</v>
      </c>
      <c r="H463"/>
      <c r="I463"/>
      <c r="J463"/>
      <c r="K463" s="6" t="s">
        <v>61</v>
      </c>
      <c r="L463" t="s">
        <v>42</v>
      </c>
      <c r="N463" s="5">
        <f t="shared" si="29"/>
        <v>0</v>
      </c>
      <c r="O463">
        <v>0</v>
      </c>
      <c r="P463" s="5">
        <v>0</v>
      </c>
      <c r="Q463" s="5">
        <v>0</v>
      </c>
      <c r="R463" s="5">
        <v>0</v>
      </c>
      <c r="S463" s="5"/>
      <c r="T463" s="5">
        <v>0</v>
      </c>
      <c r="U463" s="6">
        <v>0</v>
      </c>
      <c r="V463" s="6">
        <v>2300</v>
      </c>
      <c r="W463" s="6">
        <v>1200</v>
      </c>
      <c r="X463" s="6" t="s">
        <v>748</v>
      </c>
      <c r="Y463" s="6" t="s">
        <v>749</v>
      </c>
      <c r="AF463" s="7">
        <f t="shared" si="28"/>
        <v>1200</v>
      </c>
      <c r="AG463" s="6">
        <f t="shared" si="25"/>
        <v>2300</v>
      </c>
      <c r="AH463" s="7">
        <f t="shared" si="26"/>
        <v>3500</v>
      </c>
      <c r="AJ463" s="6" t="s">
        <v>54</v>
      </c>
    </row>
    <row r="464" spans="1:36" s="6" customFormat="1" x14ac:dyDescent="0.3">
      <c r="A464" s="6" t="s">
        <v>741</v>
      </c>
      <c r="B464" s="6" t="s">
        <v>741</v>
      </c>
      <c r="C464" s="6" t="s">
        <v>37</v>
      </c>
      <c r="D464" s="6" t="s">
        <v>741</v>
      </c>
      <c r="F464" s="6" t="s">
        <v>750</v>
      </c>
      <c r="H464" t="s">
        <v>40</v>
      </c>
      <c r="I464"/>
      <c r="J464"/>
      <c r="K464" s="6" t="s">
        <v>61</v>
      </c>
      <c r="L464" t="s">
        <v>42</v>
      </c>
      <c r="N464" s="5">
        <f t="shared" si="29"/>
        <v>0</v>
      </c>
      <c r="O464">
        <v>0</v>
      </c>
      <c r="P464" s="5">
        <v>0</v>
      </c>
      <c r="Q464" s="5">
        <v>0</v>
      </c>
      <c r="R464" s="5">
        <v>0</v>
      </c>
      <c r="S464" s="5"/>
      <c r="T464" s="5">
        <v>0</v>
      </c>
      <c r="U464" s="6">
        <v>0</v>
      </c>
      <c r="V464" s="6">
        <v>2400</v>
      </c>
      <c r="W464" s="6">
        <v>900</v>
      </c>
      <c r="X464" s="6" t="s">
        <v>687</v>
      </c>
      <c r="Y464" s="6" t="s">
        <v>751</v>
      </c>
      <c r="AD464" s="6" t="s">
        <v>45</v>
      </c>
      <c r="AE464" s="6" t="s">
        <v>46</v>
      </c>
      <c r="AF464" s="7">
        <f t="shared" si="28"/>
        <v>900</v>
      </c>
      <c r="AG464" s="6">
        <f t="shared" si="25"/>
        <v>2400</v>
      </c>
      <c r="AH464" s="7">
        <f t="shared" si="26"/>
        <v>3300</v>
      </c>
      <c r="AJ464" s="6" t="s">
        <v>54</v>
      </c>
    </row>
    <row r="465" spans="1:36" s="6" customFormat="1" x14ac:dyDescent="0.3">
      <c r="A465" s="6" t="s">
        <v>741</v>
      </c>
      <c r="B465" s="6" t="s">
        <v>741</v>
      </c>
      <c r="C465" s="6" t="s">
        <v>37</v>
      </c>
      <c r="D465" s="6" t="s">
        <v>741</v>
      </c>
      <c r="F465" s="6" t="s">
        <v>752</v>
      </c>
      <c r="H465"/>
      <c r="I465"/>
      <c r="J465"/>
      <c r="K465" s="6" t="s">
        <v>61</v>
      </c>
      <c r="L465" t="s">
        <v>42</v>
      </c>
      <c r="N465" s="5">
        <f t="shared" si="29"/>
        <v>0</v>
      </c>
      <c r="O465">
        <v>0</v>
      </c>
      <c r="P465" s="5">
        <v>0</v>
      </c>
      <c r="Q465" s="5">
        <v>0</v>
      </c>
      <c r="R465" s="5">
        <v>0</v>
      </c>
      <c r="S465" s="5"/>
      <c r="T465" s="5">
        <v>0</v>
      </c>
      <c r="U465" s="6">
        <v>0</v>
      </c>
      <c r="V465" s="6">
        <v>3386</v>
      </c>
      <c r="W465" s="6">
        <v>1200</v>
      </c>
      <c r="X465" s="6" t="s">
        <v>745</v>
      </c>
      <c r="Y465" s="6" t="s">
        <v>753</v>
      </c>
      <c r="AF465" s="7">
        <f t="shared" si="28"/>
        <v>1200</v>
      </c>
      <c r="AG465" s="6">
        <f t="shared" si="25"/>
        <v>3386</v>
      </c>
      <c r="AH465" s="7">
        <f t="shared" si="26"/>
        <v>4586</v>
      </c>
      <c r="AJ465" s="6" t="s">
        <v>54</v>
      </c>
    </row>
    <row r="466" spans="1:36" s="6" customFormat="1" x14ac:dyDescent="0.3">
      <c r="A466" s="6" t="s">
        <v>741</v>
      </c>
      <c r="B466" s="6" t="s">
        <v>741</v>
      </c>
      <c r="C466" s="6" t="s">
        <v>37</v>
      </c>
      <c r="D466" s="6" t="s">
        <v>741</v>
      </c>
      <c r="F466" s="6" t="s">
        <v>754</v>
      </c>
      <c r="H466" t="s">
        <v>40</v>
      </c>
      <c r="I466"/>
      <c r="J466"/>
      <c r="K466" s="6" t="s">
        <v>61</v>
      </c>
      <c r="L466" t="s">
        <v>42</v>
      </c>
      <c r="N466" s="5">
        <f t="shared" si="29"/>
        <v>0</v>
      </c>
      <c r="O466">
        <v>0</v>
      </c>
      <c r="P466" s="5">
        <v>0</v>
      </c>
      <c r="Q466" s="5">
        <v>0</v>
      </c>
      <c r="R466" s="5">
        <v>0</v>
      </c>
      <c r="S466" s="5"/>
      <c r="T466" s="5">
        <v>0</v>
      </c>
      <c r="U466" s="6">
        <v>0</v>
      </c>
      <c r="V466" s="6">
        <v>2400</v>
      </c>
      <c r="W466" s="6">
        <v>1500</v>
      </c>
      <c r="X466" s="6" t="s">
        <v>687</v>
      </c>
      <c r="Y466" s="6" t="s">
        <v>755</v>
      </c>
      <c r="AD466" s="6" t="s">
        <v>45</v>
      </c>
      <c r="AE466" s="6" t="s">
        <v>46</v>
      </c>
      <c r="AF466" s="7">
        <f t="shared" si="28"/>
        <v>1500</v>
      </c>
      <c r="AG466" s="6">
        <f t="shared" si="25"/>
        <v>2400</v>
      </c>
      <c r="AH466" s="7">
        <f t="shared" si="26"/>
        <v>3900</v>
      </c>
      <c r="AJ466" s="6" t="s">
        <v>54</v>
      </c>
    </row>
    <row r="467" spans="1:36" s="6" customFormat="1" x14ac:dyDescent="0.3">
      <c r="A467" s="6" t="s">
        <v>741</v>
      </c>
      <c r="B467" s="6" t="s">
        <v>741</v>
      </c>
      <c r="C467" s="6" t="s">
        <v>37</v>
      </c>
      <c r="D467" s="6" t="s">
        <v>741</v>
      </c>
      <c r="F467" s="6" t="s">
        <v>756</v>
      </c>
      <c r="H467" t="s">
        <v>40</v>
      </c>
      <c r="I467"/>
      <c r="J467"/>
      <c r="K467" s="6" t="s">
        <v>61</v>
      </c>
      <c r="L467" t="s">
        <v>42</v>
      </c>
      <c r="N467" s="5">
        <f t="shared" si="29"/>
        <v>0</v>
      </c>
      <c r="O467">
        <v>0</v>
      </c>
      <c r="P467" s="5">
        <v>0</v>
      </c>
      <c r="Q467" s="5">
        <v>0</v>
      </c>
      <c r="R467" s="5">
        <v>0</v>
      </c>
      <c r="S467" s="5"/>
      <c r="T467" s="5">
        <v>0</v>
      </c>
      <c r="U467" s="6">
        <v>0</v>
      </c>
      <c r="V467" s="6">
        <v>3233</v>
      </c>
      <c r="W467" s="6">
        <v>1200</v>
      </c>
      <c r="X467" s="6" t="s">
        <v>757</v>
      </c>
      <c r="Y467" s="6" t="s">
        <v>758</v>
      </c>
      <c r="AD467" s="6" t="s">
        <v>45</v>
      </c>
      <c r="AE467" s="6" t="s">
        <v>46</v>
      </c>
      <c r="AF467" s="7">
        <f t="shared" si="28"/>
        <v>1200</v>
      </c>
      <c r="AG467" s="6">
        <f t="shared" ref="AG467:AG491" si="30">V467+Z467</f>
        <v>3233</v>
      </c>
      <c r="AH467" s="7">
        <f t="shared" ref="AH467:AH491" si="31">AG467+AF467</f>
        <v>4433</v>
      </c>
      <c r="AJ467" s="6" t="s">
        <v>54</v>
      </c>
    </row>
    <row r="468" spans="1:36" s="6" customFormat="1" x14ac:dyDescent="0.3">
      <c r="A468" s="6" t="s">
        <v>741</v>
      </c>
      <c r="B468" s="6" t="s">
        <v>741</v>
      </c>
      <c r="C468" s="6" t="s">
        <v>37</v>
      </c>
      <c r="D468" s="6" t="s">
        <v>741</v>
      </c>
      <c r="F468" s="6" t="s">
        <v>759</v>
      </c>
      <c r="H468" t="s">
        <v>40</v>
      </c>
      <c r="I468"/>
      <c r="J468"/>
      <c r="K468" s="6" t="s">
        <v>61</v>
      </c>
      <c r="L468" t="s">
        <v>42</v>
      </c>
      <c r="N468" s="5">
        <f t="shared" si="29"/>
        <v>0</v>
      </c>
      <c r="O468">
        <v>0</v>
      </c>
      <c r="P468" s="5">
        <v>0</v>
      </c>
      <c r="Q468" s="5">
        <v>0</v>
      </c>
      <c r="R468" s="5">
        <v>0</v>
      </c>
      <c r="S468" s="5"/>
      <c r="T468" s="5">
        <v>0</v>
      </c>
      <c r="U468" s="6">
        <v>0</v>
      </c>
      <c r="V468" s="6">
        <v>2300</v>
      </c>
      <c r="W468" s="6">
        <v>1000</v>
      </c>
      <c r="X468" s="6" t="s">
        <v>687</v>
      </c>
      <c r="Y468" s="6" t="s">
        <v>760</v>
      </c>
      <c r="AD468" s="6" t="s">
        <v>45</v>
      </c>
      <c r="AE468" s="6" t="s">
        <v>46</v>
      </c>
      <c r="AF468" s="7">
        <f t="shared" ref="AF468:AF491" si="32">N468+U468+W468</f>
        <v>1000</v>
      </c>
      <c r="AG468" s="6">
        <f t="shared" si="30"/>
        <v>2300</v>
      </c>
      <c r="AH468" s="7">
        <f t="shared" si="31"/>
        <v>3300</v>
      </c>
      <c r="AJ468" s="6" t="s">
        <v>54</v>
      </c>
    </row>
    <row r="469" spans="1:36" x14ac:dyDescent="0.3">
      <c r="A469" t="s">
        <v>761</v>
      </c>
      <c r="B469" t="s">
        <v>761</v>
      </c>
      <c r="C469" t="s">
        <v>37</v>
      </c>
      <c r="F469" t="s">
        <v>762</v>
      </c>
      <c r="G469" t="s">
        <v>761</v>
      </c>
      <c r="H469" t="s">
        <v>40</v>
      </c>
      <c r="I469" t="s">
        <v>763</v>
      </c>
      <c r="K469" t="s">
        <v>61</v>
      </c>
      <c r="L469" t="s">
        <v>42</v>
      </c>
      <c r="M469" t="s">
        <v>43</v>
      </c>
      <c r="N469" s="5">
        <f t="shared" ref="N469:N471" si="33">O469+P469+Q469+R469-T469+S469</f>
        <v>0</v>
      </c>
      <c r="O469">
        <v>0</v>
      </c>
      <c r="P469" s="5">
        <v>0</v>
      </c>
      <c r="Q469" s="5">
        <v>0</v>
      </c>
      <c r="R469" s="5">
        <v>0</v>
      </c>
      <c r="S469" s="5">
        <v>0</v>
      </c>
      <c r="T469" s="5">
        <v>0</v>
      </c>
      <c r="U469">
        <v>0</v>
      </c>
      <c r="V469">
        <v>0</v>
      </c>
      <c r="X469">
        <v>0</v>
      </c>
      <c r="Y469">
        <v>0</v>
      </c>
      <c r="AF469" s="5">
        <f t="shared" si="32"/>
        <v>0</v>
      </c>
      <c r="AG469">
        <f t="shared" si="30"/>
        <v>0</v>
      </c>
      <c r="AH469" s="5">
        <f t="shared" si="31"/>
        <v>0</v>
      </c>
      <c r="AJ469" t="s">
        <v>47</v>
      </c>
    </row>
    <row r="470" spans="1:36" x14ac:dyDescent="0.3">
      <c r="A470" t="s">
        <v>761</v>
      </c>
      <c r="B470" t="s">
        <v>761</v>
      </c>
      <c r="C470" t="s">
        <v>37</v>
      </c>
      <c r="F470" t="s">
        <v>764</v>
      </c>
      <c r="G470" t="s">
        <v>761</v>
      </c>
      <c r="H470" t="s">
        <v>40</v>
      </c>
      <c r="I470" t="s">
        <v>763</v>
      </c>
      <c r="K470" t="s">
        <v>61</v>
      </c>
      <c r="L470" t="s">
        <v>42</v>
      </c>
      <c r="M470" t="s">
        <v>43</v>
      </c>
      <c r="N470" s="5">
        <f t="shared" si="33"/>
        <v>0</v>
      </c>
      <c r="O470">
        <v>0</v>
      </c>
      <c r="P470" s="5">
        <v>0</v>
      </c>
      <c r="Q470" s="5">
        <v>0</v>
      </c>
      <c r="R470" s="5">
        <v>0</v>
      </c>
      <c r="S470" s="5">
        <v>0</v>
      </c>
      <c r="T470" s="5">
        <v>0</v>
      </c>
      <c r="U470">
        <v>0</v>
      </c>
      <c r="V470">
        <v>0</v>
      </c>
      <c r="X470">
        <v>0</v>
      </c>
      <c r="Y470">
        <v>0</v>
      </c>
      <c r="AF470" s="5">
        <f t="shared" si="32"/>
        <v>0</v>
      </c>
      <c r="AG470">
        <f t="shared" si="30"/>
        <v>0</v>
      </c>
      <c r="AH470" s="5">
        <f t="shared" si="31"/>
        <v>0</v>
      </c>
      <c r="AJ470" t="s">
        <v>47</v>
      </c>
    </row>
    <row r="471" spans="1:36" x14ac:dyDescent="0.3">
      <c r="A471" t="s">
        <v>761</v>
      </c>
      <c r="B471" t="s">
        <v>761</v>
      </c>
      <c r="C471" t="s">
        <v>37</v>
      </c>
      <c r="F471" t="s">
        <v>765</v>
      </c>
      <c r="G471" t="s">
        <v>761</v>
      </c>
      <c r="H471" t="s">
        <v>40</v>
      </c>
      <c r="I471" t="s">
        <v>763</v>
      </c>
      <c r="K471" t="s">
        <v>61</v>
      </c>
      <c r="L471" t="s">
        <v>42</v>
      </c>
      <c r="M471" t="s">
        <v>43</v>
      </c>
      <c r="N471" s="5">
        <f t="shared" si="33"/>
        <v>0</v>
      </c>
      <c r="O471">
        <v>0</v>
      </c>
      <c r="P471" s="5">
        <v>0</v>
      </c>
      <c r="Q471" s="5">
        <v>0</v>
      </c>
      <c r="R471" s="5">
        <v>0</v>
      </c>
      <c r="S471" s="5">
        <v>0</v>
      </c>
      <c r="T471" s="5">
        <v>0</v>
      </c>
      <c r="U471">
        <v>0</v>
      </c>
      <c r="V471">
        <v>0</v>
      </c>
      <c r="X471">
        <v>0</v>
      </c>
      <c r="Y471">
        <v>0</v>
      </c>
      <c r="AF471" s="5">
        <f t="shared" si="32"/>
        <v>0</v>
      </c>
      <c r="AG471">
        <f t="shared" si="30"/>
        <v>0</v>
      </c>
      <c r="AH471" s="5">
        <f t="shared" si="31"/>
        <v>0</v>
      </c>
      <c r="AJ471" t="s">
        <v>47</v>
      </c>
    </row>
    <row r="472" spans="1:36" x14ac:dyDescent="0.3">
      <c r="F472" t="s">
        <v>766</v>
      </c>
      <c r="G472" t="s">
        <v>767</v>
      </c>
      <c r="H472" t="s">
        <v>40</v>
      </c>
      <c r="I472" t="s">
        <v>768</v>
      </c>
      <c r="J472" t="s">
        <v>769</v>
      </c>
      <c r="K472" t="s">
        <v>41</v>
      </c>
      <c r="L472" t="s">
        <v>42</v>
      </c>
      <c r="M472" t="s">
        <v>633</v>
      </c>
      <c r="N472" s="5">
        <f t="shared" si="29"/>
        <v>0</v>
      </c>
      <c r="P472" s="5">
        <v>0</v>
      </c>
      <c r="Q472" s="5">
        <v>0</v>
      </c>
      <c r="R472" s="5">
        <v>0</v>
      </c>
      <c r="S472" s="5"/>
      <c r="T472" s="5">
        <v>0</v>
      </c>
      <c r="U472">
        <v>0</v>
      </c>
      <c r="V472">
        <v>0</v>
      </c>
      <c r="X472">
        <v>0</v>
      </c>
      <c r="Y472">
        <v>0</v>
      </c>
      <c r="AD472" t="s">
        <v>45</v>
      </c>
      <c r="AE472" t="s">
        <v>46</v>
      </c>
      <c r="AF472" s="5">
        <f t="shared" si="32"/>
        <v>0</v>
      </c>
      <c r="AG472">
        <f t="shared" si="30"/>
        <v>0</v>
      </c>
      <c r="AH472" s="5">
        <f t="shared" si="31"/>
        <v>0</v>
      </c>
      <c r="AJ472" t="s">
        <v>47</v>
      </c>
    </row>
    <row r="473" spans="1:36" x14ac:dyDescent="0.3">
      <c r="A473" t="s">
        <v>55</v>
      </c>
      <c r="B473" t="s">
        <v>770</v>
      </c>
      <c r="C473" t="s">
        <v>56</v>
      </c>
      <c r="F473" t="s">
        <v>739</v>
      </c>
      <c r="G473" t="s">
        <v>721</v>
      </c>
      <c r="H473" t="s">
        <v>40</v>
      </c>
      <c r="I473" t="s">
        <v>771</v>
      </c>
      <c r="K473" t="s">
        <v>61</v>
      </c>
      <c r="L473" t="s">
        <v>42</v>
      </c>
      <c r="M473" t="s">
        <v>633</v>
      </c>
      <c r="N473" s="5">
        <f t="shared" si="29"/>
        <v>0</v>
      </c>
      <c r="O473">
        <v>0</v>
      </c>
      <c r="P473" s="5">
        <v>0</v>
      </c>
      <c r="Q473" s="5"/>
      <c r="R473" s="5">
        <v>0</v>
      </c>
      <c r="S473" s="5"/>
      <c r="T473" s="5">
        <v>0</v>
      </c>
      <c r="U473">
        <v>0</v>
      </c>
      <c r="V473">
        <v>0</v>
      </c>
      <c r="X473">
        <v>0</v>
      </c>
      <c r="Y473">
        <v>0</v>
      </c>
      <c r="AF473" s="5">
        <f t="shared" si="32"/>
        <v>0</v>
      </c>
      <c r="AG473">
        <f t="shared" si="30"/>
        <v>0</v>
      </c>
      <c r="AH473" s="5">
        <f t="shared" si="31"/>
        <v>0</v>
      </c>
      <c r="AJ473" t="s">
        <v>47</v>
      </c>
    </row>
    <row r="474" spans="1:36" x14ac:dyDescent="0.3">
      <c r="A474" t="s">
        <v>55</v>
      </c>
      <c r="B474" t="s">
        <v>772</v>
      </c>
      <c r="C474" t="s">
        <v>56</v>
      </c>
      <c r="G474" t="s">
        <v>116</v>
      </c>
      <c r="K474" t="s">
        <v>61</v>
      </c>
      <c r="L474" t="s">
        <v>42</v>
      </c>
      <c r="N474" s="5">
        <f t="shared" si="29"/>
        <v>0</v>
      </c>
      <c r="O474">
        <v>0</v>
      </c>
      <c r="P474" s="5">
        <v>0</v>
      </c>
      <c r="Q474" s="5">
        <v>0</v>
      </c>
      <c r="R474" s="5">
        <v>0</v>
      </c>
      <c r="S474" s="5"/>
      <c r="T474" s="5">
        <v>0</v>
      </c>
      <c r="U474">
        <v>0</v>
      </c>
      <c r="V474">
        <v>0</v>
      </c>
      <c r="X474">
        <v>0</v>
      </c>
      <c r="Y474">
        <v>0</v>
      </c>
      <c r="Z474">
        <v>36000</v>
      </c>
      <c r="AD474" t="s">
        <v>88</v>
      </c>
      <c r="AF474" s="5">
        <f t="shared" si="32"/>
        <v>0</v>
      </c>
      <c r="AG474">
        <f t="shared" si="30"/>
        <v>36000</v>
      </c>
      <c r="AH474" s="5">
        <f t="shared" si="31"/>
        <v>36000</v>
      </c>
    </row>
    <row r="475" spans="1:36" x14ac:dyDescent="0.3">
      <c r="A475" t="s">
        <v>55</v>
      </c>
      <c r="B475" t="s">
        <v>772</v>
      </c>
      <c r="C475" t="s">
        <v>56</v>
      </c>
      <c r="G475" t="s">
        <v>773</v>
      </c>
      <c r="K475" t="s">
        <v>61</v>
      </c>
      <c r="L475" t="s">
        <v>42</v>
      </c>
      <c r="N475" s="5">
        <f t="shared" si="29"/>
        <v>0</v>
      </c>
      <c r="O475">
        <v>0</v>
      </c>
      <c r="P475" s="5">
        <v>0</v>
      </c>
      <c r="Q475" s="5">
        <v>0</v>
      </c>
      <c r="R475" s="5">
        <v>0</v>
      </c>
      <c r="S475" s="5"/>
      <c r="T475" s="5">
        <v>0</v>
      </c>
      <c r="U475">
        <v>0</v>
      </c>
      <c r="V475">
        <v>0</v>
      </c>
      <c r="X475">
        <v>0</v>
      </c>
      <c r="Y475">
        <v>0</v>
      </c>
      <c r="Z475">
        <v>13000</v>
      </c>
      <c r="AD475" t="s">
        <v>88</v>
      </c>
      <c r="AE475" t="s">
        <v>46</v>
      </c>
      <c r="AF475" s="5">
        <f t="shared" si="32"/>
        <v>0</v>
      </c>
      <c r="AG475">
        <f t="shared" si="30"/>
        <v>13000</v>
      </c>
      <c r="AH475" s="5">
        <f t="shared" si="31"/>
        <v>13000</v>
      </c>
    </row>
    <row r="476" spans="1:36" x14ac:dyDescent="0.3">
      <c r="A476" t="s">
        <v>55</v>
      </c>
      <c r="B476" t="s">
        <v>772</v>
      </c>
      <c r="C476" t="s">
        <v>56</v>
      </c>
      <c r="G476" t="s">
        <v>773</v>
      </c>
      <c r="K476" t="s">
        <v>61</v>
      </c>
      <c r="L476" t="s">
        <v>42</v>
      </c>
      <c r="N476" s="5">
        <f t="shared" si="29"/>
        <v>0</v>
      </c>
      <c r="O476">
        <v>0</v>
      </c>
      <c r="P476" s="5">
        <v>0</v>
      </c>
      <c r="Q476" s="5">
        <v>0</v>
      </c>
      <c r="R476" s="5">
        <v>0</v>
      </c>
      <c r="S476" s="5"/>
      <c r="T476" s="5">
        <v>0</v>
      </c>
      <c r="U476">
        <v>0</v>
      </c>
      <c r="V476">
        <v>0</v>
      </c>
      <c r="X476">
        <v>0</v>
      </c>
      <c r="Y476">
        <v>0</v>
      </c>
      <c r="Z476">
        <v>12000</v>
      </c>
      <c r="AD476" t="s">
        <v>88</v>
      </c>
      <c r="AE476" t="s">
        <v>46</v>
      </c>
      <c r="AF476" s="5">
        <f t="shared" si="32"/>
        <v>0</v>
      </c>
      <c r="AG476">
        <f t="shared" si="30"/>
        <v>12000</v>
      </c>
      <c r="AH476" s="5">
        <f t="shared" si="31"/>
        <v>12000</v>
      </c>
    </row>
    <row r="477" spans="1:36" x14ac:dyDescent="0.3">
      <c r="A477" t="s">
        <v>55</v>
      </c>
      <c r="B477" t="s">
        <v>772</v>
      </c>
      <c r="C477" t="s">
        <v>56</v>
      </c>
      <c r="G477" t="s">
        <v>773</v>
      </c>
      <c r="K477" t="s">
        <v>61</v>
      </c>
      <c r="L477" t="s">
        <v>42</v>
      </c>
      <c r="N477" s="5">
        <f t="shared" si="29"/>
        <v>0</v>
      </c>
      <c r="O477">
        <v>0</v>
      </c>
      <c r="P477" s="5">
        <v>0</v>
      </c>
      <c r="Q477" s="5">
        <v>0</v>
      </c>
      <c r="R477" s="5">
        <v>0</v>
      </c>
      <c r="S477" s="5"/>
      <c r="T477" s="5">
        <v>0</v>
      </c>
      <c r="U477">
        <v>0</v>
      </c>
      <c r="V477">
        <v>0</v>
      </c>
      <c r="X477">
        <v>0</v>
      </c>
      <c r="Y477">
        <v>0</v>
      </c>
      <c r="Z477">
        <v>13000</v>
      </c>
      <c r="AD477" t="s">
        <v>88</v>
      </c>
      <c r="AE477" t="s">
        <v>46</v>
      </c>
      <c r="AF477" s="5">
        <f t="shared" si="32"/>
        <v>0</v>
      </c>
      <c r="AG477">
        <f t="shared" si="30"/>
        <v>13000</v>
      </c>
      <c r="AH477" s="5">
        <f t="shared" si="31"/>
        <v>13000</v>
      </c>
    </row>
    <row r="478" spans="1:36" x14ac:dyDescent="0.3">
      <c r="A478" t="s">
        <v>55</v>
      </c>
      <c r="B478" t="s">
        <v>772</v>
      </c>
      <c r="C478" t="s">
        <v>56</v>
      </c>
      <c r="G478" t="s">
        <v>773</v>
      </c>
      <c r="K478" t="s">
        <v>61</v>
      </c>
      <c r="L478" t="s">
        <v>42</v>
      </c>
      <c r="N478" s="5">
        <f t="shared" si="29"/>
        <v>0</v>
      </c>
      <c r="O478">
        <v>0</v>
      </c>
      <c r="P478" s="5">
        <v>0</v>
      </c>
      <c r="Q478" s="5">
        <v>0</v>
      </c>
      <c r="R478" s="5">
        <v>0</v>
      </c>
      <c r="S478" s="5"/>
      <c r="T478" s="5">
        <v>0</v>
      </c>
      <c r="U478">
        <v>0</v>
      </c>
      <c r="V478">
        <v>0</v>
      </c>
      <c r="X478">
        <v>0</v>
      </c>
      <c r="Y478">
        <v>0</v>
      </c>
      <c r="Z478">
        <v>13000</v>
      </c>
      <c r="AD478" t="s">
        <v>88</v>
      </c>
      <c r="AE478" t="s">
        <v>46</v>
      </c>
      <c r="AF478" s="5">
        <f t="shared" si="32"/>
        <v>0</v>
      </c>
      <c r="AG478">
        <f t="shared" si="30"/>
        <v>13000</v>
      </c>
      <c r="AH478" s="5">
        <f t="shared" si="31"/>
        <v>13000</v>
      </c>
    </row>
    <row r="479" spans="1:36" x14ac:dyDescent="0.3">
      <c r="A479" t="s">
        <v>55</v>
      </c>
      <c r="B479" t="s">
        <v>772</v>
      </c>
      <c r="C479" t="s">
        <v>56</v>
      </c>
      <c r="G479" t="s">
        <v>133</v>
      </c>
      <c r="H479" t="s">
        <v>40</v>
      </c>
      <c r="K479" t="s">
        <v>61</v>
      </c>
      <c r="L479" t="s">
        <v>42</v>
      </c>
      <c r="N479" s="5">
        <f t="shared" si="29"/>
        <v>0</v>
      </c>
      <c r="O479">
        <v>0</v>
      </c>
      <c r="P479" s="5">
        <v>0</v>
      </c>
      <c r="Q479" s="5">
        <v>0</v>
      </c>
      <c r="R479" s="5">
        <v>0</v>
      </c>
      <c r="S479" s="5"/>
      <c r="T479" s="5">
        <v>0</v>
      </c>
      <c r="U479">
        <v>0</v>
      </c>
      <c r="V479">
        <v>0</v>
      </c>
      <c r="X479">
        <v>0</v>
      </c>
      <c r="Y479">
        <v>0</v>
      </c>
      <c r="Z479">
        <v>15000</v>
      </c>
      <c r="AD479" t="s">
        <v>88</v>
      </c>
      <c r="AE479" t="s">
        <v>46</v>
      </c>
      <c r="AF479" s="5">
        <f t="shared" si="32"/>
        <v>0</v>
      </c>
      <c r="AG479">
        <f t="shared" si="30"/>
        <v>15000</v>
      </c>
      <c r="AH479" s="5">
        <f t="shared" si="31"/>
        <v>15000</v>
      </c>
    </row>
    <row r="480" spans="1:36" x14ac:dyDescent="0.3">
      <c r="A480" t="s">
        <v>55</v>
      </c>
      <c r="B480" t="s">
        <v>772</v>
      </c>
      <c r="C480" t="s">
        <v>56</v>
      </c>
      <c r="G480" t="s">
        <v>133</v>
      </c>
      <c r="H480" t="s">
        <v>40</v>
      </c>
      <c r="K480" t="s">
        <v>61</v>
      </c>
      <c r="L480" t="s">
        <v>42</v>
      </c>
      <c r="N480" s="5">
        <f t="shared" si="29"/>
        <v>0</v>
      </c>
      <c r="O480">
        <v>0</v>
      </c>
      <c r="P480" s="5">
        <v>0</v>
      </c>
      <c r="Q480" s="5">
        <v>0</v>
      </c>
      <c r="R480" s="5">
        <v>0</v>
      </c>
      <c r="S480" s="5"/>
      <c r="T480" s="5">
        <v>0</v>
      </c>
      <c r="U480">
        <v>0</v>
      </c>
      <c r="V480">
        <v>0</v>
      </c>
      <c r="X480">
        <v>0</v>
      </c>
      <c r="Y480">
        <v>0</v>
      </c>
      <c r="Z480">
        <v>15000</v>
      </c>
      <c r="AD480" t="s">
        <v>88</v>
      </c>
      <c r="AE480" t="s">
        <v>46</v>
      </c>
      <c r="AF480" s="5">
        <f t="shared" si="32"/>
        <v>0</v>
      </c>
      <c r="AG480">
        <f t="shared" si="30"/>
        <v>15000</v>
      </c>
      <c r="AH480" s="5">
        <f t="shared" si="31"/>
        <v>15000</v>
      </c>
    </row>
    <row r="481" spans="1:34" x14ac:dyDescent="0.3">
      <c r="A481" t="s">
        <v>55</v>
      </c>
      <c r="B481" t="s">
        <v>772</v>
      </c>
      <c r="C481" t="s">
        <v>56</v>
      </c>
      <c r="G481" t="s">
        <v>133</v>
      </c>
      <c r="H481" t="s">
        <v>40</v>
      </c>
      <c r="K481" t="s">
        <v>61</v>
      </c>
      <c r="L481" t="s">
        <v>42</v>
      </c>
      <c r="N481" s="5">
        <f t="shared" si="29"/>
        <v>0</v>
      </c>
      <c r="O481">
        <v>0</v>
      </c>
      <c r="P481" s="5">
        <v>0</v>
      </c>
      <c r="Q481" s="5">
        <v>0</v>
      </c>
      <c r="R481" s="5">
        <v>0</v>
      </c>
      <c r="S481" s="5"/>
      <c r="T481" s="5">
        <v>0</v>
      </c>
      <c r="U481">
        <v>0</v>
      </c>
      <c r="V481">
        <v>0</v>
      </c>
      <c r="X481">
        <v>0</v>
      </c>
      <c r="Y481">
        <v>0</v>
      </c>
      <c r="Z481">
        <v>15000</v>
      </c>
      <c r="AD481" t="s">
        <v>88</v>
      </c>
      <c r="AE481" t="s">
        <v>46</v>
      </c>
      <c r="AF481" s="5">
        <f t="shared" si="32"/>
        <v>0</v>
      </c>
      <c r="AG481">
        <f t="shared" si="30"/>
        <v>15000</v>
      </c>
      <c r="AH481" s="5">
        <f t="shared" si="31"/>
        <v>15000</v>
      </c>
    </row>
    <row r="482" spans="1:34" x14ac:dyDescent="0.3">
      <c r="A482" t="s">
        <v>55</v>
      </c>
      <c r="B482" t="s">
        <v>772</v>
      </c>
      <c r="C482" t="s">
        <v>56</v>
      </c>
      <c r="G482" t="s">
        <v>133</v>
      </c>
      <c r="H482" t="s">
        <v>40</v>
      </c>
      <c r="K482" t="s">
        <v>61</v>
      </c>
      <c r="L482" t="s">
        <v>42</v>
      </c>
      <c r="N482" s="5">
        <f t="shared" si="29"/>
        <v>0</v>
      </c>
      <c r="O482">
        <v>0</v>
      </c>
      <c r="P482" s="5">
        <v>0</v>
      </c>
      <c r="Q482" s="5">
        <v>0</v>
      </c>
      <c r="R482" s="5">
        <v>0</v>
      </c>
      <c r="S482" s="5"/>
      <c r="T482" s="5">
        <v>0</v>
      </c>
      <c r="U482">
        <v>0</v>
      </c>
      <c r="V482">
        <v>0</v>
      </c>
      <c r="X482">
        <v>0</v>
      </c>
      <c r="Y482">
        <v>0</v>
      </c>
      <c r="Z482">
        <v>14000</v>
      </c>
      <c r="AD482" t="s">
        <v>88</v>
      </c>
      <c r="AE482" t="s">
        <v>46</v>
      </c>
      <c r="AF482" s="5">
        <f t="shared" si="32"/>
        <v>0</v>
      </c>
      <c r="AG482">
        <f t="shared" si="30"/>
        <v>14000</v>
      </c>
      <c r="AH482" s="5">
        <f t="shared" si="31"/>
        <v>14000</v>
      </c>
    </row>
    <row r="483" spans="1:34" x14ac:dyDescent="0.3">
      <c r="A483" t="s">
        <v>55</v>
      </c>
      <c r="B483" t="s">
        <v>772</v>
      </c>
      <c r="C483" t="s">
        <v>56</v>
      </c>
      <c r="G483" t="s">
        <v>133</v>
      </c>
      <c r="K483" t="s">
        <v>61</v>
      </c>
      <c r="L483" t="s">
        <v>42</v>
      </c>
      <c r="N483">
        <v>0</v>
      </c>
      <c r="O483">
        <v>0</v>
      </c>
      <c r="P483" s="5">
        <v>0</v>
      </c>
      <c r="Q483" s="5">
        <v>0</v>
      </c>
      <c r="R483" s="5">
        <v>0</v>
      </c>
      <c r="S483" s="5"/>
      <c r="T483" s="5">
        <v>0</v>
      </c>
      <c r="U483">
        <v>0</v>
      </c>
      <c r="V483">
        <v>0</v>
      </c>
      <c r="X483">
        <v>0</v>
      </c>
      <c r="Y483">
        <v>0</v>
      </c>
      <c r="Z483">
        <v>14000</v>
      </c>
      <c r="AD483" t="s">
        <v>88</v>
      </c>
      <c r="AE483" t="s">
        <v>46</v>
      </c>
      <c r="AF483" s="5">
        <f t="shared" si="32"/>
        <v>0</v>
      </c>
      <c r="AG483">
        <f t="shared" si="30"/>
        <v>14000</v>
      </c>
      <c r="AH483" s="5">
        <f t="shared" si="31"/>
        <v>14000</v>
      </c>
    </row>
    <row r="484" spans="1:34" x14ac:dyDescent="0.3">
      <c r="A484" t="s">
        <v>55</v>
      </c>
      <c r="B484" t="s">
        <v>772</v>
      </c>
      <c r="C484" t="s">
        <v>56</v>
      </c>
      <c r="G484" t="s">
        <v>133</v>
      </c>
      <c r="I484" s="8"/>
      <c r="K484" t="s">
        <v>61</v>
      </c>
      <c r="L484" t="s">
        <v>42</v>
      </c>
      <c r="N484">
        <v>0</v>
      </c>
      <c r="O484">
        <v>0</v>
      </c>
      <c r="P484" s="5">
        <v>0</v>
      </c>
      <c r="Q484" s="5">
        <v>0</v>
      </c>
      <c r="R484" s="5">
        <v>0</v>
      </c>
      <c r="S484" s="5"/>
      <c r="T484" s="5">
        <v>0</v>
      </c>
      <c r="U484">
        <v>0</v>
      </c>
      <c r="V484">
        <v>0</v>
      </c>
      <c r="X484">
        <v>0</v>
      </c>
      <c r="Y484">
        <v>0</v>
      </c>
      <c r="Z484">
        <v>14500</v>
      </c>
      <c r="AD484" t="s">
        <v>88</v>
      </c>
      <c r="AE484" t="s">
        <v>46</v>
      </c>
      <c r="AF484" s="5">
        <f t="shared" si="32"/>
        <v>0</v>
      </c>
      <c r="AG484">
        <f t="shared" si="30"/>
        <v>14500</v>
      </c>
      <c r="AH484" s="5">
        <f t="shared" si="31"/>
        <v>14500</v>
      </c>
    </row>
    <row r="485" spans="1:34" x14ac:dyDescent="0.3">
      <c r="A485" t="s">
        <v>55</v>
      </c>
      <c r="B485" t="s">
        <v>772</v>
      </c>
      <c r="C485" t="s">
        <v>56</v>
      </c>
      <c r="G485" t="s">
        <v>133</v>
      </c>
      <c r="I485" s="8"/>
      <c r="K485" t="s">
        <v>61</v>
      </c>
      <c r="L485" t="s">
        <v>42</v>
      </c>
      <c r="N485">
        <v>0</v>
      </c>
      <c r="O485">
        <v>0</v>
      </c>
      <c r="P485" s="5">
        <v>0</v>
      </c>
      <c r="Q485" s="5">
        <v>0</v>
      </c>
      <c r="R485" s="5">
        <v>0</v>
      </c>
      <c r="S485" s="5"/>
      <c r="T485" s="5">
        <v>0</v>
      </c>
      <c r="U485">
        <v>0</v>
      </c>
      <c r="V485">
        <v>0</v>
      </c>
      <c r="X485">
        <v>0</v>
      </c>
      <c r="Y485">
        <v>0</v>
      </c>
      <c r="Z485">
        <v>15000</v>
      </c>
      <c r="AD485" t="s">
        <v>88</v>
      </c>
      <c r="AE485" t="s">
        <v>46</v>
      </c>
      <c r="AF485" s="5">
        <f t="shared" si="32"/>
        <v>0</v>
      </c>
      <c r="AG485">
        <f t="shared" si="30"/>
        <v>15000</v>
      </c>
      <c r="AH485" s="5">
        <f t="shared" si="31"/>
        <v>15000</v>
      </c>
    </row>
    <row r="486" spans="1:34" x14ac:dyDescent="0.3">
      <c r="A486" t="s">
        <v>55</v>
      </c>
      <c r="B486" t="s">
        <v>772</v>
      </c>
      <c r="C486" t="s">
        <v>56</v>
      </c>
      <c r="G486" t="s">
        <v>133</v>
      </c>
      <c r="I486" s="8"/>
      <c r="K486" t="s">
        <v>61</v>
      </c>
      <c r="L486" t="s">
        <v>42</v>
      </c>
      <c r="N486">
        <v>0</v>
      </c>
      <c r="O486">
        <v>0</v>
      </c>
      <c r="P486" s="5">
        <v>0</v>
      </c>
      <c r="Q486" s="5">
        <v>0</v>
      </c>
      <c r="R486" s="5">
        <v>0</v>
      </c>
      <c r="S486" s="5"/>
      <c r="T486" s="5">
        <v>0</v>
      </c>
      <c r="U486">
        <v>0</v>
      </c>
      <c r="V486">
        <v>0</v>
      </c>
      <c r="X486">
        <v>0</v>
      </c>
      <c r="Y486">
        <v>0</v>
      </c>
      <c r="Z486">
        <v>15000</v>
      </c>
      <c r="AD486" t="s">
        <v>88</v>
      </c>
      <c r="AE486" t="s">
        <v>46</v>
      </c>
      <c r="AF486" s="5">
        <f t="shared" si="32"/>
        <v>0</v>
      </c>
      <c r="AG486">
        <f t="shared" si="30"/>
        <v>15000</v>
      </c>
      <c r="AH486" s="5">
        <f t="shared" si="31"/>
        <v>15000</v>
      </c>
    </row>
    <row r="487" spans="1:34" x14ac:dyDescent="0.3">
      <c r="A487" t="s">
        <v>55</v>
      </c>
      <c r="B487" t="s">
        <v>772</v>
      </c>
      <c r="C487" t="s">
        <v>56</v>
      </c>
      <c r="G487" t="s">
        <v>139</v>
      </c>
      <c r="K487" t="s">
        <v>61</v>
      </c>
      <c r="L487" t="s">
        <v>42</v>
      </c>
      <c r="N487" s="5">
        <f t="shared" ref="N487:N509" si="34">O487+P487+Q487+R487-T487</f>
        <v>0</v>
      </c>
      <c r="O487">
        <v>0</v>
      </c>
      <c r="P487" s="5">
        <v>0</v>
      </c>
      <c r="Q487" s="5">
        <v>0</v>
      </c>
      <c r="R487" s="5">
        <v>0</v>
      </c>
      <c r="S487" s="5"/>
      <c r="T487" s="5">
        <v>0</v>
      </c>
      <c r="U487">
        <v>0</v>
      </c>
      <c r="V487">
        <v>0</v>
      </c>
      <c r="X487">
        <v>0</v>
      </c>
      <c r="Y487">
        <v>0</v>
      </c>
      <c r="Z487">
        <v>13000</v>
      </c>
      <c r="AD487" t="s">
        <v>65</v>
      </c>
      <c r="AE487" t="s">
        <v>46</v>
      </c>
      <c r="AF487" s="5">
        <f t="shared" si="32"/>
        <v>0</v>
      </c>
      <c r="AG487">
        <f t="shared" si="30"/>
        <v>13000</v>
      </c>
      <c r="AH487" s="5">
        <f t="shared" si="31"/>
        <v>13000</v>
      </c>
    </row>
    <row r="488" spans="1:34" x14ac:dyDescent="0.3">
      <c r="A488" t="s">
        <v>55</v>
      </c>
      <c r="B488" t="s">
        <v>772</v>
      </c>
      <c r="C488" t="s">
        <v>56</v>
      </c>
      <c r="G488" t="s">
        <v>139</v>
      </c>
      <c r="H488" t="s">
        <v>40</v>
      </c>
      <c r="K488" t="s">
        <v>61</v>
      </c>
      <c r="L488" t="s">
        <v>42</v>
      </c>
      <c r="N488" s="5">
        <f t="shared" si="34"/>
        <v>0</v>
      </c>
      <c r="O488">
        <v>0</v>
      </c>
      <c r="P488" s="5">
        <v>0</v>
      </c>
      <c r="Q488" s="5">
        <v>0</v>
      </c>
      <c r="R488" s="5">
        <v>0</v>
      </c>
      <c r="S488" s="5"/>
      <c r="T488" s="5">
        <v>0</v>
      </c>
      <c r="U488">
        <v>0</v>
      </c>
      <c r="V488">
        <v>0</v>
      </c>
      <c r="X488">
        <v>0</v>
      </c>
      <c r="Y488">
        <v>0</v>
      </c>
      <c r="Z488">
        <v>36000</v>
      </c>
      <c r="AD488" t="s">
        <v>65</v>
      </c>
      <c r="AE488" t="s">
        <v>46</v>
      </c>
      <c r="AF488" s="5">
        <f t="shared" si="32"/>
        <v>0</v>
      </c>
      <c r="AG488">
        <f t="shared" si="30"/>
        <v>36000</v>
      </c>
      <c r="AH488" s="5">
        <f t="shared" si="31"/>
        <v>36000</v>
      </c>
    </row>
    <row r="489" spans="1:34" x14ac:dyDescent="0.3">
      <c r="A489" t="s">
        <v>55</v>
      </c>
      <c r="B489" t="s">
        <v>772</v>
      </c>
      <c r="C489" t="s">
        <v>56</v>
      </c>
      <c r="G489" t="s">
        <v>139</v>
      </c>
      <c r="K489" t="s">
        <v>61</v>
      </c>
      <c r="L489" t="s">
        <v>42</v>
      </c>
      <c r="N489" s="5">
        <f t="shared" si="34"/>
        <v>0</v>
      </c>
      <c r="O489">
        <v>0</v>
      </c>
      <c r="P489" s="5">
        <v>0</v>
      </c>
      <c r="Q489" s="5">
        <v>0</v>
      </c>
      <c r="R489" s="5">
        <v>0</v>
      </c>
      <c r="S489" s="5"/>
      <c r="T489" s="5">
        <v>0</v>
      </c>
      <c r="U489">
        <v>0</v>
      </c>
      <c r="V489">
        <v>0</v>
      </c>
      <c r="X489">
        <v>0</v>
      </c>
      <c r="Y489">
        <v>0</v>
      </c>
      <c r="Z489">
        <v>13000</v>
      </c>
      <c r="AD489" t="s">
        <v>65</v>
      </c>
      <c r="AE489" t="s">
        <v>46</v>
      </c>
      <c r="AF489" s="5">
        <f t="shared" si="32"/>
        <v>0</v>
      </c>
      <c r="AG489">
        <f t="shared" si="30"/>
        <v>13000</v>
      </c>
      <c r="AH489" s="5">
        <f t="shared" si="31"/>
        <v>13000</v>
      </c>
    </row>
    <row r="490" spans="1:34" x14ac:dyDescent="0.3">
      <c r="A490" t="s">
        <v>55</v>
      </c>
      <c r="B490" t="s">
        <v>772</v>
      </c>
      <c r="C490" t="s">
        <v>56</v>
      </c>
      <c r="G490" s="9" t="s">
        <v>139</v>
      </c>
      <c r="K490" t="s">
        <v>61</v>
      </c>
      <c r="L490" t="s">
        <v>42</v>
      </c>
      <c r="N490" s="5">
        <f t="shared" si="34"/>
        <v>0</v>
      </c>
      <c r="O490">
        <v>0</v>
      </c>
      <c r="P490" s="5">
        <v>0</v>
      </c>
      <c r="Q490" s="5">
        <v>0</v>
      </c>
      <c r="R490" s="5">
        <v>0</v>
      </c>
      <c r="S490" s="5"/>
      <c r="T490" s="5">
        <v>0</v>
      </c>
      <c r="U490">
        <v>0</v>
      </c>
      <c r="V490">
        <v>0</v>
      </c>
      <c r="X490">
        <v>0</v>
      </c>
      <c r="Y490">
        <v>0</v>
      </c>
      <c r="Z490">
        <v>10000</v>
      </c>
      <c r="AD490" t="s">
        <v>65</v>
      </c>
      <c r="AE490" t="s">
        <v>46</v>
      </c>
      <c r="AF490" s="5">
        <f t="shared" si="32"/>
        <v>0</v>
      </c>
      <c r="AG490">
        <f t="shared" si="30"/>
        <v>10000</v>
      </c>
      <c r="AH490" s="5">
        <f t="shared" si="31"/>
        <v>10000</v>
      </c>
    </row>
    <row r="491" spans="1:34" x14ac:dyDescent="0.3">
      <c r="A491" t="s">
        <v>55</v>
      </c>
      <c r="B491" t="s">
        <v>772</v>
      </c>
      <c r="C491" t="s">
        <v>56</v>
      </c>
      <c r="G491" s="9" t="s">
        <v>139</v>
      </c>
      <c r="K491" t="s">
        <v>61</v>
      </c>
      <c r="L491" t="s">
        <v>42</v>
      </c>
      <c r="N491" s="5">
        <f t="shared" si="34"/>
        <v>0</v>
      </c>
      <c r="O491">
        <v>0</v>
      </c>
      <c r="P491" s="5">
        <v>0</v>
      </c>
      <c r="Q491" s="5">
        <v>0</v>
      </c>
      <c r="R491" s="5">
        <v>0</v>
      </c>
      <c r="S491" s="5"/>
      <c r="T491" s="5">
        <v>0</v>
      </c>
      <c r="U491">
        <v>0</v>
      </c>
      <c r="V491">
        <v>0</v>
      </c>
      <c r="X491">
        <v>0</v>
      </c>
      <c r="Y491">
        <v>0</v>
      </c>
      <c r="Z491">
        <v>12000</v>
      </c>
      <c r="AD491" t="s">
        <v>65</v>
      </c>
      <c r="AE491" t="s">
        <v>46</v>
      </c>
      <c r="AF491" s="5">
        <f t="shared" si="32"/>
        <v>0</v>
      </c>
      <c r="AG491">
        <f t="shared" si="30"/>
        <v>12000</v>
      </c>
      <c r="AH491" s="5">
        <f t="shared" si="31"/>
        <v>12000</v>
      </c>
    </row>
    <row r="496" spans="1:34" x14ac:dyDescent="0.3">
      <c r="AG496" s="5"/>
    </row>
  </sheetData>
  <autoFilter ref="A2:AJ491" xr:uid="{00000000-0001-0000-0000-000000000000}"/>
  <conditionalFormatting sqref="E3:E460">
    <cfRule type="duplicateValues" dxfId="0" priority="1"/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funcionarios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Maria Karoline Campelo de Souza</dc:creator>
  <cp:lastModifiedBy>Maria Karoline Campelo de Souza</cp:lastModifiedBy>
  <dcterms:created xsi:type="dcterms:W3CDTF">2026-07-13T17:46:42Z</dcterms:created>
  <dcterms:modified xsi:type="dcterms:W3CDTF">2026-07-13T17:47:03Z</dcterms:modified>
</cp:coreProperties>
</file>