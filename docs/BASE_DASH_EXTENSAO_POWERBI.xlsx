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45" windowWidth="29040" windowHeight="15720" tabRatio="600" firstSheet="0" activeTab="0" autoFilterDateGrouping="1"/>
  </bookViews>
  <sheets>
    <sheet xmlns:r="http://schemas.openxmlformats.org/officeDocument/2006/relationships" name="BASE_DASH_EXTENSAO" sheetId="1" state="visible" r:id="rId1"/>
    <sheet xmlns:r="http://schemas.openxmlformats.org/officeDocument/2006/relationships" name="EAP_PRODUCAO" sheetId="2" state="visible" r:id="rId2"/>
  </sheets>
  <definedNames>
    <definedName name="_xlnm._FilterDatabase" localSheetId="0" hidden="1">'BASE_DASH_EXTENSAO'!$A$1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0000"/>
      <sz val="11"/>
      <scheme val="minor"/>
    </font>
    <font>
      <name val="Segoe UI"/>
      <family val="2"/>
      <color indexed="8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22"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b val="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tc={429CB96A-1805-453F-B69D-EC0F1A12A00B}</author>
    <author>tc={201ADE89-8424-4DD4-992A-B9E2A82C0E0F}</author>
  </authors>
  <commentList>
    <comment ref="F69" authorId="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Rever estensão em hdd que parece ser 1882,03
</t>
      </text>
    </comment>
    <comment ref="F133" authorId="1" shapeId="0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Conferir com o shape</t>
      </text>
    </comment>
  </commentList>
</comments>
</file>

<file path=xl/tables/table1.xml><?xml version="1.0" encoding="utf-8"?>
<table xmlns="http://schemas.openxmlformats.org/spreadsheetml/2006/main" id="1" name="tb_base_dash_extensao" displayName="tb_base_dash_extensao" ref="B1:AF218" headerRowCount="1">
  <autoFilter ref="B1:AF218"/>
  <sortState ref="B2:AF218">
    <sortCondition ref="C1:C218"/>
  </sortState>
  <tableColumns count="31">
    <tableColumn id="1" name="Obra"/>
    <tableColumn id="2" name="Bloco"/>
    <tableColumn id="3" name="Tipo_Extensao"/>
    <tableColumn id="4" name="Extensao_Planejada_m"/>
    <tableColumn id="5" name="Extensao_Executada_m" dataDxfId="21"/>
    <tableColumn id="6" name="PV"/>
    <tableColumn id="7" name="Profundidade_PV_m"/>
    <tableColumn id="8" name="Economias prevista"/>
    <tableColumn id="9" name="Economias Recebidas"/>
    <tableColumn id="10" name="produção março 2025"/>
    <tableColumn id="11" name="produção Abril 2025" dataDxfId="20"/>
    <tableColumn id="12" name="produção Maio 2025" dataDxfId="19"/>
    <tableColumn id="13" name="produção Junho 2025" dataDxfId="18"/>
    <tableColumn id="14" name="produção Julho 2025" dataDxfId="17"/>
    <tableColumn id="15" name="produção Agosto 2025" dataDxfId="16"/>
    <tableColumn id="16" name="produção Setembro 2025" dataDxfId="15"/>
    <tableColumn id="17" name="produção Outubro 2025" dataDxfId="14"/>
    <tableColumn id="18" name="produção Novembro 2025" dataDxfId="13"/>
    <tableColumn id="19" name="produção Dezembro 2025" dataDxfId="12"/>
    <tableColumn id="20" name="produção Janeiro 2026" dataDxfId="11"/>
    <tableColumn id="21" name="produção Fevereiro 2026" dataDxfId="10"/>
    <tableColumn id="22" name="produção Março 2026" dataDxfId="9"/>
    <tableColumn id="23" name="produção Abril 2026" dataDxfId="8"/>
    <tableColumn id="24" name="produção Maio 2026" dataDxfId="7"/>
    <tableColumn id="25" name="produção Junho 2026" dataDxfId="6"/>
    <tableColumn id="26" name="produção Julho 2026" dataDxfId="5"/>
    <tableColumn id="27" name="produção Agosto 2026" dataDxfId="4"/>
    <tableColumn id="28" name="produção Setembro 2026" dataDxfId="3"/>
    <tableColumn id="29" name="produção Outubro 2026" dataDxfId="2"/>
    <tableColumn id="30" name="produção Novembro 2026" dataDxfId="1"/>
    <tableColumn id="31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18"/>
  <sheetViews>
    <sheetView tabSelected="1" zoomScale="70" zoomScaleNormal="70" workbookViewId="0">
      <pane ySplit="1" topLeftCell="A74" activePane="bottomLeft" state="frozen"/>
      <selection pane="bottomLeft" activeCell="I189" sqref="I189"/>
    </sheetView>
  </sheetViews>
  <sheetFormatPr baseColWidth="8" defaultRowHeight="14.4"/>
  <cols>
    <col width="15" bestFit="1" customWidth="1" min="1" max="1"/>
    <col width="48.33203125" customWidth="1" min="2" max="2"/>
    <col width="15" customWidth="1" min="3" max="3"/>
    <col width="18" customWidth="1" min="4" max="4"/>
    <col width="22" customWidth="1" min="5" max="5"/>
    <col width="22" customWidth="1" style="5" min="6" max="6"/>
    <col width="8" customWidth="1" min="7" max="7"/>
    <col width="8.88671875" customWidth="1" min="8" max="8"/>
    <col width="26.5546875" customWidth="1" min="9" max="9"/>
    <col width="10.44140625" customWidth="1" min="10" max="10"/>
    <col width="7.6640625" customWidth="1" min="11" max="12"/>
    <col width="14" customWidth="1" min="13" max="13"/>
    <col width="7.6640625" customWidth="1" min="14" max="15"/>
    <col width="14.5546875" customWidth="1" min="16" max="16"/>
    <col width="7.6640625" customWidth="1" min="17" max="32"/>
    <col width="14.5546875" bestFit="1" customWidth="1" min="33" max="33"/>
  </cols>
  <sheetData>
    <row r="1">
      <c r="A1" t="inlineStr">
        <is>
          <t>Data</t>
        </is>
      </c>
      <c r="B1" t="inlineStr">
        <is>
          <t>Obra</t>
        </is>
      </c>
      <c r="C1" t="inlineStr">
        <is>
          <t>Bloco</t>
        </is>
      </c>
      <c r="D1" t="inlineStr">
        <is>
          <t>Tipo_Extensao</t>
        </is>
      </c>
      <c r="E1" t="inlineStr">
        <is>
          <t>Extensao_Planejada_m</t>
        </is>
      </c>
      <c r="F1" s="5" t="inlineStr">
        <is>
          <t>Extensao_Executada_m</t>
        </is>
      </c>
      <c r="G1" t="inlineStr">
        <is>
          <t>PV</t>
        </is>
      </c>
      <c r="H1" t="inlineStr">
        <is>
          <t>Profundidade_PV_m</t>
        </is>
      </c>
      <c r="I1" t="inlineStr">
        <is>
          <t>Economias prevista</t>
        </is>
      </c>
      <c r="J1" t="inlineStr">
        <is>
          <t>Economias Recebidas</t>
        </is>
      </c>
      <c r="K1" t="inlineStr">
        <is>
          <t>produção março 2025</t>
        </is>
      </c>
      <c r="L1" t="inlineStr">
        <is>
          <t>produção Abril 2025</t>
        </is>
      </c>
      <c r="M1" t="inlineStr">
        <is>
          <t>produção Maio 2025</t>
        </is>
      </c>
      <c r="N1" t="inlineStr">
        <is>
          <t>produção Junho 2025</t>
        </is>
      </c>
      <c r="O1" t="inlineStr">
        <is>
          <t>produção Julho 2025</t>
        </is>
      </c>
      <c r="P1" t="inlineStr">
        <is>
          <t>produção Agosto 2025</t>
        </is>
      </c>
      <c r="Q1" t="inlineStr">
        <is>
          <t>produção Setembro 2025</t>
        </is>
      </c>
      <c r="R1" t="inlineStr">
        <is>
          <t>produção Outubro 2025</t>
        </is>
      </c>
      <c r="S1" t="inlineStr">
        <is>
          <t>produção Novembro 2025</t>
        </is>
      </c>
      <c r="T1" t="inlineStr">
        <is>
          <t>produção Dezembro 2025</t>
        </is>
      </c>
      <c r="U1" t="inlineStr">
        <is>
          <t>produção Janeiro 2026</t>
        </is>
      </c>
      <c r="V1" t="inlineStr">
        <is>
          <t>produção Fevereiro 2026</t>
        </is>
      </c>
      <c r="W1" t="inlineStr">
        <is>
          <t>produção Março 2026</t>
        </is>
      </c>
      <c r="X1" t="inlineStr">
        <is>
          <t>produção Abril 2026</t>
        </is>
      </c>
      <c r="Y1" t="inlineStr">
        <is>
          <t>produção Maio 2026</t>
        </is>
      </c>
      <c r="Z1" t="inlineStr">
        <is>
          <t>produção Junho 2026</t>
        </is>
      </c>
      <c r="AA1" t="inlineStr">
        <is>
          <t>produção Julho 2026</t>
        </is>
      </c>
      <c r="AB1" t="inlineStr">
        <is>
          <t>produção Agosto 2026</t>
        </is>
      </c>
      <c r="AC1" t="inlineStr">
        <is>
          <t>produção Setembro 2026</t>
        </is>
      </c>
      <c r="AD1" t="inlineStr">
        <is>
          <t>produção Outubro 2026</t>
        </is>
      </c>
      <c r="AE1" t="inlineStr">
        <is>
          <t>produção Novembro 2026</t>
        </is>
      </c>
      <c r="AF1" t="inlineStr">
        <is>
          <t>produção Dezembro 2026</t>
        </is>
      </c>
      <c r="AG1" t="inlineStr">
        <is>
          <t>Status</t>
        </is>
      </c>
    </row>
    <row r="2">
      <c r="B2" s="5" t="inlineStr">
        <is>
          <t>CTS DOMINGOS JOÃO DE CARVALHO</t>
        </is>
      </c>
      <c r="C2" t="n">
        <v>1</v>
      </c>
      <c r="D2" t="inlineStr">
        <is>
          <t>HDD</t>
        </is>
      </c>
      <c r="E2" t="n">
        <v>156.3</v>
      </c>
      <c r="F2" s="5" t="n">
        <v>150.45</v>
      </c>
      <c r="G2" t="n">
        <v>10</v>
      </c>
      <c r="L2" s="6" t="n"/>
      <c r="M2" s="8" t="n">
        <v>150.45</v>
      </c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t="inlineStr">
        <is>
          <t>concluido</t>
        </is>
      </c>
    </row>
    <row r="3">
      <c r="B3" s="5" t="inlineStr">
        <is>
          <t>CTS DOMINGOS JOÃO DE CARVALHO</t>
        </is>
      </c>
      <c r="C3" t="n">
        <v>1</v>
      </c>
      <c r="D3" t="inlineStr">
        <is>
          <t>VCA</t>
        </is>
      </c>
      <c r="E3" t="n">
        <v>37.4</v>
      </c>
      <c r="F3" s="5" t="n">
        <v>27</v>
      </c>
      <c r="L3" s="6" t="n"/>
      <c r="M3" s="8" t="n">
        <v>27</v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t="inlineStr">
        <is>
          <t>concluido</t>
        </is>
      </c>
    </row>
    <row r="4">
      <c r="B4" s="5" t="inlineStr">
        <is>
          <t>CTS DOMINGOS JOÃO DE CARVALHO</t>
        </is>
      </c>
      <c r="C4" t="n">
        <v>2</v>
      </c>
      <c r="D4" t="inlineStr">
        <is>
          <t>HDD</t>
        </is>
      </c>
      <c r="F4" s="5" t="n">
        <v>59.64</v>
      </c>
      <c r="G4" t="n">
        <v>1</v>
      </c>
      <c r="L4" s="6" t="n"/>
      <c r="M4" s="8" t="n">
        <v>47.94</v>
      </c>
      <c r="N4" s="8" t="n">
        <v>11.7</v>
      </c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t="inlineStr">
        <is>
          <t>concluido</t>
        </is>
      </c>
    </row>
    <row r="5">
      <c r="B5" s="5" t="inlineStr">
        <is>
          <t>CTS DOMINGOS JOÃO DE CARVALHO</t>
        </is>
      </c>
      <c r="C5" t="n">
        <v>2</v>
      </c>
      <c r="D5" t="inlineStr">
        <is>
          <t>VCA</t>
        </is>
      </c>
      <c r="E5" t="n">
        <v>108.9</v>
      </c>
      <c r="F5" s="5" t="n">
        <v>47.5</v>
      </c>
      <c r="L5" s="8" t="n">
        <v>47.5</v>
      </c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t="inlineStr">
        <is>
          <t>concluido</t>
        </is>
      </c>
    </row>
    <row r="6">
      <c r="B6" s="5" t="inlineStr">
        <is>
          <t>CTS DOMINGOS JOÃO DE CARVALHO</t>
        </is>
      </c>
      <c r="C6" t="n">
        <v>3</v>
      </c>
      <c r="D6" t="inlineStr">
        <is>
          <t>HDD</t>
        </is>
      </c>
      <c r="F6" s="5" t="n">
        <v>105.6</v>
      </c>
      <c r="G6" t="n">
        <v>1</v>
      </c>
      <c r="L6" s="6" t="n"/>
      <c r="M6" s="8" t="n">
        <v>105.6</v>
      </c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t="inlineStr">
        <is>
          <t>concluido</t>
        </is>
      </c>
    </row>
    <row r="7">
      <c r="B7" s="5" t="inlineStr">
        <is>
          <t>CTS DOMINGOS JOÃO DE CARVALHO</t>
        </is>
      </c>
      <c r="C7" t="n">
        <v>3</v>
      </c>
      <c r="D7" t="inlineStr">
        <is>
          <t>VCA</t>
        </is>
      </c>
      <c r="E7" t="n">
        <v>112.7</v>
      </c>
      <c r="F7" s="5" t="n">
        <v>2.3</v>
      </c>
      <c r="L7" s="6" t="n"/>
      <c r="M7" s="6" t="n"/>
      <c r="N7" s="8" t="n">
        <v>2.3</v>
      </c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t="inlineStr">
        <is>
          <t>concluido</t>
        </is>
      </c>
    </row>
    <row r="8">
      <c r="B8" s="5" t="inlineStr">
        <is>
          <t>CTS DOMINGOS JOÃO DE CARVALHO</t>
        </is>
      </c>
      <c r="C8" t="n">
        <v>4</v>
      </c>
      <c r="D8" t="inlineStr">
        <is>
          <t>HDD</t>
        </is>
      </c>
      <c r="E8" t="n">
        <v>109.9</v>
      </c>
      <c r="F8" s="5" t="n">
        <v>131.43</v>
      </c>
      <c r="G8" t="n">
        <v>2</v>
      </c>
      <c r="L8" s="6" t="n"/>
      <c r="M8" s="8" t="n">
        <v>66.83</v>
      </c>
      <c r="N8" s="8" t="n">
        <v>64.59999999999999</v>
      </c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t="inlineStr">
        <is>
          <t>concluido</t>
        </is>
      </c>
    </row>
    <row r="9">
      <c r="B9" s="5" t="inlineStr">
        <is>
          <t>CTS DOMINGOS JOÃO DE CARVALHO</t>
        </is>
      </c>
      <c r="C9" t="n">
        <v>4</v>
      </c>
      <c r="D9" t="inlineStr">
        <is>
          <t>VCA</t>
        </is>
      </c>
      <c r="E9" t="n">
        <v>18.8</v>
      </c>
      <c r="I9" t="n">
        <v>2305</v>
      </c>
      <c r="J9" t="n">
        <v>2706</v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t="inlineStr">
        <is>
          <t>concluido</t>
        </is>
      </c>
    </row>
    <row r="10">
      <c r="B10" s="5" t="inlineStr">
        <is>
          <t xml:space="preserve">CTS JD. MIRIAM </t>
        </is>
      </c>
      <c r="C10" t="n">
        <v>5</v>
      </c>
      <c r="D10" t="inlineStr">
        <is>
          <t>HDD</t>
        </is>
      </c>
      <c r="E10" t="n">
        <v>0</v>
      </c>
      <c r="F10" s="5" t="n">
        <v>523.655</v>
      </c>
      <c r="G10" t="n">
        <v>47</v>
      </c>
      <c r="H10" t="n">
        <v>136.19</v>
      </c>
      <c r="I10" t="n">
        <v>797</v>
      </c>
      <c r="J10" t="n">
        <v>599</v>
      </c>
      <c r="L10" s="6" t="n"/>
      <c r="M10" s="6" t="n"/>
      <c r="N10" s="8" t="n">
        <v>217.93</v>
      </c>
      <c r="O10" s="8" t="n">
        <v>305.725</v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t="inlineStr">
        <is>
          <t>concluido</t>
        </is>
      </c>
    </row>
    <row r="11">
      <c r="B11" s="5" t="inlineStr">
        <is>
          <t xml:space="preserve">CTS JD. MIRIAM </t>
        </is>
      </c>
      <c r="C11" t="n">
        <v>5</v>
      </c>
      <c r="D11" t="inlineStr">
        <is>
          <t>VCA</t>
        </is>
      </c>
      <c r="E11" t="n">
        <v>469.7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t="inlineStr">
        <is>
          <t>concluido</t>
        </is>
      </c>
    </row>
    <row r="12">
      <c r="B12" s="5" t="inlineStr">
        <is>
          <t xml:space="preserve">CTS JD. MIRIAM </t>
        </is>
      </c>
      <c r="C12" t="n">
        <v>6</v>
      </c>
      <c r="D12" t="inlineStr">
        <is>
          <t>HDD</t>
        </is>
      </c>
      <c r="E12" t="n">
        <v>124.2</v>
      </c>
      <c r="F12" s="5" t="n">
        <v>342.71</v>
      </c>
      <c r="I12" t="n">
        <v>91</v>
      </c>
      <c r="J12" t="n">
        <v>595</v>
      </c>
      <c r="L12" s="6" t="n"/>
      <c r="M12" s="6" t="n"/>
      <c r="N12" s="6" t="n"/>
      <c r="O12" s="8" t="n">
        <v>134.105</v>
      </c>
      <c r="P12" s="8" t="n">
        <v>208.605</v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t="inlineStr">
        <is>
          <t>concluido</t>
        </is>
      </c>
    </row>
    <row r="13">
      <c r="B13" s="5" t="inlineStr">
        <is>
          <t xml:space="preserve">CTS JD. MIRIAM </t>
        </is>
      </c>
      <c r="C13" t="n">
        <v>6</v>
      </c>
      <c r="D13" t="inlineStr">
        <is>
          <t>VCA</t>
        </is>
      </c>
      <c r="E13" t="n">
        <v>83</v>
      </c>
      <c r="F13" s="5" t="n">
        <v>0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t="inlineStr">
        <is>
          <t>concluido</t>
        </is>
      </c>
    </row>
    <row r="14">
      <c r="B14" s="5" t="inlineStr">
        <is>
          <t xml:space="preserve">CTS JD. MIRIAM </t>
        </is>
      </c>
      <c r="C14" t="n">
        <v>7</v>
      </c>
      <c r="D14" t="inlineStr">
        <is>
          <t>HDD</t>
        </is>
      </c>
      <c r="E14" t="n">
        <v>240.7</v>
      </c>
      <c r="F14" s="5">
        <f>tb_base_dash_extensao[[#This Row],[produção Agosto 2025]]</f>
        <v/>
      </c>
      <c r="I14" t="n">
        <v>589</v>
      </c>
      <c r="J14" t="n">
        <v>109</v>
      </c>
      <c r="L14" s="6" t="n"/>
      <c r="M14" s="6" t="n"/>
      <c r="N14" s="6" t="n"/>
      <c r="O14" s="6" t="n"/>
      <c r="P14" s="8">
        <f>231.85-72.375</f>
        <v/>
      </c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t="inlineStr">
        <is>
          <t>concluido</t>
        </is>
      </c>
    </row>
    <row r="15">
      <c r="B15" s="5" t="inlineStr">
        <is>
          <t xml:space="preserve">CTS JD. MIRIAM </t>
        </is>
      </c>
      <c r="C15" t="n">
        <v>7</v>
      </c>
      <c r="D15" t="inlineStr">
        <is>
          <t>VCA</t>
        </is>
      </c>
      <c r="E15" t="n">
        <v>118.5</v>
      </c>
      <c r="F15" s="5" t="n">
        <v>4.06</v>
      </c>
      <c r="L15" s="6" t="n"/>
      <c r="M15" s="6" t="n"/>
      <c r="N15" s="6" t="n"/>
      <c r="O15" s="6" t="n"/>
      <c r="P15" s="8" t="n">
        <v>4.06</v>
      </c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t="inlineStr">
        <is>
          <t>concluido</t>
        </is>
      </c>
    </row>
    <row r="16">
      <c r="B16" s="5" t="inlineStr">
        <is>
          <t xml:space="preserve">CTS JD. MIRIAM </t>
        </is>
      </c>
      <c r="C16" t="n">
        <v>8</v>
      </c>
      <c r="D16" t="inlineStr">
        <is>
          <t>HDD</t>
        </is>
      </c>
      <c r="E16" t="n">
        <v>0</v>
      </c>
      <c r="F16" s="5">
        <f>tb_base_dash_extensao[[#This Row],[produção Agosto 2025]]+tb_base_dash_extensao[[#This Row],[produção Setembro 2025]]</f>
        <v/>
      </c>
      <c r="I16" t="n">
        <v>614</v>
      </c>
      <c r="J16" t="n">
        <v>3229</v>
      </c>
      <c r="L16" s="6" t="n"/>
      <c r="M16" s="6" t="n"/>
      <c r="N16" s="6" t="n"/>
      <c r="O16" s="6" t="n"/>
      <c r="P16" s="8">
        <f>132.27-72.375</f>
        <v/>
      </c>
      <c r="Q16" s="8" t="n">
        <v>235.44</v>
      </c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t="inlineStr">
        <is>
          <t>concluido</t>
        </is>
      </c>
    </row>
    <row r="17">
      <c r="B17" s="5" t="inlineStr">
        <is>
          <t xml:space="preserve">CTS JD. MIRIAM </t>
        </is>
      </c>
      <c r="C17" t="n">
        <v>8</v>
      </c>
      <c r="D17" t="inlineStr">
        <is>
          <t>VCA</t>
        </is>
      </c>
      <c r="E17" t="n">
        <v>232.1</v>
      </c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t="inlineStr">
        <is>
          <t>concluido</t>
        </is>
      </c>
    </row>
    <row r="18">
      <c r="B18" s="5" t="inlineStr">
        <is>
          <t xml:space="preserve">CTS JD. MIRIAM </t>
        </is>
      </c>
      <c r="C18" t="n">
        <v>9</v>
      </c>
      <c r="D18" t="inlineStr">
        <is>
          <t>HDD</t>
        </is>
      </c>
      <c r="E18" t="n">
        <v>70.5</v>
      </c>
      <c r="F18" s="5" t="n">
        <v>253.94</v>
      </c>
      <c r="I18" t="n">
        <v>2964</v>
      </c>
      <c r="J18" t="n">
        <v>42</v>
      </c>
      <c r="L18" s="6" t="n"/>
      <c r="M18" s="6" t="n"/>
      <c r="N18" s="6" t="n"/>
      <c r="O18" s="6" t="n"/>
      <c r="P18" s="6" t="n"/>
      <c r="Q18" s="6" t="n">
        <v>253.94</v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t="inlineStr">
        <is>
          <t>concluido</t>
        </is>
      </c>
    </row>
    <row r="19">
      <c r="B19" s="5" t="inlineStr">
        <is>
          <t xml:space="preserve">CTS JD. MIRIAM </t>
        </is>
      </c>
      <c r="C19" t="n">
        <v>9</v>
      </c>
      <c r="D19" t="inlineStr">
        <is>
          <t>VCA</t>
        </is>
      </c>
      <c r="E19" t="n">
        <v>754</v>
      </c>
      <c r="F19" s="5">
        <f>tb_base_dash_extensao[[#This Row],[produção Agosto 2025]]+tb_base_dash_extensao[[#This Row],[produção Setembro 2025]]+tb_base_dash_extensao[[#This Row],[produção Dezembro 2025]]</f>
        <v/>
      </c>
      <c r="L19" s="6" t="n"/>
      <c r="M19" s="6" t="n"/>
      <c r="N19" s="6" t="n"/>
      <c r="O19" s="6" t="n"/>
      <c r="P19" s="6">
        <f>242.97-72.375</f>
        <v/>
      </c>
      <c r="Q19" s="6" t="n">
        <v>148.49</v>
      </c>
      <c r="R19" s="6" t="n"/>
      <c r="S19" s="6" t="n"/>
      <c r="T19" s="6" t="n">
        <v>54</v>
      </c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t="inlineStr">
        <is>
          <t>concluido</t>
        </is>
      </c>
    </row>
    <row r="20">
      <c r="B20" s="5" t="inlineStr">
        <is>
          <t>CTS DOROTÉIA</t>
        </is>
      </c>
      <c r="C20" t="n">
        <v>10</v>
      </c>
      <c r="D20" t="inlineStr">
        <is>
          <t>HDD</t>
        </is>
      </c>
      <c r="E20" t="n">
        <v>0</v>
      </c>
      <c r="F20" s="5" t="n">
        <v>192.04</v>
      </c>
      <c r="G20" t="n">
        <v>8</v>
      </c>
      <c r="H20" t="n">
        <v>26.74</v>
      </c>
      <c r="I20" t="n">
        <v>322</v>
      </c>
      <c r="J20" t="n">
        <v>661</v>
      </c>
      <c r="L20" s="6" t="n"/>
      <c r="M20" s="6" t="n"/>
      <c r="N20" s="6" t="n"/>
      <c r="O20" s="6" t="n"/>
      <c r="P20" s="6" t="n"/>
      <c r="Q20" s="6" t="n"/>
      <c r="R20" s="6" t="n">
        <v>192.04</v>
      </c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t="inlineStr">
        <is>
          <t>concluido</t>
        </is>
      </c>
    </row>
    <row r="21">
      <c r="B21" s="5" t="inlineStr">
        <is>
          <t>CTS DOROTÉIA</t>
        </is>
      </c>
      <c r="C21" t="n">
        <v>10</v>
      </c>
      <c r="D21" t="inlineStr">
        <is>
          <t>VCA</t>
        </is>
      </c>
      <c r="E21" t="n">
        <v>44.2</v>
      </c>
      <c r="F21" s="5" t="n">
        <v>19.91</v>
      </c>
      <c r="L21" s="6" t="n"/>
      <c r="M21" s="6" t="n"/>
      <c r="N21" s="6" t="n"/>
      <c r="O21" s="6" t="n"/>
      <c r="P21" s="6" t="n"/>
      <c r="Q21" s="6" t="n"/>
      <c r="R21" s="6" t="n">
        <v>19.91</v>
      </c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t="inlineStr">
        <is>
          <t>concluido</t>
        </is>
      </c>
    </row>
    <row r="22">
      <c r="B22" s="5" t="inlineStr">
        <is>
          <t>CTS DOROTÉIA</t>
        </is>
      </c>
      <c r="C22" t="n">
        <v>11</v>
      </c>
      <c r="D22" t="inlineStr">
        <is>
          <t>HDD</t>
        </is>
      </c>
      <c r="E22" t="n">
        <v>291.8</v>
      </c>
      <c r="F22" s="5" t="n">
        <v>259.3</v>
      </c>
      <c r="I22" t="n">
        <v>723</v>
      </c>
      <c r="J22" t="n">
        <v>270</v>
      </c>
      <c r="L22" s="6" t="n"/>
      <c r="M22" s="6" t="n"/>
      <c r="N22" s="6" t="n"/>
      <c r="O22" s="6" t="n"/>
      <c r="P22" s="6" t="n"/>
      <c r="Q22" s="6" t="n"/>
      <c r="R22" s="6" t="n">
        <v>259.3</v>
      </c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t="inlineStr">
        <is>
          <t>concluido</t>
        </is>
      </c>
    </row>
    <row r="23">
      <c r="B23" s="5" t="inlineStr">
        <is>
          <t>CTS DOROTÉIA</t>
        </is>
      </c>
      <c r="C23" t="n">
        <v>11</v>
      </c>
      <c r="D23" t="inlineStr">
        <is>
          <t>VCA</t>
        </is>
      </c>
      <c r="E23" t="n">
        <v>208.6</v>
      </c>
      <c r="F23" s="5" t="n">
        <v>39.75</v>
      </c>
      <c r="L23" s="6" t="n"/>
      <c r="M23" s="6" t="n"/>
      <c r="N23" s="6" t="n"/>
      <c r="O23" s="6" t="n"/>
      <c r="P23" s="6" t="n"/>
      <c r="Q23" s="6" t="n"/>
      <c r="R23" s="6" t="n">
        <v>39.75</v>
      </c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t="inlineStr">
        <is>
          <t>concluido</t>
        </is>
      </c>
    </row>
    <row r="24">
      <c r="B24" t="inlineStr">
        <is>
          <t>REMANEJAMENTO ITI 15</t>
        </is>
      </c>
      <c r="C24" t="n">
        <v>12</v>
      </c>
      <c r="D24" t="inlineStr">
        <is>
          <t>HDD</t>
        </is>
      </c>
      <c r="E24" t="n">
        <v>457</v>
      </c>
      <c r="I24" t="n">
        <v>43</v>
      </c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t="inlineStr">
        <is>
          <t>em andamento</t>
        </is>
      </c>
    </row>
    <row r="25">
      <c r="B25" t="inlineStr">
        <is>
          <t>REMANEJAMENTO ITI 15</t>
        </is>
      </c>
      <c r="C25" t="n">
        <v>12</v>
      </c>
      <c r="D25" t="inlineStr">
        <is>
          <t>VCA</t>
        </is>
      </c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t="inlineStr">
        <is>
          <t>em andamento</t>
        </is>
      </c>
    </row>
    <row r="26">
      <c r="B26" t="inlineStr">
        <is>
          <t>RCE RUA PREFEITO TAKUNE KOIKE</t>
        </is>
      </c>
      <c r="C26" t="n">
        <v>12</v>
      </c>
      <c r="D26" t="inlineStr">
        <is>
          <t>HDD</t>
        </is>
      </c>
      <c r="E26" t="n">
        <v>137</v>
      </c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</row>
    <row r="27">
      <c r="B27" t="inlineStr">
        <is>
          <t>RCE RUA PREFEITO TAKUNE KOIKE</t>
        </is>
      </c>
      <c r="C27" t="n">
        <v>12</v>
      </c>
      <c r="D27" t="inlineStr">
        <is>
          <t>VCA</t>
        </is>
      </c>
      <c r="E27" t="n">
        <v>636</v>
      </c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</row>
    <row r="28">
      <c r="B28" t="inlineStr">
        <is>
          <t>RCE ESTRADA DOS BANDEIRANTES</t>
        </is>
      </c>
      <c r="C28" t="n">
        <v>12</v>
      </c>
      <c r="D28" t="inlineStr">
        <is>
          <t>HDD</t>
        </is>
      </c>
      <c r="E28" t="n">
        <v>20</v>
      </c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</row>
    <row r="29">
      <c r="B29" t="inlineStr">
        <is>
          <t>RCE ESTRADA DOS BANDEIRANTES</t>
        </is>
      </c>
      <c r="C29" t="n">
        <v>12</v>
      </c>
      <c r="D29" t="inlineStr">
        <is>
          <t>VCA</t>
        </is>
      </c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</row>
    <row r="30">
      <c r="B30" t="inlineStr">
        <is>
          <t>RCE RUA IGARAÇU</t>
        </is>
      </c>
      <c r="C30" t="n">
        <v>12</v>
      </c>
      <c r="D30" t="inlineStr">
        <is>
          <t>HDD</t>
        </is>
      </c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</row>
    <row r="31">
      <c r="B31" t="inlineStr">
        <is>
          <t>RCE RUA IGARAÇU</t>
        </is>
      </c>
      <c r="C31" t="n">
        <v>12</v>
      </c>
      <c r="D31" t="inlineStr">
        <is>
          <t>VCA</t>
        </is>
      </c>
      <c r="E31" t="n">
        <v>110</v>
      </c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</row>
    <row r="32">
      <c r="B32" t="inlineStr">
        <is>
          <t>RCE RUA AMÉRICO MACHADO - ELIS R</t>
        </is>
      </c>
      <c r="C32" t="n">
        <v>12</v>
      </c>
      <c r="D32" t="inlineStr">
        <is>
          <t>HDD</t>
        </is>
      </c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</row>
    <row r="33">
      <c r="B33" t="inlineStr">
        <is>
          <t>RCE RUA AMÉRICO MACHADO - ELIS R</t>
        </is>
      </c>
      <c r="C33" t="n">
        <v>12</v>
      </c>
      <c r="D33" t="inlineStr">
        <is>
          <t>VCA</t>
        </is>
      </c>
      <c r="E33" t="n">
        <v>55</v>
      </c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</row>
    <row r="34">
      <c r="B34" t="inlineStr">
        <is>
          <t xml:space="preserve">RCE RUA CARMEM COSTA </t>
        </is>
      </c>
      <c r="C34" t="n">
        <v>12</v>
      </c>
      <c r="D34" t="inlineStr">
        <is>
          <t>HDD</t>
        </is>
      </c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</row>
    <row r="35">
      <c r="B35" t="inlineStr">
        <is>
          <t xml:space="preserve">RCE RUA CARMEM COSTA </t>
        </is>
      </c>
      <c r="C35" t="n">
        <v>12</v>
      </c>
      <c r="D35" t="inlineStr">
        <is>
          <t>VCA</t>
        </is>
      </c>
      <c r="E35" t="n">
        <v>34</v>
      </c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</row>
    <row r="36">
      <c r="B36" t="inlineStr">
        <is>
          <t>RCE RUA MARIA DAS GRAÇAS SILVA</t>
        </is>
      </c>
      <c r="C36" t="n">
        <v>12</v>
      </c>
      <c r="D36" t="inlineStr">
        <is>
          <t>HDD</t>
        </is>
      </c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</row>
    <row r="37">
      <c r="B37" t="inlineStr">
        <is>
          <t>RCE RUA MARIA DAS GRAÇAS SILVA</t>
        </is>
      </c>
      <c r="C37" t="n">
        <v>12</v>
      </c>
      <c r="D37" t="inlineStr">
        <is>
          <t>VCA</t>
        </is>
      </c>
      <c r="E37" t="n">
        <v>17</v>
      </c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</row>
    <row r="38">
      <c r="B38" t="inlineStr">
        <is>
          <t xml:space="preserve">RCE - RUA MARIA DOS SANTOS MACHADO </t>
        </is>
      </c>
      <c r="C38" s="1" t="n">
        <v>12</v>
      </c>
      <c r="D38" t="inlineStr">
        <is>
          <t>HDD</t>
        </is>
      </c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</row>
    <row r="39">
      <c r="B39" t="inlineStr">
        <is>
          <t xml:space="preserve">RCE - RUA MARIA DOS SANTOS MACHADO </t>
        </is>
      </c>
      <c r="C39" s="1" t="n">
        <v>12</v>
      </c>
      <c r="D39" t="inlineStr">
        <is>
          <t>VCA</t>
        </is>
      </c>
      <c r="E39" t="n">
        <v>205</v>
      </c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</row>
    <row r="40">
      <c r="B40" t="inlineStr">
        <is>
          <t>EEE TRÊS MENINAS</t>
        </is>
      </c>
      <c r="C40" t="n">
        <v>13</v>
      </c>
      <c r="D40" t="inlineStr">
        <is>
          <t>HDD</t>
        </is>
      </c>
      <c r="I40" t="n">
        <v>11130</v>
      </c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</row>
    <row r="41">
      <c r="B41" t="inlineStr">
        <is>
          <t>EEE TRÊS MENINAS</t>
        </is>
      </c>
      <c r="C41" t="n">
        <v>13</v>
      </c>
      <c r="D41" t="inlineStr">
        <is>
          <t>VCA</t>
        </is>
      </c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</row>
    <row r="42">
      <c r="B42" t="inlineStr">
        <is>
          <t xml:space="preserve">LINHA DE RECALQUE TRÊS MENINAS </t>
        </is>
      </c>
      <c r="C42" t="n">
        <v>13</v>
      </c>
      <c r="D42" t="inlineStr">
        <is>
          <t>HDD</t>
        </is>
      </c>
      <c r="E42" t="n">
        <v>1787.905</v>
      </c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</row>
    <row r="43">
      <c r="B43" t="inlineStr">
        <is>
          <t xml:space="preserve">LINHA DE RECALQUE TRÊS MENINAS </t>
        </is>
      </c>
      <c r="C43" t="n">
        <v>13</v>
      </c>
      <c r="D43" t="inlineStr">
        <is>
          <t>VCA</t>
        </is>
      </c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</row>
    <row r="44">
      <c r="B44" t="inlineStr">
        <is>
          <t xml:space="preserve">CTS TRÊS MENINAS </t>
        </is>
      </c>
      <c r="C44" t="n">
        <v>13</v>
      </c>
      <c r="D44" t="inlineStr">
        <is>
          <t>HDD</t>
        </is>
      </c>
      <c r="E44" t="n">
        <v>1583.28</v>
      </c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</row>
    <row r="45">
      <c r="B45" t="inlineStr">
        <is>
          <t xml:space="preserve">CTS TRÊS MENINAS </t>
        </is>
      </c>
      <c r="C45" t="n">
        <v>13</v>
      </c>
      <c r="D45" t="inlineStr">
        <is>
          <t>VCA</t>
        </is>
      </c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</row>
    <row r="46">
      <c r="B46" t="inlineStr">
        <is>
          <t>INTERL. TRÊS MENINAS</t>
        </is>
      </c>
      <c r="C46" t="n">
        <v>13</v>
      </c>
      <c r="D46" t="inlineStr">
        <is>
          <t>HDD</t>
        </is>
      </c>
      <c r="E46" t="n">
        <v>699.235</v>
      </c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</row>
    <row r="47">
      <c r="B47" t="inlineStr">
        <is>
          <t>INTERL. TRÊS MENINAS</t>
        </is>
      </c>
      <c r="C47" t="n">
        <v>13</v>
      </c>
      <c r="D47" t="inlineStr">
        <is>
          <t>VCA</t>
        </is>
      </c>
      <c r="E47" t="n">
        <v>166.2</v>
      </c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</row>
    <row r="48">
      <c r="B48" t="inlineStr">
        <is>
          <t xml:space="preserve">CTS JD. HELENA </t>
        </is>
      </c>
      <c r="C48" t="n">
        <v>13</v>
      </c>
      <c r="D48" t="inlineStr">
        <is>
          <t>HDD</t>
        </is>
      </c>
      <c r="E48" t="n">
        <v>820.2</v>
      </c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</row>
    <row r="49">
      <c r="B49" t="inlineStr">
        <is>
          <t xml:space="preserve">CTS JD. HELENA </t>
        </is>
      </c>
      <c r="C49" t="n">
        <v>13</v>
      </c>
      <c r="D49" t="inlineStr">
        <is>
          <t>VCA</t>
        </is>
      </c>
      <c r="E49" t="n">
        <v>191.4</v>
      </c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</row>
    <row r="50">
      <c r="B50" t="inlineStr">
        <is>
          <t>CTS TRÊS MENINAS AUX.</t>
        </is>
      </c>
      <c r="C50" t="n">
        <v>13</v>
      </c>
      <c r="D50" t="inlineStr">
        <is>
          <t>HDD</t>
        </is>
      </c>
      <c r="E50" t="n">
        <v>165</v>
      </c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</row>
    <row r="51">
      <c r="B51" t="inlineStr">
        <is>
          <t>CTS TRÊS MENINAS AUX.</t>
        </is>
      </c>
      <c r="C51" t="n">
        <v>13</v>
      </c>
      <c r="D51" t="inlineStr">
        <is>
          <t>VCA</t>
        </is>
      </c>
      <c r="E51" t="n">
        <v>43.5</v>
      </c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</row>
    <row r="52">
      <c r="B52" t="inlineStr">
        <is>
          <t xml:space="preserve">RCE RUA DOS GIRASSÓIS </t>
        </is>
      </c>
      <c r="C52" t="n">
        <v>13</v>
      </c>
      <c r="D52" t="inlineStr">
        <is>
          <t>HDD</t>
        </is>
      </c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t="inlineStr">
        <is>
          <t>em andamento</t>
        </is>
      </c>
    </row>
    <row r="53">
      <c r="B53" t="inlineStr">
        <is>
          <t xml:space="preserve">RCE RUA DOS GIRASSÓIS </t>
        </is>
      </c>
      <c r="C53" t="n">
        <v>13</v>
      </c>
      <c r="D53" t="inlineStr">
        <is>
          <t>VCA</t>
        </is>
      </c>
      <c r="E53" t="n">
        <v>201.5</v>
      </c>
      <c r="K53" s="4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t="inlineStr">
        <is>
          <t>concluido</t>
        </is>
      </c>
    </row>
    <row r="54">
      <c r="B54" s="5" t="inlineStr">
        <is>
          <t>CTS JD. LOURDES COMPLEMENTAR</t>
        </is>
      </c>
      <c r="C54" t="n">
        <v>13</v>
      </c>
      <c r="D54" t="inlineStr">
        <is>
          <t>HDD</t>
        </is>
      </c>
      <c r="E54" t="n">
        <v>0</v>
      </c>
      <c r="F54" t="n">
        <v>84.31999999999999</v>
      </c>
      <c r="K54" s="4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>
        <v>84.31999999999999</v>
      </c>
      <c r="Z54" s="6" t="n"/>
      <c r="AA54" s="6" t="n"/>
      <c r="AB54" s="6" t="n"/>
      <c r="AC54" s="6" t="n"/>
      <c r="AD54" s="6" t="n"/>
      <c r="AE54" s="6" t="n"/>
      <c r="AF54" s="6" t="n"/>
      <c r="AG54" t="inlineStr">
        <is>
          <t>concluido</t>
        </is>
      </c>
    </row>
    <row r="55">
      <c r="B55" s="5" t="inlineStr">
        <is>
          <t>CTS JD. LOURDES</t>
        </is>
      </c>
      <c r="C55" t="n">
        <v>14</v>
      </c>
      <c r="D55" t="inlineStr">
        <is>
          <t>HDD</t>
        </is>
      </c>
      <c r="E55" t="n">
        <v>267</v>
      </c>
      <c r="F55" s="5" t="n">
        <v>400</v>
      </c>
      <c r="I55" t="n">
        <v>41</v>
      </c>
      <c r="J55" t="n">
        <v>39</v>
      </c>
      <c r="K55" s="4" t="n"/>
      <c r="L55" s="6" t="n"/>
      <c r="M55" s="6" t="n"/>
      <c r="N55" s="6" t="n"/>
      <c r="O55" s="6" t="n"/>
      <c r="P55" s="6" t="n"/>
      <c r="Q55" s="6" t="n"/>
      <c r="R55" s="6" t="n">
        <v>75</v>
      </c>
      <c r="S55" s="6" t="n">
        <v>325</v>
      </c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t="inlineStr">
        <is>
          <t>concluido</t>
        </is>
      </c>
    </row>
    <row r="56">
      <c r="B56" s="5" t="inlineStr">
        <is>
          <t>CTS JD. LOURDES</t>
        </is>
      </c>
      <c r="C56" t="n">
        <v>14</v>
      </c>
      <c r="D56" t="inlineStr">
        <is>
          <t>VCA</t>
        </is>
      </c>
      <c r="E56" t="n">
        <v>233.1</v>
      </c>
      <c r="F56" s="5" t="n">
        <v>0</v>
      </c>
      <c r="K56" s="4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t="inlineStr">
        <is>
          <t>concluido</t>
        </is>
      </c>
    </row>
    <row r="57">
      <c r="B57" s="5" t="inlineStr">
        <is>
          <t>CTS JD. LOURDES</t>
        </is>
      </c>
      <c r="C57" t="n">
        <v>15</v>
      </c>
      <c r="D57" t="inlineStr">
        <is>
          <t>HDD</t>
        </is>
      </c>
      <c r="E57" t="n">
        <v>0</v>
      </c>
      <c r="F57" s="5" t="n">
        <v>157.7</v>
      </c>
      <c r="I57" t="n">
        <v>464</v>
      </c>
      <c r="J57" t="n">
        <v>523</v>
      </c>
      <c r="K57" s="4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>
        <v>35</v>
      </c>
      <c r="U57" s="6" t="n">
        <v>122.7</v>
      </c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t="inlineStr">
        <is>
          <t>concluido</t>
        </is>
      </c>
    </row>
    <row r="58">
      <c r="B58" s="5" t="inlineStr">
        <is>
          <t>CTS JD. LOURDES</t>
        </is>
      </c>
      <c r="C58" t="n">
        <v>15</v>
      </c>
      <c r="D58" t="inlineStr">
        <is>
          <t>VCA</t>
        </is>
      </c>
      <c r="E58" t="n">
        <v>243.8</v>
      </c>
      <c r="F58" s="5" t="n">
        <v>0</v>
      </c>
      <c r="K58" s="4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t="inlineStr">
        <is>
          <t>concluido</t>
        </is>
      </c>
    </row>
    <row r="59">
      <c r="B59" s="5" t="inlineStr">
        <is>
          <t>CTS JD. LOURDES</t>
        </is>
      </c>
      <c r="C59" t="n">
        <v>16</v>
      </c>
      <c r="D59" t="inlineStr">
        <is>
          <t>HDD</t>
        </is>
      </c>
      <c r="E59" t="n">
        <v>0</v>
      </c>
      <c r="F59" s="5" t="n">
        <v>341.715</v>
      </c>
      <c r="I59" t="n">
        <v>2139</v>
      </c>
      <c r="J59" t="n">
        <v>2126</v>
      </c>
      <c r="K59" s="4" t="n"/>
      <c r="L59" s="6" t="n"/>
      <c r="M59" s="6" t="n"/>
      <c r="N59" s="6" t="n"/>
      <c r="O59" s="6" t="n"/>
      <c r="P59" s="6" t="n"/>
      <c r="Q59" s="6" t="n"/>
      <c r="R59" s="6" t="n"/>
      <c r="S59" s="6" t="n">
        <v>220</v>
      </c>
      <c r="T59" s="6" t="n">
        <v>121.715</v>
      </c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t="inlineStr">
        <is>
          <t>concluido</t>
        </is>
      </c>
    </row>
    <row r="60">
      <c r="B60" s="5" t="inlineStr">
        <is>
          <t>CTS JD. LOURDES</t>
        </is>
      </c>
      <c r="C60" t="n">
        <v>16</v>
      </c>
      <c r="D60" t="inlineStr">
        <is>
          <t>VCA</t>
        </is>
      </c>
      <c r="E60" t="n">
        <v>276.1</v>
      </c>
      <c r="F60" s="5" t="n">
        <v>13.17</v>
      </c>
      <c r="K60" s="4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>
        <v>13.17</v>
      </c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t="inlineStr">
        <is>
          <t>concluido</t>
        </is>
      </c>
    </row>
    <row r="61">
      <c r="B61" s="5" t="inlineStr">
        <is>
          <t>CTS JD. LOURDES</t>
        </is>
      </c>
      <c r="C61" t="n">
        <v>17</v>
      </c>
      <c r="D61" t="inlineStr">
        <is>
          <t>HDD</t>
        </is>
      </c>
      <c r="F61" s="5" t="n">
        <v>43.02</v>
      </c>
      <c r="I61" t="n">
        <v>208</v>
      </c>
      <c r="J61" t="n">
        <v>191</v>
      </c>
      <c r="K61" s="4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>
        <v>43.015</v>
      </c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t="inlineStr">
        <is>
          <t>concluido</t>
        </is>
      </c>
    </row>
    <row r="62">
      <c r="B62" s="5" t="inlineStr">
        <is>
          <t>CTS JD. LOURDES</t>
        </is>
      </c>
      <c r="C62" t="n">
        <v>17</v>
      </c>
      <c r="D62" t="inlineStr">
        <is>
          <t>VCA</t>
        </is>
      </c>
      <c r="E62" t="n">
        <v>83.2</v>
      </c>
      <c r="F62" s="5" t="n">
        <v>51.05</v>
      </c>
      <c r="K62" s="4" t="n"/>
      <c r="L62" s="6" t="n"/>
      <c r="M62" s="6" t="n"/>
      <c r="N62" s="6" t="n"/>
      <c r="O62" s="6" t="n"/>
      <c r="P62" s="6" t="n"/>
      <c r="Q62" s="6" t="n"/>
      <c r="R62" s="6" t="n"/>
      <c r="S62" s="6" t="n">
        <v>51.05</v>
      </c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t="inlineStr">
        <is>
          <t>concluido</t>
        </is>
      </c>
    </row>
    <row r="63">
      <c r="B63" s="5" t="inlineStr">
        <is>
          <t>CTS JD. BENFICA</t>
        </is>
      </c>
      <c r="C63" t="n">
        <v>18</v>
      </c>
      <c r="D63" t="inlineStr">
        <is>
          <t>HDD</t>
        </is>
      </c>
      <c r="E63" t="n">
        <v>65.5</v>
      </c>
      <c r="F63" s="5" t="n">
        <v>288.26</v>
      </c>
      <c r="G63" t="n">
        <v>17</v>
      </c>
      <c r="H63" t="n">
        <v>51.09</v>
      </c>
      <c r="I63" t="n">
        <v>139</v>
      </c>
      <c r="J63" t="n">
        <v>109</v>
      </c>
      <c r="K63" s="4" t="n"/>
      <c r="L63" s="6" t="n"/>
      <c r="M63" s="6" t="n"/>
      <c r="N63" s="6" t="n"/>
      <c r="O63" s="6" t="n"/>
      <c r="P63" s="6" t="n"/>
      <c r="Q63" s="6" t="n">
        <v>288.26</v>
      </c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t="inlineStr">
        <is>
          <t>concluido</t>
        </is>
      </c>
    </row>
    <row r="64">
      <c r="B64" s="5" t="inlineStr">
        <is>
          <t>CTS JD. BENFICA</t>
        </is>
      </c>
      <c r="C64" t="n">
        <v>18</v>
      </c>
      <c r="D64" t="inlineStr">
        <is>
          <t>VCA</t>
        </is>
      </c>
      <c r="E64" t="n">
        <v>226.5</v>
      </c>
      <c r="F64" s="5" t="n">
        <v>32.85</v>
      </c>
      <c r="K64" s="4" t="n"/>
      <c r="L64" s="6" t="n"/>
      <c r="M64" s="6" t="n"/>
      <c r="N64" s="6" t="n"/>
      <c r="O64" s="6" t="n"/>
      <c r="P64" s="6" t="n"/>
      <c r="Q64" s="6" t="n">
        <v>32.85</v>
      </c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t="inlineStr">
        <is>
          <t>concluido</t>
        </is>
      </c>
    </row>
    <row r="65">
      <c r="B65" s="5" t="inlineStr">
        <is>
          <t>CTS JD. BENFICA</t>
        </is>
      </c>
      <c r="C65" t="n">
        <v>19</v>
      </c>
      <c r="D65" t="inlineStr">
        <is>
          <t>HDD</t>
        </is>
      </c>
      <c r="E65" t="n">
        <v>366.4</v>
      </c>
      <c r="F65" s="5" t="n">
        <v>223.29</v>
      </c>
      <c r="I65" t="n">
        <v>219</v>
      </c>
      <c r="J65" t="n">
        <v>188</v>
      </c>
      <c r="K65" s="4" t="n"/>
      <c r="L65" s="6" t="n"/>
      <c r="M65" s="6" t="n"/>
      <c r="N65" s="6" t="n"/>
      <c r="O65" s="6" t="n"/>
      <c r="P65" s="6" t="n"/>
      <c r="Q65" s="6" t="n"/>
      <c r="R65" s="6" t="n">
        <v>223.29</v>
      </c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t="inlineStr">
        <is>
          <t>concluido</t>
        </is>
      </c>
    </row>
    <row r="66">
      <c r="B66" s="5" t="inlineStr">
        <is>
          <t>CTS JD. BENFICA</t>
        </is>
      </c>
      <c r="C66" t="n">
        <v>19</v>
      </c>
      <c r="D66" t="inlineStr">
        <is>
          <t>VCA</t>
        </is>
      </c>
      <c r="E66" t="n">
        <v>95.7</v>
      </c>
      <c r="F66" s="5" t="n">
        <v>26.66</v>
      </c>
      <c r="K66" s="4" t="n"/>
      <c r="L66" s="6" t="n"/>
      <c r="M66" s="6" t="n"/>
      <c r="N66" s="6" t="n"/>
      <c r="O66" s="6" t="n"/>
      <c r="P66" s="6" t="n"/>
      <c r="Q66" s="6" t="n">
        <v>26.66</v>
      </c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t="inlineStr">
        <is>
          <t>concluido</t>
        </is>
      </c>
    </row>
    <row r="67">
      <c r="B67" s="5" t="inlineStr">
        <is>
          <t>CTS JD. BENFICA</t>
        </is>
      </c>
      <c r="C67" t="n">
        <v>20</v>
      </c>
      <c r="D67" t="inlineStr">
        <is>
          <t>HDD</t>
        </is>
      </c>
      <c r="E67" t="n">
        <v>163.4</v>
      </c>
      <c r="F67" s="5" t="n">
        <v>159.63</v>
      </c>
      <c r="I67" t="n">
        <v>848</v>
      </c>
      <c r="J67" t="n">
        <v>860</v>
      </c>
      <c r="K67" s="4" t="n"/>
      <c r="L67" s="6" t="n"/>
      <c r="M67" s="6" t="n"/>
      <c r="N67" s="6" t="n"/>
      <c r="O67" s="6" t="n"/>
      <c r="P67" s="6" t="n"/>
      <c r="Q67" s="6" t="n"/>
      <c r="R67" s="6" t="n"/>
      <c r="S67" s="6" t="n">
        <v>59.73</v>
      </c>
      <c r="T67" s="6" t="n">
        <v>99.90000000000001</v>
      </c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t="inlineStr">
        <is>
          <t>concluido</t>
        </is>
      </c>
    </row>
    <row r="68">
      <c r="B68" s="5" t="inlineStr">
        <is>
          <t>CTS JD. BENFICA</t>
        </is>
      </c>
      <c r="C68" t="n">
        <v>20</v>
      </c>
      <c r="D68" t="inlineStr">
        <is>
          <t>VCA</t>
        </is>
      </c>
      <c r="E68" t="n">
        <v>24</v>
      </c>
      <c r="F68" s="5" t="n">
        <v>31.4</v>
      </c>
      <c r="K68" s="4" t="n"/>
      <c r="L68" s="6" t="n"/>
      <c r="M68" s="6" t="n"/>
      <c r="N68" s="6" t="n"/>
      <c r="O68" s="6" t="n"/>
      <c r="P68" s="6" t="n"/>
      <c r="Q68" s="6" t="n">
        <v>31.4</v>
      </c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t="inlineStr">
        <is>
          <t>concluido</t>
        </is>
      </c>
    </row>
    <row r="69">
      <c r="B69" s="5" t="inlineStr">
        <is>
          <t>CTS BANDEIRANTES</t>
        </is>
      </c>
      <c r="C69" t="n">
        <v>21</v>
      </c>
      <c r="D69" t="inlineStr">
        <is>
          <t>HDD</t>
        </is>
      </c>
      <c r="E69">
        <f>475.4-8.8</f>
        <v/>
      </c>
      <c r="F69" s="9" t="n">
        <v>1229.95</v>
      </c>
      <c r="G69" t="n">
        <v>19</v>
      </c>
      <c r="H69" t="n">
        <v>92.92</v>
      </c>
      <c r="I69" t="n">
        <v>78</v>
      </c>
      <c r="J69" t="n">
        <v>72</v>
      </c>
      <c r="K69" s="4" t="n"/>
      <c r="L69" s="6" t="n"/>
      <c r="M69" s="6" t="n"/>
      <c r="N69" s="6" t="n">
        <v>68</v>
      </c>
      <c r="O69" s="6" t="n">
        <v>621.845</v>
      </c>
      <c r="P69" s="6" t="n">
        <v>354.525</v>
      </c>
      <c r="Q69" s="6" t="n">
        <v>67.90000000000001</v>
      </c>
      <c r="R69" s="6" t="n">
        <v>117.68</v>
      </c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t="inlineStr">
        <is>
          <t>concluido</t>
        </is>
      </c>
    </row>
    <row r="70">
      <c r="B70" s="5" t="inlineStr">
        <is>
          <t>CTS BANDEIRANTES</t>
        </is>
      </c>
      <c r="C70" t="n">
        <v>21</v>
      </c>
      <c r="D70" t="inlineStr">
        <is>
          <t>VCA</t>
        </is>
      </c>
      <c r="E70">
        <f>12.3+771.1</f>
        <v/>
      </c>
      <c r="F70" s="5" t="n">
        <v>0</v>
      </c>
      <c r="K70" s="4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t="inlineStr">
        <is>
          <t>concluido</t>
        </is>
      </c>
    </row>
    <row r="71">
      <c r="B71" s="5" t="inlineStr">
        <is>
          <t>CTS BANDEIRANTES</t>
        </is>
      </c>
      <c r="C71" t="n">
        <v>22</v>
      </c>
      <c r="D71" t="inlineStr">
        <is>
          <t>HDD</t>
        </is>
      </c>
      <c r="E71" t="n">
        <v>59.5</v>
      </c>
      <c r="F71" s="9" t="n">
        <v>328.75</v>
      </c>
      <c r="G71" t="n">
        <v>6</v>
      </c>
      <c r="H71" t="n">
        <v>16.16</v>
      </c>
      <c r="I71" t="n">
        <v>471</v>
      </c>
      <c r="J71" t="n">
        <v>338</v>
      </c>
      <c r="K71" s="4" t="n"/>
      <c r="L71" s="6" t="n"/>
      <c r="M71" s="6" t="n"/>
      <c r="N71" s="6" t="n"/>
      <c r="O71" s="6" t="n"/>
      <c r="P71" s="6" t="n">
        <v>328.75</v>
      </c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t="inlineStr">
        <is>
          <t>concluido</t>
        </is>
      </c>
    </row>
    <row r="72">
      <c r="B72" s="5" t="inlineStr">
        <is>
          <t>CTS BANDEIRANTES</t>
        </is>
      </c>
      <c r="C72" t="n">
        <v>22</v>
      </c>
      <c r="D72" t="inlineStr">
        <is>
          <t>VCA</t>
        </is>
      </c>
      <c r="E72" t="n">
        <v>216</v>
      </c>
      <c r="F72" s="5" t="n">
        <v>0</v>
      </c>
      <c r="K72" s="4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t="inlineStr">
        <is>
          <t>concluido</t>
        </is>
      </c>
    </row>
    <row r="73">
      <c r="B73" s="5" t="inlineStr">
        <is>
          <t>CTS BANDEIRANTES</t>
        </is>
      </c>
      <c r="C73" t="n">
        <v>23</v>
      </c>
      <c r="D73" t="inlineStr">
        <is>
          <t>HDD</t>
        </is>
      </c>
      <c r="E73" t="n">
        <v>352.8</v>
      </c>
      <c r="F73" s="9" t="n">
        <v>384.67</v>
      </c>
      <c r="G73" t="n">
        <v>7</v>
      </c>
      <c r="H73" t="n">
        <v>24.74</v>
      </c>
      <c r="I73" t="n">
        <v>987</v>
      </c>
      <c r="J73" t="n">
        <v>901</v>
      </c>
      <c r="K73" s="4" t="n"/>
      <c r="L73" s="6" t="n"/>
      <c r="M73" s="6" t="n"/>
      <c r="N73" s="6" t="n"/>
      <c r="O73" s="6" t="n"/>
      <c r="P73" s="6" t="n">
        <v>247.93</v>
      </c>
      <c r="Q73" s="6" t="n">
        <v>136.74</v>
      </c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t="inlineStr">
        <is>
          <t>concluido</t>
        </is>
      </c>
    </row>
    <row r="74">
      <c r="B74" s="5" t="inlineStr">
        <is>
          <t>CTS BANDEIRANTES</t>
        </is>
      </c>
      <c r="C74" t="n">
        <v>23</v>
      </c>
      <c r="D74" t="inlineStr">
        <is>
          <t>VCA</t>
        </is>
      </c>
      <c r="E74" t="n">
        <v>254.9</v>
      </c>
      <c r="F74" s="5" t="n">
        <v>20.32</v>
      </c>
      <c r="K74" s="4" t="n"/>
      <c r="L74" s="6" t="n"/>
      <c r="M74" s="6" t="n"/>
      <c r="N74" s="6" t="n"/>
      <c r="O74" s="6" t="n"/>
      <c r="P74" s="6" t="n"/>
      <c r="Q74" s="6" t="n">
        <v>20.32</v>
      </c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t="inlineStr">
        <is>
          <t>concluido</t>
        </is>
      </c>
    </row>
    <row r="75">
      <c r="B75" s="5" t="inlineStr">
        <is>
          <t>CTS CONCEIÇÃO</t>
        </is>
      </c>
      <c r="C75" t="n">
        <v>24</v>
      </c>
      <c r="D75" t="inlineStr">
        <is>
          <t>HDD</t>
        </is>
      </c>
      <c r="E75" t="n">
        <v>207.5</v>
      </c>
      <c r="F75" s="5" t="n">
        <v>197.8</v>
      </c>
      <c r="I75" t="n">
        <v>1801</v>
      </c>
      <c r="K75" s="4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>
        <v>197.8</v>
      </c>
      <c r="Y75" s="6" t="n"/>
      <c r="Z75" s="6" t="n"/>
      <c r="AA75" s="6" t="n"/>
      <c r="AB75" s="6" t="n"/>
      <c r="AC75" s="6" t="n"/>
      <c r="AD75" s="6" t="n"/>
      <c r="AE75" s="6" t="n"/>
      <c r="AF75" s="6" t="n"/>
      <c r="AG75" t="inlineStr">
        <is>
          <t>concluido</t>
        </is>
      </c>
    </row>
    <row r="76">
      <c r="B76" s="5" t="inlineStr">
        <is>
          <t>CTS CONCEIÇÃO</t>
        </is>
      </c>
      <c r="C76" t="n">
        <v>24</v>
      </c>
      <c r="D76" t="inlineStr">
        <is>
          <t>VCA</t>
        </is>
      </c>
      <c r="E76" t="n">
        <v>95</v>
      </c>
      <c r="F76" s="5" t="n">
        <v>10.73</v>
      </c>
      <c r="K76" s="4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>
        <f>6.22+4.51</f>
        <v/>
      </c>
      <c r="Y76" s="6" t="n"/>
      <c r="Z76" s="6" t="n"/>
      <c r="AA76" s="6" t="n"/>
      <c r="AB76" s="6" t="n"/>
      <c r="AC76" s="6" t="n"/>
      <c r="AD76" s="6" t="n"/>
      <c r="AE76" s="6" t="n"/>
      <c r="AF76" s="6" t="n"/>
      <c r="AG76" t="inlineStr">
        <is>
          <t>concluido</t>
        </is>
      </c>
    </row>
    <row r="77">
      <c r="B77" s="5" t="inlineStr">
        <is>
          <t>CTS CONCEIÇÃO</t>
        </is>
      </c>
      <c r="C77" t="n">
        <v>25</v>
      </c>
      <c r="D77" t="inlineStr">
        <is>
          <t>HDD</t>
        </is>
      </c>
      <c r="E77" t="n">
        <v>315.5</v>
      </c>
      <c r="F77" s="5" t="n">
        <v>545.34</v>
      </c>
      <c r="I77" t="n">
        <v>168</v>
      </c>
      <c r="K77" s="4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>
        <v>545.34</v>
      </c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t="inlineStr">
        <is>
          <t>concluido</t>
        </is>
      </c>
    </row>
    <row r="78">
      <c r="B78" s="5" t="inlineStr">
        <is>
          <t>CTS CONCEIÇÃO</t>
        </is>
      </c>
      <c r="C78" t="n">
        <v>25</v>
      </c>
      <c r="D78" t="inlineStr">
        <is>
          <t>VCA</t>
        </is>
      </c>
      <c r="E78" t="n">
        <v>194.5</v>
      </c>
      <c r="F78" s="5" t="n">
        <v>12.02</v>
      </c>
      <c r="K78" s="4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>
        <v>12.02</v>
      </c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t="inlineStr">
        <is>
          <t>concluido</t>
        </is>
      </c>
    </row>
    <row r="79">
      <c r="B79" s="5" t="inlineStr">
        <is>
          <t>CTS JARAGUÁ</t>
        </is>
      </c>
      <c r="C79" t="n">
        <v>26</v>
      </c>
      <c r="D79" t="inlineStr">
        <is>
          <t>HDD</t>
        </is>
      </c>
      <c r="E79" t="n">
        <v>31.9</v>
      </c>
      <c r="F79" s="5" t="n">
        <v>384.37</v>
      </c>
      <c r="I79" t="n">
        <v>1302</v>
      </c>
      <c r="J79" t="n">
        <v>1152</v>
      </c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>
        <v>384.37</v>
      </c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t="inlineStr">
        <is>
          <t>concluido</t>
        </is>
      </c>
    </row>
    <row r="80">
      <c r="B80" s="5" t="inlineStr">
        <is>
          <t>CTS JARAGUÁ</t>
        </is>
      </c>
      <c r="C80" t="n">
        <v>26</v>
      </c>
      <c r="D80" t="inlineStr">
        <is>
          <t>VCA</t>
        </is>
      </c>
      <c r="E80" t="n">
        <v>600.73</v>
      </c>
      <c r="F80" s="5" t="n">
        <v>23.8</v>
      </c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>
        <v>23.8</v>
      </c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t="inlineStr">
        <is>
          <t>concluido</t>
        </is>
      </c>
    </row>
    <row r="81">
      <c r="B81" t="inlineStr">
        <is>
          <t xml:space="preserve">RCE RUA TERRA SEM MALES </t>
        </is>
      </c>
      <c r="C81" t="n">
        <v>26</v>
      </c>
      <c r="D81" t="inlineStr">
        <is>
          <t>HDD</t>
        </is>
      </c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t="inlineStr">
        <is>
          <t>concluido</t>
        </is>
      </c>
    </row>
    <row r="82">
      <c r="B82" t="inlineStr">
        <is>
          <t xml:space="preserve">RCE RUA TERRA SEM MALES </t>
        </is>
      </c>
      <c r="C82" t="n">
        <v>26</v>
      </c>
      <c r="D82" t="inlineStr">
        <is>
          <t>VCA</t>
        </is>
      </c>
      <c r="E82" t="n">
        <v>220.48</v>
      </c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t="inlineStr">
        <is>
          <t>concluido</t>
        </is>
      </c>
    </row>
    <row r="83">
      <c r="B83" s="5" t="inlineStr">
        <is>
          <t>CTS ÁGUA VERMELHA - ME</t>
        </is>
      </c>
      <c r="C83" t="n">
        <v>27</v>
      </c>
      <c r="D83" t="inlineStr">
        <is>
          <t>HDD</t>
        </is>
      </c>
      <c r="F83" s="5" t="n">
        <v>91.20999999999999</v>
      </c>
      <c r="I83" t="n">
        <v>2885</v>
      </c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>
        <v>20.95</v>
      </c>
      <c r="W83" s="6" t="n"/>
      <c r="X83" s="6" t="n">
        <v>70.26000000000001</v>
      </c>
      <c r="Y83" s="6" t="n"/>
      <c r="Z83" s="6" t="n"/>
      <c r="AA83" s="6" t="n"/>
      <c r="AB83" s="6" t="n"/>
      <c r="AC83" s="6" t="n"/>
      <c r="AD83" s="6" t="n"/>
      <c r="AE83" s="6" t="n"/>
      <c r="AF83" s="6" t="n"/>
      <c r="AG83" t="inlineStr">
        <is>
          <t>concluido</t>
        </is>
      </c>
    </row>
    <row r="84">
      <c r="B84" s="5" t="inlineStr">
        <is>
          <t>CTS ÁGUA VERMELHA - ME</t>
        </is>
      </c>
      <c r="C84" t="n">
        <v>27</v>
      </c>
      <c r="D84" t="inlineStr">
        <is>
          <t>VCA</t>
        </is>
      </c>
      <c r="E84" t="n">
        <v>100.5</v>
      </c>
      <c r="F84" s="5" t="n">
        <v>10.06</v>
      </c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>
        <v>8.06</v>
      </c>
      <c r="W84" s="6" t="n"/>
      <c r="X84" s="6" t="n">
        <v>2</v>
      </c>
      <c r="Y84" s="6" t="n"/>
      <c r="Z84" s="6" t="n"/>
      <c r="AA84" s="6" t="n"/>
      <c r="AB84" s="6" t="n"/>
      <c r="AC84" s="6" t="n"/>
      <c r="AD84" s="6" t="n"/>
      <c r="AE84" s="6" t="n"/>
      <c r="AF84" s="6" t="n"/>
      <c r="AG84" t="inlineStr">
        <is>
          <t>concluido</t>
        </is>
      </c>
    </row>
    <row r="85">
      <c r="B85" s="5" t="inlineStr">
        <is>
          <t>CTS ÁGUA VERMELHA - ME</t>
        </is>
      </c>
      <c r="C85" t="n">
        <v>28</v>
      </c>
      <c r="D85" t="inlineStr">
        <is>
          <t>HDD</t>
        </is>
      </c>
      <c r="F85" s="5" t="n">
        <v>230.72</v>
      </c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>
        <f>230.02-55.56</f>
        <v/>
      </c>
      <c r="W85" s="6" t="n">
        <v>56.26</v>
      </c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t="inlineStr">
        <is>
          <t>concluido</t>
        </is>
      </c>
    </row>
    <row r="86">
      <c r="B86" s="5" t="inlineStr">
        <is>
          <t>CTS ÁGUA VERMELHA - ME</t>
        </is>
      </c>
      <c r="C86" t="n">
        <v>28</v>
      </c>
      <c r="D86" t="inlineStr">
        <is>
          <t>VCA</t>
        </is>
      </c>
      <c r="E86" t="n">
        <v>210.02</v>
      </c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t="inlineStr">
        <is>
          <t>concluido</t>
        </is>
      </c>
    </row>
    <row r="87">
      <c r="B87" s="5" t="inlineStr">
        <is>
          <t>CTS ÁGUA VERMELHA - ME</t>
        </is>
      </c>
      <c r="C87" t="n">
        <v>29</v>
      </c>
      <c r="D87" t="inlineStr">
        <is>
          <t>HDD</t>
        </is>
      </c>
      <c r="F87" s="5" t="n">
        <v>35.5</v>
      </c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>
        <v>35.5</v>
      </c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t="inlineStr">
        <is>
          <t>concluido</t>
        </is>
      </c>
    </row>
    <row r="88">
      <c r="B88" s="5" t="inlineStr">
        <is>
          <t>CTS ÁGUA VERMELHA - ME</t>
        </is>
      </c>
      <c r="C88" t="n">
        <v>29</v>
      </c>
      <c r="D88" t="inlineStr">
        <is>
          <t>VCA</t>
        </is>
      </c>
      <c r="E88" t="n">
        <v>57.5</v>
      </c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t="inlineStr">
        <is>
          <t>concluido</t>
        </is>
      </c>
    </row>
    <row r="89">
      <c r="B89" s="5" t="inlineStr">
        <is>
          <t>CTS ÁGUA VERMELHA - ME</t>
        </is>
      </c>
      <c r="C89" t="n">
        <v>30</v>
      </c>
      <c r="D89" t="inlineStr">
        <is>
          <t>HDD</t>
        </is>
      </c>
      <c r="F89" s="5" t="n">
        <v>36.98</v>
      </c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>
        <v>36.98</v>
      </c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t="inlineStr">
        <is>
          <t>concluido</t>
        </is>
      </c>
    </row>
    <row r="90">
      <c r="B90" s="5" t="inlineStr">
        <is>
          <t>CTS ÁGUA VERMELHA - ME</t>
        </is>
      </c>
      <c r="C90" t="n">
        <v>30</v>
      </c>
      <c r="D90" t="inlineStr">
        <is>
          <t>VCA</t>
        </is>
      </c>
      <c r="E90" t="n">
        <v>56</v>
      </c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t="inlineStr">
        <is>
          <t>concluido</t>
        </is>
      </c>
    </row>
    <row r="91">
      <c r="B91" s="5" t="inlineStr">
        <is>
          <t>CTS ÁGUA VERMELHA - ME</t>
        </is>
      </c>
      <c r="C91" t="n">
        <v>31</v>
      </c>
      <c r="D91" t="inlineStr">
        <is>
          <t>HDD</t>
        </is>
      </c>
      <c r="F91" s="5" t="n">
        <v>39.04</v>
      </c>
      <c r="J91" t="n">
        <v>628</v>
      </c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>
        <v>39.04</v>
      </c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t="inlineStr">
        <is>
          <t>concluido</t>
        </is>
      </c>
    </row>
    <row r="92">
      <c r="B92" s="5" t="inlineStr">
        <is>
          <t>CTS ÁGUA VERMELHA - ME</t>
        </is>
      </c>
      <c r="C92" t="n">
        <v>31</v>
      </c>
      <c r="D92" t="inlineStr">
        <is>
          <t>VCA</t>
        </is>
      </c>
      <c r="E92" t="n">
        <v>39.5</v>
      </c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t="inlineStr">
        <is>
          <t>concluido</t>
        </is>
      </c>
    </row>
    <row r="93">
      <c r="B93" s="5" t="inlineStr">
        <is>
          <t>CTS ÁGUA VERMELHA - ME</t>
        </is>
      </c>
      <c r="C93" t="n">
        <v>32</v>
      </c>
      <c r="D93" t="inlineStr">
        <is>
          <t>HDD</t>
        </is>
      </c>
      <c r="F93" s="5" t="n">
        <v>34.42</v>
      </c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>
        <v>34.42</v>
      </c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t="inlineStr">
        <is>
          <t>concluido</t>
        </is>
      </c>
    </row>
    <row r="94">
      <c r="B94" s="5" t="inlineStr">
        <is>
          <t>CTS ÁGUA VERMELHA - ME</t>
        </is>
      </c>
      <c r="C94" t="n">
        <v>32</v>
      </c>
      <c r="D94" t="inlineStr">
        <is>
          <t>VCA</t>
        </is>
      </c>
      <c r="E94" t="n">
        <v>63.5</v>
      </c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t="inlineStr">
        <is>
          <t>concluido</t>
        </is>
      </c>
    </row>
    <row r="95">
      <c r="B95" s="5" t="inlineStr">
        <is>
          <t>CTS ÁGUA VERMELHA - ME</t>
        </is>
      </c>
      <c r="C95" t="n">
        <v>33</v>
      </c>
      <c r="D95" t="inlineStr">
        <is>
          <t>HDD</t>
        </is>
      </c>
      <c r="F95" s="5" t="n">
        <v>34.12</v>
      </c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>
        <v>34.12</v>
      </c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t="inlineStr">
        <is>
          <t>concluido</t>
        </is>
      </c>
    </row>
    <row r="96">
      <c r="B96" s="5" t="inlineStr">
        <is>
          <t>CTS ÁGUA VERMELHA - ME</t>
        </is>
      </c>
      <c r="C96" t="n">
        <v>33</v>
      </c>
      <c r="D96" t="inlineStr">
        <is>
          <t>VCA</t>
        </is>
      </c>
      <c r="E96" t="n">
        <v>67.5</v>
      </c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t="inlineStr">
        <is>
          <t>concluido</t>
        </is>
      </c>
    </row>
    <row r="97">
      <c r="B97" s="5" t="inlineStr">
        <is>
          <t>CTS ÁGUA VERMELHA - ME</t>
        </is>
      </c>
      <c r="C97" t="n">
        <v>34</v>
      </c>
      <c r="D97" t="inlineStr">
        <is>
          <t>HDD</t>
        </is>
      </c>
      <c r="F97" s="5" t="n">
        <v>32.11</v>
      </c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>
        <v>32.11</v>
      </c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t="inlineStr">
        <is>
          <t>concluido</t>
        </is>
      </c>
    </row>
    <row r="98">
      <c r="B98" s="5" t="inlineStr">
        <is>
          <t>CTS ÁGUA VERMELHA - ME</t>
        </is>
      </c>
      <c r="C98" t="n">
        <v>34</v>
      </c>
      <c r="D98" t="inlineStr">
        <is>
          <t>VCA</t>
        </is>
      </c>
      <c r="E98" t="n">
        <v>67.5</v>
      </c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t="inlineStr">
        <is>
          <t>concluido</t>
        </is>
      </c>
    </row>
    <row r="99">
      <c r="B99" s="5" t="inlineStr">
        <is>
          <t>CTS ÁGUA VERMELHA - ME</t>
        </is>
      </c>
      <c r="C99" t="n">
        <v>37</v>
      </c>
      <c r="D99" t="inlineStr">
        <is>
          <t>HDD</t>
        </is>
      </c>
      <c r="F99" s="5" t="n">
        <v>35.9</v>
      </c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>
        <v>35.9</v>
      </c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t="inlineStr">
        <is>
          <t>concluido</t>
        </is>
      </c>
    </row>
    <row r="100">
      <c r="B100" s="5" t="inlineStr">
        <is>
          <t>CTS ÁGUA VERMELHA - ME</t>
        </is>
      </c>
      <c r="C100" t="n">
        <v>37</v>
      </c>
      <c r="D100" t="inlineStr">
        <is>
          <t>VCA</t>
        </is>
      </c>
      <c r="E100" t="n">
        <v>84.5</v>
      </c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t="inlineStr">
        <is>
          <t>concluido</t>
        </is>
      </c>
    </row>
    <row r="101">
      <c r="B101" s="5" t="inlineStr">
        <is>
          <t>CTS ÁGUA VERMELHA - ME</t>
        </is>
      </c>
      <c r="C101" t="n">
        <v>38</v>
      </c>
      <c r="D101" t="inlineStr">
        <is>
          <t>HDD</t>
        </is>
      </c>
      <c r="E101" t="n">
        <v>39</v>
      </c>
      <c r="F101" s="5" t="n">
        <v>32.19</v>
      </c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>
        <v>32.19</v>
      </c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t="inlineStr">
        <is>
          <t>concluido</t>
        </is>
      </c>
    </row>
    <row r="102">
      <c r="B102" s="5" t="inlineStr">
        <is>
          <t>CTS ÁGUA VERMELHA - ME</t>
        </is>
      </c>
      <c r="C102" t="n">
        <v>38</v>
      </c>
      <c r="D102" t="inlineStr">
        <is>
          <t>VCA</t>
        </is>
      </c>
      <c r="E102" t="n">
        <v>114.5</v>
      </c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t="inlineStr">
        <is>
          <t>concluido</t>
        </is>
      </c>
    </row>
    <row r="103">
      <c r="B103" s="5" t="inlineStr">
        <is>
          <t>CTS ÁGUA VERMELHA - ME</t>
        </is>
      </c>
      <c r="C103" t="n">
        <v>39</v>
      </c>
      <c r="D103" t="inlineStr">
        <is>
          <t>HDD</t>
        </is>
      </c>
      <c r="E103" t="n">
        <v>35</v>
      </c>
      <c r="F103" s="5" t="n">
        <v>76.59999999999999</v>
      </c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>
        <v>37.72</v>
      </c>
      <c r="W103" s="6" t="n">
        <v>38.88</v>
      </c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t="inlineStr">
        <is>
          <t>concluido</t>
        </is>
      </c>
    </row>
    <row r="104">
      <c r="B104" s="5" t="inlineStr">
        <is>
          <t>CTS ÁGUA VERMELHA - ME</t>
        </is>
      </c>
      <c r="C104" t="n">
        <v>39</v>
      </c>
      <c r="D104" t="inlineStr">
        <is>
          <t>VCA</t>
        </is>
      </c>
      <c r="E104" t="n">
        <v>58.5</v>
      </c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t="inlineStr">
        <is>
          <t>concluido</t>
        </is>
      </c>
    </row>
    <row r="105">
      <c r="B105" s="5" t="inlineStr">
        <is>
          <t>CTS ÁGUA VERMELHA - ME</t>
        </is>
      </c>
      <c r="C105" t="n">
        <v>40</v>
      </c>
      <c r="D105" t="inlineStr">
        <is>
          <t>HDD</t>
        </is>
      </c>
      <c r="E105" t="n">
        <v>61.5</v>
      </c>
      <c r="F105" s="5" t="n">
        <v>84.62</v>
      </c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>
        <v>36.84</v>
      </c>
      <c r="W105" s="6" t="n">
        <v>47.78</v>
      </c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t="inlineStr">
        <is>
          <t>concluido</t>
        </is>
      </c>
    </row>
    <row r="106" ht="15" customHeight="1">
      <c r="B106" s="5" t="inlineStr">
        <is>
          <t>CTS ÁGUA VERMELHA - ME</t>
        </is>
      </c>
      <c r="C106" t="n">
        <v>40</v>
      </c>
      <c r="D106" t="inlineStr">
        <is>
          <t>VCA</t>
        </is>
      </c>
      <c r="E106" t="n">
        <v>37.5</v>
      </c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t="inlineStr">
        <is>
          <t>concluido</t>
        </is>
      </c>
    </row>
    <row r="107">
      <c r="B107" s="5" t="inlineStr">
        <is>
          <t>CTS ÁGUA VERMELHA - ME</t>
        </is>
      </c>
      <c r="C107" t="n">
        <v>41</v>
      </c>
      <c r="D107" t="inlineStr">
        <is>
          <t>HDD</t>
        </is>
      </c>
      <c r="E107" t="n">
        <v>65.5</v>
      </c>
      <c r="F107" s="5" t="n">
        <v>35.5</v>
      </c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>
        <v>35.5</v>
      </c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t="inlineStr">
        <is>
          <t>concluido</t>
        </is>
      </c>
    </row>
    <row r="108">
      <c r="B108" s="5" t="inlineStr">
        <is>
          <t>CTS ÁGUA VERMELHA - ME</t>
        </is>
      </c>
      <c r="C108" t="n">
        <v>41</v>
      </c>
      <c r="D108" t="inlineStr">
        <is>
          <t>VCA</t>
        </is>
      </c>
      <c r="E108" t="n">
        <v>32.5</v>
      </c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t="inlineStr">
        <is>
          <t>concluido</t>
        </is>
      </c>
    </row>
    <row r="109">
      <c r="B109" s="5" t="inlineStr">
        <is>
          <t>CTS ÁGUA VERMELHA - ME</t>
        </is>
      </c>
      <c r="C109" t="n">
        <v>42</v>
      </c>
      <c r="D109" t="inlineStr">
        <is>
          <t>HDD</t>
        </is>
      </c>
      <c r="E109" t="n">
        <v>91.5</v>
      </c>
      <c r="F109" s="5" t="n">
        <v>34.38</v>
      </c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>
        <v>34.38</v>
      </c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t="inlineStr">
        <is>
          <t>concluido</t>
        </is>
      </c>
    </row>
    <row r="110">
      <c r="B110" s="5" t="inlineStr">
        <is>
          <t>CTS ÁGUA VERMELHA - ME</t>
        </is>
      </c>
      <c r="C110" t="n">
        <v>42</v>
      </c>
      <c r="D110" t="inlineStr">
        <is>
          <t>VCA</t>
        </is>
      </c>
      <c r="E110" t="n">
        <v>5.5</v>
      </c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t="inlineStr">
        <is>
          <t>concluido</t>
        </is>
      </c>
    </row>
    <row r="111">
      <c r="B111" s="5" t="inlineStr">
        <is>
          <t>CTS ÁGUA VERMELHA - ME</t>
        </is>
      </c>
      <c r="C111" t="n">
        <v>43</v>
      </c>
      <c r="D111" t="inlineStr">
        <is>
          <t>HDD</t>
        </is>
      </c>
      <c r="E111" t="n">
        <v>198</v>
      </c>
      <c r="F111" s="5" t="n">
        <v>167.19</v>
      </c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>
        <v>43.97</v>
      </c>
      <c r="W111" s="6" t="n">
        <v>123.22</v>
      </c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t="inlineStr">
        <is>
          <t>concluido</t>
        </is>
      </c>
    </row>
    <row r="112">
      <c r="B112" s="5" t="inlineStr">
        <is>
          <t>CTS ÁGUA VERMELHA - ME</t>
        </is>
      </c>
      <c r="C112" t="n">
        <v>43</v>
      </c>
      <c r="D112" t="inlineStr">
        <is>
          <t>VCA</t>
        </is>
      </c>
      <c r="E112" t="n">
        <v>2</v>
      </c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t="inlineStr">
        <is>
          <t>concluido</t>
        </is>
      </c>
    </row>
    <row r="113">
      <c r="B113" s="5" t="inlineStr">
        <is>
          <t>CTS ÁGUA VERMELHA - ME</t>
        </is>
      </c>
      <c r="C113" t="n">
        <v>44</v>
      </c>
      <c r="D113" t="inlineStr">
        <is>
          <t>HDD</t>
        </is>
      </c>
      <c r="E113" t="n">
        <v>75</v>
      </c>
      <c r="F113" s="5" t="n">
        <v>189</v>
      </c>
      <c r="J113" t="n">
        <v>531</v>
      </c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>
        <v>189</v>
      </c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t="inlineStr">
        <is>
          <t>concluido</t>
        </is>
      </c>
    </row>
    <row r="114">
      <c r="B114" s="5" t="inlineStr">
        <is>
          <t>CTS ÁGUA VERMELHA - ME</t>
        </is>
      </c>
      <c r="C114" t="n">
        <v>44</v>
      </c>
      <c r="D114" t="inlineStr">
        <is>
          <t>VCA</t>
        </is>
      </c>
      <c r="E114" t="n">
        <v>48.5</v>
      </c>
      <c r="F114" s="5" t="n">
        <v>70.93000000000001</v>
      </c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>
        <v>70.93000000000001</v>
      </c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t="inlineStr">
        <is>
          <t>concluido</t>
        </is>
      </c>
    </row>
    <row r="115">
      <c r="B115" s="5" t="inlineStr">
        <is>
          <t>CTS ÁGUA VERMELHA - MD</t>
        </is>
      </c>
      <c r="C115" t="n">
        <v>45</v>
      </c>
      <c r="D115" t="inlineStr">
        <is>
          <t>HDD</t>
        </is>
      </c>
      <c r="E115" t="n">
        <v>298</v>
      </c>
      <c r="F115" s="5" t="n">
        <v>363.85</v>
      </c>
      <c r="I115" t="n">
        <v>223</v>
      </c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>
        <v>329.56</v>
      </c>
      <c r="W115" s="6" t="n">
        <v>34.29</v>
      </c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t="inlineStr">
        <is>
          <t>concluido</t>
        </is>
      </c>
    </row>
    <row r="116">
      <c r="B116" s="5" t="inlineStr">
        <is>
          <t>CTS ÁGUA VERMELHA - MD</t>
        </is>
      </c>
      <c r="C116" t="n">
        <v>45</v>
      </c>
      <c r="D116" t="inlineStr">
        <is>
          <t>VCA</t>
        </is>
      </c>
      <c r="E116" t="n">
        <v>113.5</v>
      </c>
      <c r="F116" s="5" t="n">
        <v>19.84</v>
      </c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>
        <v>19.84</v>
      </c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t="inlineStr">
        <is>
          <t>concluido</t>
        </is>
      </c>
    </row>
    <row r="117">
      <c r="B117" s="5" t="inlineStr">
        <is>
          <t>CTS ÁGUA VERMELHA - MD</t>
        </is>
      </c>
      <c r="C117" t="n">
        <v>46</v>
      </c>
      <c r="D117" t="inlineStr">
        <is>
          <t>HDD</t>
        </is>
      </c>
      <c r="E117" t="n">
        <v>88</v>
      </c>
      <c r="F117" s="5" t="n">
        <v>89.05</v>
      </c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>
        <v>32.99</v>
      </c>
      <c r="W117" s="6" t="n">
        <v>56.06</v>
      </c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t="inlineStr">
        <is>
          <t>concluido</t>
        </is>
      </c>
    </row>
    <row r="118">
      <c r="B118" s="5" t="inlineStr">
        <is>
          <t>CTS ÁGUA VERMELHA - MD</t>
        </is>
      </c>
      <c r="C118" t="n">
        <v>46</v>
      </c>
      <c r="D118" t="inlineStr">
        <is>
          <t>VCA</t>
        </is>
      </c>
      <c r="E118" t="n">
        <v>2</v>
      </c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t="inlineStr">
        <is>
          <t>concluido</t>
        </is>
      </c>
    </row>
    <row r="119">
      <c r="B119" s="5" t="inlineStr">
        <is>
          <t>CTS ÁGUA VERMELHA - MD</t>
        </is>
      </c>
      <c r="C119" t="n">
        <v>47</v>
      </c>
      <c r="D119" t="inlineStr">
        <is>
          <t>HDD</t>
        </is>
      </c>
      <c r="E119" t="n">
        <v>68.5</v>
      </c>
      <c r="F119" s="5" t="n">
        <v>35.48</v>
      </c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>
        <v>35.48</v>
      </c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t="inlineStr">
        <is>
          <t>concluido</t>
        </is>
      </c>
    </row>
    <row r="120">
      <c r="B120" s="5" t="inlineStr">
        <is>
          <t>CTS ÁGUA VERMELHA - MD</t>
        </is>
      </c>
      <c r="C120" t="n">
        <v>47</v>
      </c>
      <c r="D120" t="inlineStr">
        <is>
          <t>VCA</t>
        </is>
      </c>
      <c r="E120" t="n">
        <v>26</v>
      </c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t="inlineStr">
        <is>
          <t>concluido</t>
        </is>
      </c>
    </row>
    <row r="121">
      <c r="B121" s="5" t="inlineStr">
        <is>
          <t>CTS ÁGUA VERMELHA - MD</t>
        </is>
      </c>
      <c r="C121" t="n">
        <v>48</v>
      </c>
      <c r="D121" t="inlineStr">
        <is>
          <t>HDD</t>
        </is>
      </c>
      <c r="E121" t="n">
        <v>216.5</v>
      </c>
      <c r="F121" s="5" t="n">
        <v>206.17</v>
      </c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>
        <v>129.67</v>
      </c>
      <c r="W121" s="6" t="n">
        <v>76.5</v>
      </c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t="inlineStr">
        <is>
          <t>concluido</t>
        </is>
      </c>
    </row>
    <row r="122">
      <c r="B122" s="5" t="inlineStr">
        <is>
          <t>CTS ÁGUA VERMELHA - MD</t>
        </is>
      </c>
      <c r="C122" t="n">
        <v>48</v>
      </c>
      <c r="D122" t="inlineStr">
        <is>
          <t>VCA</t>
        </is>
      </c>
      <c r="E122" t="n">
        <v>86</v>
      </c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t="inlineStr">
        <is>
          <t>concluido</t>
        </is>
      </c>
    </row>
    <row r="123">
      <c r="B123" s="5" t="inlineStr">
        <is>
          <t>CTS ÁGUA VERMELHA - MD</t>
        </is>
      </c>
      <c r="C123" t="n">
        <v>49</v>
      </c>
      <c r="D123" t="inlineStr">
        <is>
          <t>HDD</t>
        </is>
      </c>
      <c r="E123" t="n">
        <v>68</v>
      </c>
      <c r="F123" s="5" t="n">
        <v>97.16</v>
      </c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>
        <v>68.16</v>
      </c>
      <c r="W123" s="6" t="n">
        <v>29</v>
      </c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t="inlineStr">
        <is>
          <t>concluido</t>
        </is>
      </c>
    </row>
    <row r="124">
      <c r="B124" s="5" t="inlineStr">
        <is>
          <t>CTS ÁGUA VERMELHA - MD</t>
        </is>
      </c>
      <c r="C124" t="n">
        <v>49</v>
      </c>
      <c r="D124" t="inlineStr">
        <is>
          <t>VCA</t>
        </is>
      </c>
      <c r="E124" t="n">
        <v>40.5</v>
      </c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t="inlineStr">
        <is>
          <t>concluido</t>
        </is>
      </c>
    </row>
    <row r="125">
      <c r="B125" s="5" t="inlineStr">
        <is>
          <t>CTS ÁGUA VERMELHA - MD</t>
        </is>
      </c>
      <c r="C125" t="n">
        <v>50</v>
      </c>
      <c r="D125" t="inlineStr">
        <is>
          <t>HDD</t>
        </is>
      </c>
      <c r="E125" t="n">
        <v>87.5</v>
      </c>
      <c r="F125" s="5" t="n">
        <v>35.42</v>
      </c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>
        <v>35.42</v>
      </c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t="inlineStr">
        <is>
          <t>concluido</t>
        </is>
      </c>
    </row>
    <row r="126">
      <c r="B126" s="5" t="inlineStr">
        <is>
          <t>CTS ÁGUA VERMELHA - MD</t>
        </is>
      </c>
      <c r="C126" t="n">
        <v>50</v>
      </c>
      <c r="D126" t="inlineStr">
        <is>
          <t>VCA</t>
        </is>
      </c>
      <c r="E126" t="n">
        <v>2</v>
      </c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t="inlineStr">
        <is>
          <t>concluido</t>
        </is>
      </c>
    </row>
    <row r="127">
      <c r="B127" s="5" t="inlineStr">
        <is>
          <t>CTS ÁGUA VERMELHA - MD</t>
        </is>
      </c>
      <c r="C127" t="n">
        <v>51</v>
      </c>
      <c r="D127" t="inlineStr">
        <is>
          <t>HDD</t>
        </is>
      </c>
      <c r="E127" t="n">
        <v>84.5</v>
      </c>
      <c r="F127" s="5" t="n">
        <v>34.41</v>
      </c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>
        <v>34.41</v>
      </c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t="inlineStr">
        <is>
          <t>concluido</t>
        </is>
      </c>
    </row>
    <row r="128">
      <c r="B128" s="5" t="inlineStr">
        <is>
          <t>CTS ÁGUA VERMELHA - MD</t>
        </is>
      </c>
      <c r="C128" t="n">
        <v>51</v>
      </c>
      <c r="D128" t="inlineStr">
        <is>
          <t>VCA</t>
        </is>
      </c>
      <c r="E128" t="n">
        <v>2</v>
      </c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t="inlineStr">
        <is>
          <t>concluido</t>
        </is>
      </c>
    </row>
    <row r="129">
      <c r="B129" s="5" t="inlineStr">
        <is>
          <t>CTS ÁGUA VERMELHA - MD</t>
        </is>
      </c>
      <c r="C129" t="n">
        <v>52</v>
      </c>
      <c r="D129" t="inlineStr">
        <is>
          <t>HDD</t>
        </is>
      </c>
      <c r="E129" t="n">
        <v>109</v>
      </c>
      <c r="F129" s="5" t="n">
        <v>47.44</v>
      </c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>
        <v>47.44</v>
      </c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t="inlineStr">
        <is>
          <t>concluido</t>
        </is>
      </c>
    </row>
    <row r="130">
      <c r="B130" s="5" t="inlineStr">
        <is>
          <t>CTS ÁGUA VERMELHA - MD</t>
        </is>
      </c>
      <c r="C130" t="n">
        <v>52</v>
      </c>
      <c r="D130" t="inlineStr">
        <is>
          <t>VCA</t>
        </is>
      </c>
      <c r="E130" t="n">
        <v>9.5</v>
      </c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t="inlineStr">
        <is>
          <t>concluido</t>
        </is>
      </c>
    </row>
    <row r="131">
      <c r="B131" s="5" t="inlineStr">
        <is>
          <t>CTS ÁGUA VERMELHA - MD</t>
        </is>
      </c>
      <c r="C131" t="n">
        <v>53</v>
      </c>
      <c r="D131" t="inlineStr">
        <is>
          <t>HDD</t>
        </is>
      </c>
      <c r="E131" t="n">
        <v>255</v>
      </c>
      <c r="F131" s="5" t="n">
        <v>255.86</v>
      </c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>
        <v>67.05</v>
      </c>
      <c r="W131" s="6" t="n"/>
      <c r="X131" s="6" t="n">
        <v>188.81</v>
      </c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t="inlineStr">
        <is>
          <t>concluido</t>
        </is>
      </c>
    </row>
    <row r="132">
      <c r="B132" s="5" t="inlineStr">
        <is>
          <t>CTS ÁGUA VERMELHA - MD</t>
        </is>
      </c>
      <c r="C132" t="n">
        <v>53</v>
      </c>
      <c r="D132" t="inlineStr">
        <is>
          <t>VCA</t>
        </is>
      </c>
      <c r="E132" t="n">
        <v>144</v>
      </c>
      <c r="F132" s="5" t="n">
        <v>0</v>
      </c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t="inlineStr">
        <is>
          <t>concluido</t>
        </is>
      </c>
    </row>
    <row r="133">
      <c r="B133" s="5" t="inlineStr">
        <is>
          <t>CT LAGEADO MONTANTE</t>
        </is>
      </c>
      <c r="C133" t="n">
        <v>54</v>
      </c>
      <c r="D133" t="inlineStr">
        <is>
          <t>HDD</t>
        </is>
      </c>
      <c r="E133" t="n">
        <v>561.5</v>
      </c>
      <c r="F133" s="9" t="n">
        <v>445.49</v>
      </c>
      <c r="G133" t="n">
        <v>32</v>
      </c>
      <c r="H133" t="n">
        <v>186.84</v>
      </c>
      <c r="I133" t="n">
        <v>443</v>
      </c>
      <c r="J133" t="n">
        <v>2397</v>
      </c>
      <c r="L133" s="6" t="n"/>
      <c r="M133" s="6" t="n"/>
      <c r="N133" s="6" t="n"/>
      <c r="O133" s="6" t="n"/>
      <c r="P133" s="6" t="n"/>
      <c r="Q133" s="6" t="n"/>
      <c r="R133" s="6" t="n"/>
      <c r="S133" s="6" t="n">
        <v>162.165</v>
      </c>
      <c r="T133" s="6" t="n">
        <v>283.325</v>
      </c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t="inlineStr">
        <is>
          <t>concluido</t>
        </is>
      </c>
    </row>
    <row r="134">
      <c r="B134" s="5" t="inlineStr">
        <is>
          <t>CT LAGEADO MONTANTE</t>
        </is>
      </c>
      <c r="C134" t="n">
        <v>54</v>
      </c>
      <c r="D134" t="inlineStr">
        <is>
          <t>VCA</t>
        </is>
      </c>
      <c r="E134" t="n">
        <v>144.5</v>
      </c>
      <c r="F134" s="9" t="n">
        <v>75.59999999999999</v>
      </c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>
        <v>75.59999999999999</v>
      </c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t="inlineStr">
        <is>
          <t>concluido</t>
        </is>
      </c>
    </row>
    <row r="135">
      <c r="B135" s="5" t="inlineStr">
        <is>
          <t>CT LAGEADO MONTANTE</t>
        </is>
      </c>
      <c r="C135" t="n">
        <v>55</v>
      </c>
      <c r="D135" t="inlineStr">
        <is>
          <t>HDD</t>
        </is>
      </c>
      <c r="E135" t="n">
        <v>451.5</v>
      </c>
      <c r="F135" s="9" t="n">
        <v>629.14</v>
      </c>
      <c r="I135" t="n">
        <v>788</v>
      </c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>
        <v>629.14</v>
      </c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t="inlineStr">
        <is>
          <t>concluido</t>
        </is>
      </c>
    </row>
    <row r="136">
      <c r="B136" s="5" t="inlineStr">
        <is>
          <t>CT LAGEADO MONTANTE</t>
        </is>
      </c>
      <c r="C136" t="n">
        <v>55</v>
      </c>
      <c r="D136" t="inlineStr">
        <is>
          <t>VCA</t>
        </is>
      </c>
      <c r="E136" t="n">
        <v>144.5</v>
      </c>
      <c r="F136" s="9" t="n">
        <v>37.89</v>
      </c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>
        <v>37.89</v>
      </c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t="inlineStr">
        <is>
          <t>concluido</t>
        </is>
      </c>
    </row>
    <row r="137">
      <c r="B137" s="5" t="inlineStr">
        <is>
          <t>CT LAGEADO MONTANTE</t>
        </is>
      </c>
      <c r="C137" t="n">
        <v>56</v>
      </c>
      <c r="D137" t="inlineStr">
        <is>
          <t>HDD</t>
        </is>
      </c>
      <c r="E137" t="n">
        <v>322</v>
      </c>
      <c r="F137" s="9" t="n">
        <v>108.02</v>
      </c>
      <c r="I137" t="n">
        <v>654</v>
      </c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>
        <v>108.02</v>
      </c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t="inlineStr">
        <is>
          <t>em andamento</t>
        </is>
      </c>
    </row>
    <row r="138">
      <c r="B138" s="5" t="inlineStr">
        <is>
          <t>CT LAGEADO MONTANTE</t>
        </is>
      </c>
      <c r="C138" t="n">
        <v>56</v>
      </c>
      <c r="D138" t="inlineStr">
        <is>
          <t>VCA</t>
        </is>
      </c>
      <c r="E138" t="n">
        <v>100</v>
      </c>
      <c r="F138" s="9" t="n">
        <v>1.55</v>
      </c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>
        <v>1.55</v>
      </c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t="inlineStr">
        <is>
          <t>em andamento</t>
        </is>
      </c>
    </row>
    <row r="139">
      <c r="B139" t="inlineStr">
        <is>
          <t>RCE AV. BARÃO L. ARARIBA</t>
        </is>
      </c>
      <c r="C139" t="n">
        <v>57</v>
      </c>
      <c r="D139" t="inlineStr">
        <is>
          <t>HDD</t>
        </is>
      </c>
      <c r="E139" t="n">
        <v>0</v>
      </c>
      <c r="F139" s="5" t="n">
        <v>296.6</v>
      </c>
      <c r="I139" t="n">
        <v>511</v>
      </c>
      <c r="J139" t="n">
        <v>393</v>
      </c>
      <c r="L139" s="6" t="n"/>
      <c r="M139" s="6" t="n"/>
      <c r="N139" s="6" t="n"/>
      <c r="O139" s="6" t="n"/>
      <c r="P139" s="6" t="n"/>
      <c r="Q139" s="6" t="n"/>
      <c r="R139" s="6" t="n">
        <v>296.6</v>
      </c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t="inlineStr">
        <is>
          <t>concluido</t>
        </is>
      </c>
    </row>
    <row r="140">
      <c r="B140" t="inlineStr">
        <is>
          <t>RCE AV. BARÃO L. ARARIBA</t>
        </is>
      </c>
      <c r="C140" t="n">
        <v>57</v>
      </c>
      <c r="D140" t="inlineStr">
        <is>
          <t>VCA</t>
        </is>
      </c>
      <c r="E140" t="n">
        <v>437</v>
      </c>
      <c r="F140" s="5" t="n">
        <v>0</v>
      </c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t="inlineStr">
        <is>
          <t>concluido</t>
        </is>
      </c>
    </row>
    <row r="141">
      <c r="B141" t="inlineStr">
        <is>
          <t>RCE AV. BARÃO L. ARARIBA</t>
        </is>
      </c>
      <c r="C141" t="n">
        <v>58</v>
      </c>
      <c r="D141" t="inlineStr">
        <is>
          <t>HDD</t>
        </is>
      </c>
      <c r="E141" t="n">
        <v>141.5</v>
      </c>
      <c r="F141" s="5" t="n">
        <v>204.3</v>
      </c>
      <c r="I141" t="n">
        <v>118</v>
      </c>
      <c r="L141" s="6" t="n"/>
      <c r="M141" s="6" t="n"/>
      <c r="N141" s="6" t="n"/>
      <c r="O141" s="6" t="n"/>
      <c r="P141" s="6" t="n"/>
      <c r="Q141" s="6" t="n"/>
      <c r="R141" s="6" t="n">
        <v>102.5</v>
      </c>
      <c r="S141" s="6" t="n"/>
      <c r="T141" s="6" t="n"/>
      <c r="U141" s="6" t="n">
        <v>28.8</v>
      </c>
      <c r="V141" s="6" t="n">
        <v>73</v>
      </c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</row>
    <row r="142">
      <c r="B142" t="inlineStr">
        <is>
          <t>RCE AV. BARÃO L. ARARIBA</t>
        </is>
      </c>
      <c r="C142" t="n">
        <v>58</v>
      </c>
      <c r="D142" t="inlineStr">
        <is>
          <t>VCA</t>
        </is>
      </c>
      <c r="E142" t="n">
        <v>70.5</v>
      </c>
      <c r="F142" s="5" t="n">
        <v>48</v>
      </c>
      <c r="L142" s="6" t="n"/>
      <c r="M142" s="6" t="n"/>
      <c r="N142" s="6" t="n"/>
      <c r="O142" s="6" t="n"/>
      <c r="P142" s="6" t="n"/>
      <c r="Q142" s="6" t="n"/>
      <c r="R142" s="6" t="n">
        <v>16</v>
      </c>
      <c r="S142" s="6" t="n"/>
      <c r="T142" s="6" t="n"/>
      <c r="U142" s="6" t="n"/>
      <c r="V142" s="6" t="n">
        <v>32</v>
      </c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</row>
    <row r="143">
      <c r="B143" s="5" t="inlineStr">
        <is>
          <t>RCE AV. FERNANDO PACHECO JORDÃO</t>
        </is>
      </c>
      <c r="C143" t="n">
        <v>59</v>
      </c>
      <c r="D143" t="inlineStr">
        <is>
          <t>HDD</t>
        </is>
      </c>
      <c r="E143" t="n">
        <v>75.5</v>
      </c>
      <c r="F143" s="5" t="n">
        <v>220.59</v>
      </c>
      <c r="I143" t="n">
        <v>2295</v>
      </c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7" t="n">
        <v>220.59</v>
      </c>
      <c r="Y143" s="6" t="n"/>
      <c r="Z143" s="6" t="n"/>
      <c r="AA143" s="6" t="n"/>
      <c r="AB143" s="6" t="n"/>
      <c r="AC143" s="6" t="n"/>
      <c r="AD143" s="6" t="n"/>
      <c r="AE143" s="6" t="n"/>
      <c r="AF143" s="6" t="n"/>
    </row>
    <row r="144">
      <c r="B144" s="5" t="inlineStr">
        <is>
          <t>RCE AV. FERNANDO PACHECO JORDÃO</t>
        </is>
      </c>
      <c r="C144" t="n">
        <v>59</v>
      </c>
      <c r="D144" t="inlineStr">
        <is>
          <t>VCA</t>
        </is>
      </c>
      <c r="E144" t="n">
        <v>130</v>
      </c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</row>
    <row r="145">
      <c r="B145" t="inlineStr">
        <is>
          <t xml:space="preserve">RCE AV. MARECHAL TITO </t>
        </is>
      </c>
      <c r="C145" t="n">
        <v>60</v>
      </c>
      <c r="D145" t="inlineStr">
        <is>
          <t>HDD</t>
        </is>
      </c>
      <c r="E145" t="n">
        <v>174</v>
      </c>
      <c r="I145" t="n">
        <v>220</v>
      </c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t="inlineStr">
        <is>
          <t>em andamento</t>
        </is>
      </c>
    </row>
    <row r="146">
      <c r="B146" t="inlineStr">
        <is>
          <t xml:space="preserve">RCE AV. MARECHAL TITO </t>
        </is>
      </c>
      <c r="C146" t="n">
        <v>60</v>
      </c>
      <c r="D146" t="inlineStr">
        <is>
          <t>VCA</t>
        </is>
      </c>
      <c r="E146" t="n">
        <v>415.5</v>
      </c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t="inlineStr">
        <is>
          <t>em andamento</t>
        </is>
      </c>
    </row>
    <row r="147">
      <c r="B147" t="inlineStr">
        <is>
          <t xml:space="preserve">RCE EUCLIDES DA FONSECA </t>
        </is>
      </c>
      <c r="C147" t="n">
        <v>60</v>
      </c>
      <c r="D147" t="inlineStr">
        <is>
          <t>HDD</t>
        </is>
      </c>
      <c r="E147" t="n">
        <v>28.85</v>
      </c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</row>
    <row r="148">
      <c r="B148" t="inlineStr">
        <is>
          <t xml:space="preserve">RCE EUCLIDES DA FONSECA </t>
        </is>
      </c>
      <c r="C148" t="n">
        <v>60</v>
      </c>
      <c r="D148" t="inlineStr">
        <is>
          <t>VCA</t>
        </is>
      </c>
      <c r="E148" t="n">
        <v>138.24</v>
      </c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</row>
    <row r="149">
      <c r="B149" t="inlineStr">
        <is>
          <t>RCE SÃO LUCAS</t>
        </is>
      </c>
      <c r="C149" t="n">
        <v>61</v>
      </c>
      <c r="D149" t="inlineStr">
        <is>
          <t>HDD</t>
        </is>
      </c>
      <c r="E149" t="n">
        <v>0</v>
      </c>
      <c r="F149" s="5" t="n">
        <v>0</v>
      </c>
      <c r="I149" t="n">
        <v>94</v>
      </c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</row>
    <row r="150">
      <c r="B150" t="inlineStr">
        <is>
          <t>RCE SÃO LUCAS</t>
        </is>
      </c>
      <c r="C150" t="n">
        <v>61</v>
      </c>
      <c r="D150" t="inlineStr">
        <is>
          <t>VCA</t>
        </is>
      </c>
      <c r="E150" t="n">
        <v>1799.2</v>
      </c>
      <c r="F150" s="5" t="n">
        <v>81</v>
      </c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>
        <v>9</v>
      </c>
      <c r="V150" s="6" t="n"/>
      <c r="W150" s="6" t="n"/>
      <c r="X150" s="6" t="n"/>
      <c r="Y150" s="6" t="n">
        <v>72</v>
      </c>
      <c r="Z150" s="6" t="n"/>
      <c r="AA150" s="6" t="n"/>
      <c r="AB150" s="6" t="n"/>
      <c r="AC150" s="6" t="n"/>
      <c r="AD150" s="6" t="n"/>
      <c r="AE150" s="6" t="n"/>
      <c r="AF150" s="6" t="n"/>
    </row>
    <row r="151">
      <c r="B151" t="inlineStr">
        <is>
          <t xml:space="preserve">INTERL. CÓRREGO LEGEADO </t>
        </is>
      </c>
      <c r="C151" t="n">
        <v>61</v>
      </c>
      <c r="D151" t="inlineStr">
        <is>
          <t>HDD</t>
        </is>
      </c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</row>
    <row r="152">
      <c r="B152" t="inlineStr">
        <is>
          <t xml:space="preserve">INTERL. CÓRREGO LEGEADO </t>
        </is>
      </c>
      <c r="C152" t="n">
        <v>61</v>
      </c>
      <c r="D152" t="inlineStr">
        <is>
          <t>VCA</t>
        </is>
      </c>
      <c r="E152" t="n">
        <v>109.8</v>
      </c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</row>
    <row r="153">
      <c r="B153" t="inlineStr">
        <is>
          <t xml:space="preserve">INTERL. RUA AYRTON SENNA </t>
        </is>
      </c>
      <c r="C153" t="n">
        <v>62</v>
      </c>
      <c r="D153" t="inlineStr">
        <is>
          <t>HDD</t>
        </is>
      </c>
      <c r="I153" t="n">
        <v>32</v>
      </c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</row>
    <row r="154">
      <c r="B154" t="inlineStr">
        <is>
          <t xml:space="preserve">INTERL. RUA AYRTON SENNA </t>
        </is>
      </c>
      <c r="C154" t="n">
        <v>62</v>
      </c>
      <c r="D154" t="inlineStr">
        <is>
          <t>VCA</t>
        </is>
      </c>
      <c r="E154" t="n">
        <v>59.5</v>
      </c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</row>
    <row r="155">
      <c r="B155" t="inlineStr">
        <is>
          <t xml:space="preserve">RCE TERRA PROMETIDA </t>
        </is>
      </c>
      <c r="C155" t="n">
        <v>63</v>
      </c>
      <c r="D155" t="inlineStr">
        <is>
          <t>HDD</t>
        </is>
      </c>
      <c r="I155" t="n">
        <v>1180</v>
      </c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</row>
    <row r="156">
      <c r="B156" t="inlineStr">
        <is>
          <t xml:space="preserve">RCE TERRA PROMETIDA </t>
        </is>
      </c>
      <c r="C156" t="n">
        <v>63</v>
      </c>
      <c r="D156" t="inlineStr">
        <is>
          <t>VCA</t>
        </is>
      </c>
      <c r="E156" t="n">
        <v>382.5</v>
      </c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</row>
    <row r="157">
      <c r="B157" t="inlineStr">
        <is>
          <t>REC/ INTERL. AV. RIO MIRAÍ</t>
        </is>
      </c>
      <c r="C157" t="n">
        <v>63</v>
      </c>
      <c r="D157" t="inlineStr">
        <is>
          <t>HDD</t>
        </is>
      </c>
      <c r="E157" t="n">
        <v>418.5</v>
      </c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t="inlineStr">
        <is>
          <t>concuido</t>
        </is>
      </c>
    </row>
    <row r="158">
      <c r="B158" t="inlineStr">
        <is>
          <t>REC/ INTERL. AV. RIO MIRAÍ</t>
        </is>
      </c>
      <c r="C158" t="n">
        <v>63</v>
      </c>
      <c r="D158" t="inlineStr">
        <is>
          <t>VCA</t>
        </is>
      </c>
      <c r="E158" t="n">
        <v>441.5</v>
      </c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t="inlineStr">
        <is>
          <t>concuido</t>
        </is>
      </c>
    </row>
    <row r="159">
      <c r="B159" s="5" t="inlineStr">
        <is>
          <t>CTS MAR DE CORAL</t>
        </is>
      </c>
      <c r="C159" t="n">
        <v>64</v>
      </c>
      <c r="D159" t="inlineStr">
        <is>
          <t>HDD</t>
        </is>
      </c>
      <c r="E159" t="n">
        <v>240.4</v>
      </c>
      <c r="F159" s="5" t="n">
        <v>582.63</v>
      </c>
      <c r="G159" t="n">
        <v>18</v>
      </c>
      <c r="H159" t="n">
        <v>61.47</v>
      </c>
      <c r="I159" t="n">
        <v>1989</v>
      </c>
      <c r="J159" t="n">
        <v>1901</v>
      </c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>
        <f>528.5-68.36</f>
        <v/>
      </c>
      <c r="V159" s="6">
        <f>52.4-0.15</f>
        <v/>
      </c>
      <c r="W159" s="6" t="n"/>
      <c r="X159" s="6" t="n">
        <v>70.23999999999999</v>
      </c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t="inlineStr">
        <is>
          <t>concuido</t>
        </is>
      </c>
    </row>
    <row r="160">
      <c r="B160" s="5" t="inlineStr">
        <is>
          <t>CTS MAR DE CORAL</t>
        </is>
      </c>
      <c r="C160" t="n">
        <v>64</v>
      </c>
      <c r="D160" t="inlineStr">
        <is>
          <t>VCA</t>
        </is>
      </c>
      <c r="E160" t="n">
        <v>976.24</v>
      </c>
      <c r="F160" s="5" t="n">
        <v>162.15</v>
      </c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>
        <v>42.7</v>
      </c>
      <c r="V160" s="6" t="n"/>
      <c r="W160" s="6" t="n">
        <v>39.8</v>
      </c>
      <c r="X160" s="6" t="n">
        <v>8.81</v>
      </c>
      <c r="Y160" s="6" t="n">
        <v>70.84</v>
      </c>
      <c r="Z160" s="6" t="n"/>
      <c r="AA160" s="6" t="n"/>
      <c r="AB160" s="6" t="n"/>
      <c r="AC160" s="6" t="n"/>
      <c r="AD160" s="6" t="n"/>
      <c r="AE160" s="6" t="n"/>
      <c r="AF160" s="6" t="n"/>
      <c r="AG160" t="inlineStr">
        <is>
          <t>concuido</t>
        </is>
      </c>
    </row>
    <row r="161">
      <c r="B161" s="5" t="inlineStr">
        <is>
          <t>CTS MAR DE CORAL</t>
        </is>
      </c>
      <c r="C161" t="n">
        <v>65</v>
      </c>
      <c r="D161" t="inlineStr">
        <is>
          <t>HDD</t>
        </is>
      </c>
      <c r="E161" t="n">
        <v>286</v>
      </c>
      <c r="F161" s="5" t="n">
        <v>374.7</v>
      </c>
      <c r="G161" t="n">
        <v>8</v>
      </c>
      <c r="H161" t="n">
        <v>28.55</v>
      </c>
      <c r="I161" t="n">
        <v>574</v>
      </c>
      <c r="J161" t="n">
        <v>822</v>
      </c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>
        <f>67.2+51</f>
        <v/>
      </c>
      <c r="V161" s="6" t="n">
        <v>256.5</v>
      </c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t="inlineStr">
        <is>
          <t>concuido</t>
        </is>
      </c>
    </row>
    <row r="162">
      <c r="B162" s="5" t="inlineStr">
        <is>
          <t>CTS MAR DE CORAL</t>
        </is>
      </c>
      <c r="C162" t="n">
        <v>65</v>
      </c>
      <c r="D162" t="inlineStr">
        <is>
          <t>VCA</t>
        </is>
      </c>
      <c r="E162" t="n">
        <v>566.3</v>
      </c>
      <c r="F162" s="5" t="n">
        <v>142.61</v>
      </c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>
        <v>65.59999999999999</v>
      </c>
      <c r="X162" s="6" t="n"/>
      <c r="Y162" s="6">
        <f>14.84+38.87+23.3</f>
        <v/>
      </c>
      <c r="Z162" s="6" t="n"/>
      <c r="AA162" s="6" t="n"/>
      <c r="AB162" s="6" t="n"/>
      <c r="AC162" s="6" t="n"/>
      <c r="AD162" s="6" t="n"/>
      <c r="AE162" s="6" t="n"/>
      <c r="AF162" s="6" t="n"/>
      <c r="AG162" t="inlineStr">
        <is>
          <t>concuido</t>
        </is>
      </c>
    </row>
    <row r="163">
      <c r="B163" s="5" t="inlineStr">
        <is>
          <t>CTS MAR DE CORAL</t>
        </is>
      </c>
      <c r="C163" t="n">
        <v>66</v>
      </c>
      <c r="D163" t="inlineStr">
        <is>
          <t>HDD</t>
        </is>
      </c>
      <c r="F163" s="5" t="n">
        <v>207.4</v>
      </c>
      <c r="G163" t="n">
        <v>7</v>
      </c>
      <c r="H163" t="n">
        <v>21.76</v>
      </c>
      <c r="I163" t="n">
        <v>597</v>
      </c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>
        <v>207.4</v>
      </c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</row>
    <row r="164">
      <c r="B164" s="5" t="inlineStr">
        <is>
          <t>CTS MAR DE CORAL</t>
        </is>
      </c>
      <c r="C164" t="n">
        <v>66</v>
      </c>
      <c r="D164" t="inlineStr">
        <is>
          <t>VCA</t>
        </is>
      </c>
      <c r="E164" t="n">
        <v>116.6</v>
      </c>
      <c r="F164" s="5" t="n">
        <v>2</v>
      </c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>
        <v>2</v>
      </c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</row>
    <row r="165">
      <c r="B165" t="inlineStr">
        <is>
          <t xml:space="preserve">REC JD. SÃO MARTINHO </t>
        </is>
      </c>
      <c r="C165" t="n">
        <v>67</v>
      </c>
      <c r="D165" t="inlineStr">
        <is>
          <t>HDD</t>
        </is>
      </c>
      <c r="E165" t="n">
        <v>772.0700000000001</v>
      </c>
      <c r="I165" t="n">
        <v>785</v>
      </c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</row>
    <row r="166">
      <c r="B166" t="inlineStr">
        <is>
          <t xml:space="preserve">REC JD. SÃO MARTINHO </t>
        </is>
      </c>
      <c r="C166" t="n">
        <v>67</v>
      </c>
      <c r="D166" t="inlineStr">
        <is>
          <t>VCA</t>
        </is>
      </c>
      <c r="E166" t="n">
        <v>894.97</v>
      </c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</row>
    <row r="167">
      <c r="B167" t="inlineStr">
        <is>
          <t xml:space="preserve">RCE BORBOLETA AMARELA </t>
        </is>
      </c>
      <c r="C167" t="n">
        <v>68</v>
      </c>
      <c r="D167" t="inlineStr">
        <is>
          <t>HDD</t>
        </is>
      </c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t="inlineStr">
        <is>
          <t>concluido</t>
        </is>
      </c>
    </row>
    <row r="168">
      <c r="B168" t="inlineStr">
        <is>
          <t xml:space="preserve">RCE BORBOLETA AMARELA </t>
        </is>
      </c>
      <c r="C168" t="n">
        <v>68</v>
      </c>
      <c r="D168" t="inlineStr">
        <is>
          <t>VCA</t>
        </is>
      </c>
      <c r="E168" t="n">
        <v>747</v>
      </c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t="inlineStr">
        <is>
          <t>concluido</t>
        </is>
      </c>
    </row>
    <row r="169">
      <c r="B169" s="5" t="inlineStr">
        <is>
          <t xml:space="preserve">CTS LUIZ BOTELHO MOURÃO </t>
        </is>
      </c>
      <c r="C169" t="n">
        <v>69</v>
      </c>
      <c r="D169" t="inlineStr">
        <is>
          <t>HDD</t>
        </is>
      </c>
      <c r="E169" t="n">
        <v>205.65</v>
      </c>
      <c r="F169" s="5" t="n">
        <v>76.40000000000001</v>
      </c>
      <c r="I169" t="n">
        <v>288</v>
      </c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>
        <v>76.40000000000001</v>
      </c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t="inlineStr">
        <is>
          <t>concluido</t>
        </is>
      </c>
    </row>
    <row r="170">
      <c r="B170" s="5" t="inlineStr">
        <is>
          <t xml:space="preserve">CTS LUIZ BOTELHO MOURÃO </t>
        </is>
      </c>
      <c r="C170" t="n">
        <v>69</v>
      </c>
      <c r="D170" t="inlineStr">
        <is>
          <t>VCA</t>
        </is>
      </c>
      <c r="E170" t="n">
        <v>59.6</v>
      </c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t="inlineStr">
        <is>
          <t>concluido</t>
        </is>
      </c>
    </row>
    <row r="171">
      <c r="B171" s="5" t="inlineStr">
        <is>
          <t xml:space="preserve">CTS LUIZ BOTELHO MOURÃO </t>
        </is>
      </c>
      <c r="C171" t="n">
        <v>70</v>
      </c>
      <c r="D171" t="inlineStr">
        <is>
          <t>HDD</t>
        </is>
      </c>
      <c r="E171" t="n">
        <v>62.5</v>
      </c>
      <c r="F171" s="5" t="n">
        <v>344.13</v>
      </c>
      <c r="I171" t="n">
        <v>415</v>
      </c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>
        <v>81.8</v>
      </c>
      <c r="X171" s="6">
        <f>42+158.17+61.95+0.21</f>
        <v/>
      </c>
      <c r="Y171" s="6" t="n"/>
      <c r="Z171" s="6" t="n"/>
      <c r="AA171" s="6" t="n"/>
      <c r="AB171" s="6" t="n"/>
      <c r="AC171" s="6" t="n"/>
      <c r="AD171" s="6" t="n"/>
      <c r="AE171" s="6" t="n"/>
      <c r="AF171" s="6" t="n"/>
    </row>
    <row r="172">
      <c r="B172" s="5" t="inlineStr">
        <is>
          <t xml:space="preserve">CTS LUIZ BOTELHO MOURÃO </t>
        </is>
      </c>
      <c r="C172" t="n">
        <v>70</v>
      </c>
      <c r="D172" t="inlineStr">
        <is>
          <t>VCA</t>
        </is>
      </c>
      <c r="E172" t="n">
        <v>63</v>
      </c>
      <c r="F172" s="5" t="n">
        <v>47.56</v>
      </c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>
        <v>47.56</v>
      </c>
      <c r="Y172" s="6" t="n"/>
      <c r="Z172" s="6" t="n"/>
      <c r="AA172" s="6" t="n"/>
      <c r="AB172" s="6" t="n"/>
      <c r="AC172" s="6" t="n"/>
      <c r="AD172" s="6" t="n"/>
      <c r="AE172" s="6" t="n"/>
      <c r="AF172" s="6" t="n"/>
    </row>
    <row r="173">
      <c r="B173" t="inlineStr">
        <is>
          <t xml:space="preserve">RCE RUA ALTO JURUÁ </t>
        </is>
      </c>
      <c r="C173" t="n">
        <v>71</v>
      </c>
      <c r="D173" t="inlineStr">
        <is>
          <t>HDD</t>
        </is>
      </c>
      <c r="E173" t="n">
        <v>217</v>
      </c>
      <c r="I173" t="n">
        <v>141</v>
      </c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</row>
    <row r="174">
      <c r="B174" t="inlineStr">
        <is>
          <t xml:space="preserve">RCE RUA ALTO JURUÁ </t>
        </is>
      </c>
      <c r="C174" t="n">
        <v>71</v>
      </c>
      <c r="D174" t="inlineStr">
        <is>
          <t>VCA</t>
        </is>
      </c>
      <c r="E174" t="n">
        <v>28</v>
      </c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</row>
    <row r="175">
      <c r="B175" t="inlineStr">
        <is>
          <t>RCE AV. DOM JOÃO NERY</t>
        </is>
      </c>
      <c r="C175" t="n">
        <v>71</v>
      </c>
      <c r="D175" t="inlineStr">
        <is>
          <t>HDD</t>
        </is>
      </c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</row>
    <row r="176">
      <c r="B176" t="inlineStr">
        <is>
          <t>RCE AV. DOM JOÃO NERY</t>
        </is>
      </c>
      <c r="C176" t="n">
        <v>71</v>
      </c>
      <c r="D176" t="inlineStr">
        <is>
          <t>VCA</t>
        </is>
      </c>
      <c r="E176" t="n">
        <v>125</v>
      </c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</row>
    <row r="177">
      <c r="B177" t="inlineStr">
        <is>
          <t xml:space="preserve">INTERL. RUA JOÃO LIMA DA SILVA </t>
        </is>
      </c>
      <c r="C177" t="n">
        <v>73</v>
      </c>
      <c r="D177" t="inlineStr">
        <is>
          <t>HDD</t>
        </is>
      </c>
      <c r="E177" t="n">
        <v>131.3</v>
      </c>
      <c r="I177" t="n">
        <v>134</v>
      </c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</row>
    <row r="178">
      <c r="B178" t="inlineStr">
        <is>
          <t xml:space="preserve">INTERL. RUA JOÃO LIMA DA SILVA </t>
        </is>
      </c>
      <c r="C178" t="n">
        <v>73</v>
      </c>
      <c r="D178" t="inlineStr">
        <is>
          <t>VCA</t>
        </is>
      </c>
      <c r="E178" t="n">
        <v>15.2</v>
      </c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</row>
    <row r="179">
      <c r="B179" t="inlineStr">
        <is>
          <t>RCE  JD.HELOISA</t>
        </is>
      </c>
      <c r="C179" t="n">
        <v>74</v>
      </c>
      <c r="D179" t="inlineStr">
        <is>
          <t>HDD</t>
        </is>
      </c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t="inlineStr">
        <is>
          <t>concluido</t>
        </is>
      </c>
    </row>
    <row r="180">
      <c r="B180" t="inlineStr">
        <is>
          <t>RCE  JD.HELOISA</t>
        </is>
      </c>
      <c r="C180" t="n">
        <v>74</v>
      </c>
      <c r="D180" t="inlineStr">
        <is>
          <t>VCA</t>
        </is>
      </c>
      <c r="E180" t="n">
        <v>1021.03</v>
      </c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t="inlineStr">
        <is>
          <t>concluido</t>
        </is>
      </c>
    </row>
    <row r="181">
      <c r="B181" s="5" t="inlineStr">
        <is>
          <t xml:space="preserve">INTERL. RUA ÁGUA BOA E JOSÉ ELIAS </t>
        </is>
      </c>
      <c r="C181" t="n">
        <v>74</v>
      </c>
      <c r="D181" t="inlineStr">
        <is>
          <t>HDD</t>
        </is>
      </c>
      <c r="E181" t="n">
        <v>341.2</v>
      </c>
      <c r="F181" s="5" t="n">
        <v>145.88</v>
      </c>
      <c r="I181" t="n">
        <v>37</v>
      </c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>
        <v>78.18000000000001</v>
      </c>
      <c r="X181" s="6">
        <f>18.75+12+36.95</f>
        <v/>
      </c>
      <c r="Y181" s="6" t="n"/>
      <c r="Z181" s="6" t="n"/>
      <c r="AA181" s="6" t="n"/>
      <c r="AB181" s="6" t="n"/>
      <c r="AC181" s="6" t="n"/>
      <c r="AD181" s="6" t="n"/>
      <c r="AE181" s="6" t="n"/>
      <c r="AF181" s="6" t="n"/>
    </row>
    <row r="182">
      <c r="B182" s="5" t="inlineStr">
        <is>
          <t xml:space="preserve">INTERL. RUA ÁGUA BOA E JOSÉ ELIAS </t>
        </is>
      </c>
      <c r="C182" t="n">
        <v>74</v>
      </c>
      <c r="D182" t="inlineStr">
        <is>
          <t>VCA</t>
        </is>
      </c>
      <c r="E182" t="n">
        <v>83.8</v>
      </c>
      <c r="F182" s="5" t="n">
        <v>55.83</v>
      </c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>
        <f>34.75+6.11+14.97</f>
        <v/>
      </c>
      <c r="Y182" s="6" t="n"/>
      <c r="Z182" s="6" t="n"/>
      <c r="AA182" s="6" t="n"/>
      <c r="AB182" s="6" t="n"/>
      <c r="AC182" s="6" t="n"/>
      <c r="AD182" s="6" t="n"/>
      <c r="AE182" s="6" t="n"/>
      <c r="AF182" s="6" t="n"/>
    </row>
    <row r="183">
      <c r="B183" t="inlineStr">
        <is>
          <t xml:space="preserve">RCE COMUNIDADE JD. UNIÃO </t>
        </is>
      </c>
      <c r="C183" t="n">
        <v>75</v>
      </c>
      <c r="D183" t="inlineStr">
        <is>
          <t>HDD</t>
        </is>
      </c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</row>
    <row r="184">
      <c r="B184" t="inlineStr">
        <is>
          <t xml:space="preserve">RCE COMUNIDADE JD. UNIÃO </t>
        </is>
      </c>
      <c r="C184" t="n">
        <v>75</v>
      </c>
      <c r="D184" t="inlineStr">
        <is>
          <t>VCA</t>
        </is>
      </c>
      <c r="E184" t="n">
        <v>226.5</v>
      </c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</row>
    <row r="185">
      <c r="B185" t="inlineStr">
        <is>
          <t xml:space="preserve">RCE TRAV. DOS JESUITAS </t>
        </is>
      </c>
      <c r="C185" t="n">
        <v>75</v>
      </c>
      <c r="D185" t="inlineStr">
        <is>
          <t>HDD</t>
        </is>
      </c>
      <c r="E185" t="n">
        <v>375</v>
      </c>
      <c r="I185" t="n">
        <v>87</v>
      </c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</row>
    <row r="186">
      <c r="B186" t="inlineStr">
        <is>
          <t xml:space="preserve">RCE TRAV. DOS JESUITAS </t>
        </is>
      </c>
      <c r="C186" t="n">
        <v>75</v>
      </c>
      <c r="D186" t="inlineStr">
        <is>
          <t>VCA</t>
        </is>
      </c>
      <c r="E186" t="n">
        <v>244.5</v>
      </c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</row>
    <row r="187">
      <c r="B187" t="inlineStr">
        <is>
          <t>RCE COMPLEMENTAR RUA ELIAS SLEIMAN</t>
        </is>
      </c>
      <c r="C187" t="n">
        <v>75</v>
      </c>
      <c r="D187" t="inlineStr">
        <is>
          <t>HDD</t>
        </is>
      </c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</row>
    <row r="188">
      <c r="B188" t="inlineStr">
        <is>
          <t>RCE COMPLEMENTAR RUA ELIAS SLEIMAN</t>
        </is>
      </c>
      <c r="C188" t="n">
        <v>75</v>
      </c>
      <c r="D188" t="inlineStr">
        <is>
          <t>VCA</t>
        </is>
      </c>
      <c r="E188" t="n">
        <v>338.5</v>
      </c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</row>
    <row r="189">
      <c r="B189" t="inlineStr">
        <is>
          <t>RCE AV. PRESIDENTE TANCREDO DE A. NEVES</t>
        </is>
      </c>
      <c r="C189" t="n">
        <v>75</v>
      </c>
      <c r="D189" t="inlineStr">
        <is>
          <t>HDD</t>
        </is>
      </c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</row>
    <row r="190">
      <c r="B190" t="inlineStr">
        <is>
          <t>RCE AV. PRESIDENTE TANCREDO DE A. NEVES</t>
        </is>
      </c>
      <c r="C190" t="n">
        <v>75</v>
      </c>
      <c r="D190" t="inlineStr">
        <is>
          <t>VCA</t>
        </is>
      </c>
      <c r="E190" t="n">
        <v>238</v>
      </c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</row>
    <row r="191">
      <c r="B191" t="inlineStr">
        <is>
          <t>RCE AV. PRESIDENTE TANCREDO DE A. NEVES 1</t>
        </is>
      </c>
      <c r="C191" t="n">
        <v>75</v>
      </c>
      <c r="D191" t="inlineStr">
        <is>
          <t>HDD</t>
        </is>
      </c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</row>
    <row r="192">
      <c r="B192" t="inlineStr">
        <is>
          <t>RCE AV. PRESIDENTE TANCREDO DE A. NEVES 1</t>
        </is>
      </c>
      <c r="C192" t="n">
        <v>75</v>
      </c>
      <c r="D192" t="inlineStr">
        <is>
          <t>VCA</t>
        </is>
      </c>
      <c r="E192" t="n">
        <v>69</v>
      </c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</row>
    <row r="193">
      <c r="B193" t="inlineStr">
        <is>
          <t>RCE AV. PRESIDENTE TANCREDO DE A. NEVES 2</t>
        </is>
      </c>
      <c r="C193" t="n">
        <v>75</v>
      </c>
      <c r="D193" t="inlineStr">
        <is>
          <t>HDD</t>
        </is>
      </c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t="inlineStr">
        <is>
          <t>em andamento</t>
        </is>
      </c>
    </row>
    <row r="194">
      <c r="B194" t="inlineStr">
        <is>
          <t>RCE AV. PRESIDENTE TANCREDO DE A. NEVES 2</t>
        </is>
      </c>
      <c r="C194" t="n">
        <v>75</v>
      </c>
      <c r="D194" t="inlineStr">
        <is>
          <t>VCA</t>
        </is>
      </c>
      <c r="E194" t="n">
        <v>140</v>
      </c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</row>
    <row r="195">
      <c r="B195" t="inlineStr">
        <is>
          <t>CTS JOÃO CANZI</t>
        </is>
      </c>
      <c r="C195" t="n">
        <v>75</v>
      </c>
      <c r="D195" t="inlineStr">
        <is>
          <t>HDD</t>
        </is>
      </c>
      <c r="F195" s="5" t="n">
        <v>311.68</v>
      </c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>
        <v>311.68</v>
      </c>
      <c r="Z195" s="6" t="n"/>
      <c r="AA195" s="6" t="n"/>
      <c r="AB195" s="6" t="n"/>
      <c r="AC195" s="6" t="n"/>
      <c r="AD195" s="6" t="n"/>
      <c r="AE195" s="6" t="n"/>
      <c r="AF195" s="6" t="n"/>
    </row>
    <row r="196">
      <c r="B196" t="inlineStr">
        <is>
          <t>CTS JOÃO CANZI</t>
        </is>
      </c>
      <c r="C196" t="n">
        <v>75</v>
      </c>
      <c r="D196" t="inlineStr">
        <is>
          <t>VCA</t>
        </is>
      </c>
      <c r="E196" t="n">
        <v>858.5</v>
      </c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</row>
    <row r="197">
      <c r="B197" t="inlineStr">
        <is>
          <t>RCE JOÃO CANZI</t>
        </is>
      </c>
      <c r="C197" t="n">
        <v>75</v>
      </c>
      <c r="D197" t="inlineStr">
        <is>
          <t>HDD</t>
        </is>
      </c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</row>
    <row r="198">
      <c r="B198" t="inlineStr">
        <is>
          <t>RCE JOÃO CANZI</t>
        </is>
      </c>
      <c r="C198" t="n">
        <v>75</v>
      </c>
      <c r="D198" t="inlineStr">
        <is>
          <t>VCA</t>
        </is>
      </c>
      <c r="E198" t="n">
        <v>168</v>
      </c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</row>
    <row r="199">
      <c r="B199" t="inlineStr">
        <is>
          <t>RCE ELVIRA DE ARAUJO</t>
        </is>
      </c>
      <c r="C199" t="n">
        <v>75</v>
      </c>
      <c r="D199" t="inlineStr">
        <is>
          <t>HDD</t>
        </is>
      </c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</row>
    <row r="200">
      <c r="B200" t="inlineStr">
        <is>
          <t>RCE ELVIRA DE ARAUJO</t>
        </is>
      </c>
      <c r="C200" t="n">
        <v>75</v>
      </c>
      <c r="D200" t="inlineStr">
        <is>
          <t>VCA</t>
        </is>
      </c>
      <c r="E200" t="n">
        <v>180</v>
      </c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</row>
    <row r="201">
      <c r="B201" t="inlineStr">
        <is>
          <t xml:space="preserve">RCE RUA JOSÉ MILITÃO </t>
        </is>
      </c>
      <c r="C201" t="n">
        <v>76</v>
      </c>
      <c r="D201" t="inlineStr">
        <is>
          <t>HDD</t>
        </is>
      </c>
      <c r="I201" t="n">
        <v>182</v>
      </c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</row>
    <row r="202">
      <c r="B202" t="inlineStr">
        <is>
          <t xml:space="preserve">RCE RUA JOSÉ MILITÃO </t>
        </is>
      </c>
      <c r="C202" t="n">
        <v>76</v>
      </c>
      <c r="D202" t="inlineStr">
        <is>
          <t>VCA</t>
        </is>
      </c>
      <c r="E202" t="n">
        <v>238.52</v>
      </c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</row>
    <row r="203">
      <c r="B203" t="inlineStr">
        <is>
          <t>RCE VIELA DA RUA INÊS SABINO</t>
        </is>
      </c>
      <c r="C203" t="n">
        <v>76</v>
      </c>
      <c r="D203" t="inlineStr">
        <is>
          <t>HDD</t>
        </is>
      </c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</row>
    <row r="204">
      <c r="B204" t="inlineStr">
        <is>
          <t>RCE VIELA DA RUA INÊS SABINO</t>
        </is>
      </c>
      <c r="C204" t="n">
        <v>76</v>
      </c>
      <c r="D204" t="inlineStr">
        <is>
          <t>VCA</t>
        </is>
      </c>
      <c r="E204" t="n">
        <v>229.5</v>
      </c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</row>
    <row r="205">
      <c r="B205" t="inlineStr">
        <is>
          <t>RCE COMUNIDADE RAUZITO</t>
        </is>
      </c>
      <c r="C205" t="n">
        <v>76</v>
      </c>
      <c r="D205" t="inlineStr">
        <is>
          <t>HDD</t>
        </is>
      </c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t="inlineStr">
        <is>
          <t>em andamento</t>
        </is>
      </c>
    </row>
    <row r="206">
      <c r="B206" t="inlineStr">
        <is>
          <t>RCE COMUNIDADE RAUZITO</t>
        </is>
      </c>
      <c r="C206" t="n">
        <v>76</v>
      </c>
      <c r="D206" t="inlineStr">
        <is>
          <t>VCA</t>
        </is>
      </c>
      <c r="E206" t="n">
        <v>1566.27</v>
      </c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t="inlineStr">
        <is>
          <t>em andamento</t>
        </is>
      </c>
    </row>
    <row r="207">
      <c r="B207" t="inlineStr">
        <is>
          <t>RCE SÃO JOÃO</t>
        </is>
      </c>
      <c r="C207" t="n">
        <v>76</v>
      </c>
      <c r="D207" t="inlineStr">
        <is>
          <t>HDD</t>
        </is>
      </c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t="inlineStr">
        <is>
          <t>concluido</t>
        </is>
      </c>
    </row>
    <row r="208">
      <c r="B208" t="inlineStr">
        <is>
          <t>RCE SÃO JOÃO</t>
        </is>
      </c>
      <c r="C208" t="n">
        <v>76</v>
      </c>
      <c r="D208" t="inlineStr">
        <is>
          <t>VCA</t>
        </is>
      </c>
      <c r="E208" t="n">
        <v>95</v>
      </c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t="inlineStr">
        <is>
          <t>concluido</t>
        </is>
      </c>
    </row>
    <row r="209">
      <c r="B209" s="5" t="inlineStr">
        <is>
          <t>CTS ÁGUA VERMELHA - ME</t>
        </is>
      </c>
      <c r="C209" s="1" t="inlineStr">
        <is>
          <t xml:space="preserve"> 35/36</t>
        </is>
      </c>
      <c r="D209" t="inlineStr">
        <is>
          <t>HDD</t>
        </is>
      </c>
      <c r="E209" t="n">
        <v>0</v>
      </c>
      <c r="F209" s="5" t="n">
        <v>34.57</v>
      </c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>
        <v>34.57</v>
      </c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t="inlineStr">
        <is>
          <t>concluido</t>
        </is>
      </c>
    </row>
    <row r="210">
      <c r="B210" s="5" t="inlineStr">
        <is>
          <t>CTS ÁGUA VERMELHA - ME</t>
        </is>
      </c>
      <c r="C210" s="1" t="inlineStr">
        <is>
          <t xml:space="preserve"> 35/36</t>
        </is>
      </c>
      <c r="D210" t="inlineStr">
        <is>
          <t>VCA</t>
        </is>
      </c>
      <c r="E210" t="n">
        <v>158</v>
      </c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t="inlineStr">
        <is>
          <t>concluido</t>
        </is>
      </c>
    </row>
    <row r="211">
      <c r="B211" t="inlineStr">
        <is>
          <t>RCE F. SOUTOMAIOR</t>
        </is>
      </c>
      <c r="C211" s="1" t="inlineStr">
        <is>
          <t xml:space="preserve"> 72 A</t>
        </is>
      </c>
      <c r="D211" t="inlineStr">
        <is>
          <t>HDD</t>
        </is>
      </c>
      <c r="E211" t="n">
        <v>351</v>
      </c>
      <c r="F211" s="5" t="n">
        <v>300.68</v>
      </c>
      <c r="I211" t="n">
        <v>8</v>
      </c>
      <c r="J211" t="n">
        <v>27</v>
      </c>
      <c r="L211" s="6" t="n"/>
      <c r="M211" s="6" t="n"/>
      <c r="N211" s="6" t="n"/>
      <c r="O211" s="6" t="n"/>
      <c r="P211" s="6" t="n"/>
      <c r="Q211" s="6" t="n"/>
      <c r="R211" s="6" t="n"/>
      <c r="S211" s="6" t="n">
        <v>300.68</v>
      </c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</row>
    <row r="212">
      <c r="B212" t="inlineStr">
        <is>
          <t>RCE F. SOUTOMAIOR</t>
        </is>
      </c>
      <c r="C212" s="1" t="inlineStr">
        <is>
          <t xml:space="preserve"> 72 A</t>
        </is>
      </c>
      <c r="D212" t="inlineStr">
        <is>
          <t>VCA</t>
        </is>
      </c>
      <c r="E212" t="n">
        <v>152</v>
      </c>
      <c r="F212" s="5" t="n">
        <v>337.46</v>
      </c>
      <c r="L212" s="6" t="n"/>
      <c r="M212" s="6" t="n"/>
      <c r="N212" s="6" t="n"/>
      <c r="O212" s="6" t="n"/>
      <c r="P212" s="6" t="n"/>
      <c r="Q212" s="6" t="n">
        <v>127.69</v>
      </c>
      <c r="R212" s="6" t="n"/>
      <c r="S212" s="6" t="n"/>
      <c r="T212" s="6" t="n"/>
      <c r="U212" s="6" t="n"/>
      <c r="V212" s="6" t="n"/>
      <c r="W212" s="6" t="n">
        <v>42</v>
      </c>
      <c r="X212" s="6" t="n">
        <v>167.77</v>
      </c>
      <c r="Y212" s="6" t="n"/>
      <c r="Z212" s="6" t="n"/>
      <c r="AA212" s="6" t="n"/>
      <c r="AB212" s="6" t="n"/>
      <c r="AC212" s="6" t="n"/>
      <c r="AD212" s="6" t="n"/>
      <c r="AE212" s="6" t="n"/>
      <c r="AF212" s="6" t="n"/>
    </row>
    <row r="213">
      <c r="B213" t="inlineStr">
        <is>
          <t>RCE F. SOUTOMAIOR B</t>
        </is>
      </c>
      <c r="C213" s="1" t="inlineStr">
        <is>
          <t xml:space="preserve"> 72 B</t>
        </is>
      </c>
      <c r="D213" t="inlineStr">
        <is>
          <t>HDD</t>
        </is>
      </c>
      <c r="E213" t="n">
        <v>100.2</v>
      </c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</row>
    <row r="214">
      <c r="B214" t="inlineStr">
        <is>
          <t>RCE F. SOUTOMAIOR B</t>
        </is>
      </c>
      <c r="C214" s="1" t="inlineStr">
        <is>
          <t xml:space="preserve"> 72 B</t>
        </is>
      </c>
      <c r="D214" t="inlineStr">
        <is>
          <t>VCA</t>
        </is>
      </c>
      <c r="E214" t="n">
        <v>253.5</v>
      </c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</row>
    <row r="215">
      <c r="B215" t="inlineStr">
        <is>
          <t>RCE F. SOUTOMAIOR C</t>
        </is>
      </c>
      <c r="C215" s="1" t="inlineStr">
        <is>
          <t xml:space="preserve"> 72 C</t>
        </is>
      </c>
      <c r="D215" t="inlineStr">
        <is>
          <t>HDD</t>
        </is>
      </c>
      <c r="E215" t="n">
        <v>89.90000000000001</v>
      </c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</row>
    <row r="216">
      <c r="B216" t="inlineStr">
        <is>
          <t>RCE F. SOUTOMAIOR C</t>
        </is>
      </c>
      <c r="C216" s="1" t="inlineStr">
        <is>
          <t xml:space="preserve"> 72 C</t>
        </is>
      </c>
      <c r="D216" t="inlineStr">
        <is>
          <t>VCA</t>
        </is>
      </c>
      <c r="E216" t="n">
        <v>322.2</v>
      </c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</row>
    <row r="217">
      <c r="B217" t="inlineStr">
        <is>
          <t>RCE F. SOUTOMAIOR D</t>
        </is>
      </c>
      <c r="C217" s="1" t="inlineStr">
        <is>
          <t xml:space="preserve"> 72 D</t>
        </is>
      </c>
      <c r="D217" t="inlineStr">
        <is>
          <t>HDD</t>
        </is>
      </c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</row>
    <row r="218">
      <c r="B218" t="inlineStr">
        <is>
          <t>RCE F. SOUTOMAIOR D</t>
        </is>
      </c>
      <c r="C218" s="1" t="inlineStr">
        <is>
          <t xml:space="preserve"> 72 D</t>
        </is>
      </c>
      <c r="D218" t="inlineStr">
        <is>
          <t>VCA</t>
        </is>
      </c>
      <c r="E218" t="n">
        <v>129.8</v>
      </c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</row>
  </sheetData>
  <autoFilter ref="A1"/>
  <pageMargins left="0.75" right="0.75" top="1" bottom="1" header="0.5" footer="0.5"/>
  <pageSetup orientation="portrait" paperSize="9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cols>
    <col width="9.109375" customWidth="1" min="2" max="2"/>
    <col width="9.88671875" customWidth="1" min="3" max="3"/>
    <col width="12" customWidth="1" min="4" max="4"/>
    <col width="13.21875" customWidth="1" min="5" max="5"/>
    <col width="15.77734375" customWidth="1" min="6" max="6"/>
    <col width="19.5546875" customWidth="1" min="7" max="7"/>
    <col width="9.33203125" customWidth="1" min="9" max="9"/>
    <col width="9.33203125" customWidth="1" min="12" max="12"/>
  </cols>
  <sheetData>
    <row r="1"/>
    <row r="2">
      <c r="B2" t="inlineStr">
        <is>
          <t>Ano</t>
        </is>
      </c>
      <c r="C2" t="inlineStr">
        <is>
          <t>Mes</t>
        </is>
      </c>
      <c r="D2" t="inlineStr">
        <is>
          <t>EAP</t>
        </is>
      </c>
      <c r="E2" t="inlineStr">
        <is>
          <t>Produzido</t>
        </is>
      </c>
      <c r="F2" t="inlineStr">
        <is>
          <t>Economias EAP</t>
        </is>
      </c>
      <c r="G2" t="inlineStr">
        <is>
          <t>Economias Recebidas</t>
        </is>
      </c>
    </row>
    <row r="3">
      <c r="B3" t="n">
        <v>2025</v>
      </c>
      <c r="C3" t="inlineStr">
        <is>
          <t>Mar</t>
        </is>
      </c>
      <c r="D3" t="n">
        <v>159.15</v>
      </c>
      <c r="E3" t="n">
        <v>0</v>
      </c>
      <c r="F3" t="n">
        <v>0</v>
      </c>
      <c r="G3" t="n">
        <v>0</v>
      </c>
    </row>
    <row r="4">
      <c r="B4" t="n">
        <v>2025</v>
      </c>
      <c r="C4" t="inlineStr">
        <is>
          <t>Abr</t>
        </is>
      </c>
      <c r="D4" t="n">
        <v>723.7</v>
      </c>
      <c r="E4" t="n">
        <v>47.5</v>
      </c>
      <c r="F4" t="n">
        <v>0</v>
      </c>
      <c r="G4" t="n">
        <v>0</v>
      </c>
    </row>
    <row r="5">
      <c r="B5" t="n">
        <v>2025</v>
      </c>
      <c r="C5" t="inlineStr">
        <is>
          <t>Mai</t>
        </is>
      </c>
      <c r="D5" t="n">
        <v>905.99</v>
      </c>
      <c r="E5" t="n">
        <v>364.53</v>
      </c>
      <c r="F5" t="n">
        <v>0</v>
      </c>
      <c r="G5" t="n">
        <v>0</v>
      </c>
    </row>
    <row r="6">
      <c r="B6" t="n">
        <v>2025</v>
      </c>
      <c r="C6" t="inlineStr">
        <is>
          <t>Jun</t>
        </is>
      </c>
      <c r="D6" t="n">
        <v>1089.14</v>
      </c>
      <c r="E6" t="n">
        <v>340.32</v>
      </c>
      <c r="F6" t="n">
        <v>191</v>
      </c>
      <c r="G6" t="n">
        <v>2611</v>
      </c>
      <c r="I6">
        <f>D6-E6</f>
        <v/>
      </c>
    </row>
    <row r="7">
      <c r="B7" t="n">
        <v>2025</v>
      </c>
      <c r="C7" t="inlineStr">
        <is>
          <t>Jul</t>
        </is>
      </c>
      <c r="D7" t="n">
        <v>588.28</v>
      </c>
      <c r="E7" t="n">
        <v>1061.675</v>
      </c>
      <c r="F7" t="n">
        <v>489</v>
      </c>
      <c r="G7" t="n">
        <v>584</v>
      </c>
      <c r="I7">
        <f>D7-E7</f>
        <v/>
      </c>
    </row>
    <row r="8">
      <c r="B8" t="n">
        <v>2025</v>
      </c>
      <c r="C8" t="inlineStr">
        <is>
          <t>Ago</t>
        </is>
      </c>
      <c r="D8" t="n">
        <v>1227.24</v>
      </c>
      <c r="E8" t="n">
        <v>1750.96</v>
      </c>
      <c r="F8" t="n">
        <v>1635</v>
      </c>
      <c r="G8" t="n">
        <v>3598</v>
      </c>
      <c r="I8">
        <f>D8-E8</f>
        <v/>
      </c>
    </row>
    <row r="9">
      <c r="B9" t="n">
        <v>2025</v>
      </c>
      <c r="C9" t="inlineStr">
        <is>
          <t>Set</t>
        </is>
      </c>
      <c r="D9" t="n">
        <v>1914.65</v>
      </c>
      <c r="E9" t="n">
        <v>1517.22</v>
      </c>
      <c r="F9" t="n">
        <v>1110</v>
      </c>
      <c r="G9" t="n">
        <v>3229</v>
      </c>
      <c r="I9">
        <f>D9-E9</f>
        <v/>
      </c>
      <c r="L9">
        <f>SUM(I9:I15)</f>
        <v/>
      </c>
    </row>
    <row r="10">
      <c r="B10" t="n">
        <v>2025</v>
      </c>
      <c r="C10" t="inlineStr">
        <is>
          <t>Out</t>
        </is>
      </c>
      <c r="D10" t="n">
        <v>1749.47</v>
      </c>
      <c r="E10" t="n">
        <v>1342.07</v>
      </c>
      <c r="F10" t="n">
        <v>763</v>
      </c>
      <c r="G10" t="n">
        <v>1433</v>
      </c>
      <c r="I10">
        <f>D10-E10</f>
        <v/>
      </c>
      <c r="L10">
        <f>L9+I6</f>
        <v/>
      </c>
    </row>
    <row r="11">
      <c r="B11" t="n">
        <v>2025</v>
      </c>
      <c r="C11" t="inlineStr">
        <is>
          <t>Nov</t>
        </is>
      </c>
      <c r="D11" t="n">
        <v>1942.9</v>
      </c>
      <c r="E11" t="n">
        <v>1058.895</v>
      </c>
      <c r="F11" t="n">
        <v>4493</v>
      </c>
      <c r="G11" t="n">
        <v>2359</v>
      </c>
      <c r="I11">
        <f>D11-E11</f>
        <v/>
      </c>
      <c r="L11">
        <f>L10+I7+I8</f>
        <v/>
      </c>
    </row>
    <row r="12">
      <c r="B12" t="n">
        <v>2025</v>
      </c>
      <c r="C12" t="inlineStr">
        <is>
          <t>Dez</t>
        </is>
      </c>
      <c r="D12" t="n">
        <v>1588.61</v>
      </c>
      <c r="E12" t="n">
        <v>1502.325</v>
      </c>
      <c r="F12" t="n">
        <v>4252</v>
      </c>
      <c r="G12" t="n">
        <v>3356</v>
      </c>
      <c r="I12">
        <f>D12-E12</f>
        <v/>
      </c>
    </row>
    <row r="13">
      <c r="B13" t="n">
        <v>2026</v>
      </c>
      <c r="C13" t="inlineStr">
        <is>
          <t>Jan</t>
        </is>
      </c>
      <c r="D13" t="n">
        <v>2185.34</v>
      </c>
      <c r="E13" t="n">
        <v>1189.71</v>
      </c>
      <c r="F13" t="n">
        <v>1436</v>
      </c>
      <c r="G13" t="n">
        <v>1152</v>
      </c>
      <c r="I13">
        <f>D13-E13</f>
        <v/>
      </c>
    </row>
    <row r="14">
      <c r="B14" t="n">
        <v>2026</v>
      </c>
      <c r="C14" t="inlineStr">
        <is>
          <t>Fev</t>
        </is>
      </c>
      <c r="D14" t="n">
        <v>2340.4</v>
      </c>
      <c r="E14" t="n">
        <v>2108.04</v>
      </c>
      <c r="F14" t="n">
        <v>2834</v>
      </c>
      <c r="G14" t="n">
        <v>1928</v>
      </c>
      <c r="I14">
        <f>D14-E14</f>
        <v/>
      </c>
    </row>
    <row r="15">
      <c r="B15" t="n">
        <v>2026</v>
      </c>
      <c r="C15" t="inlineStr">
        <is>
          <t>Mar</t>
        </is>
      </c>
      <c r="D15" t="n">
        <v>2128.08</v>
      </c>
      <c r="E15" t="n">
        <v>1588.66</v>
      </c>
      <c r="F15" t="n">
        <v>2813</v>
      </c>
      <c r="G15" t="n">
        <v>1159</v>
      </c>
      <c r="I15">
        <f>D15-E15</f>
        <v/>
      </c>
      <c r="O15" t="inlineStr">
        <is>
          <t>mar de coral esta com o valor de as built</t>
        </is>
      </c>
    </row>
    <row r="16">
      <c r="B16" t="n">
        <v>2026</v>
      </c>
      <c r="C16" t="inlineStr">
        <is>
          <t>Abr</t>
        </is>
      </c>
      <c r="D16" t="n">
        <v>2426.84</v>
      </c>
      <c r="E16" t="n">
        <v>1460.1</v>
      </c>
      <c r="F16" t="n">
        <v>2735</v>
      </c>
      <c r="G16" t="n">
        <v>5246</v>
      </c>
      <c r="I16">
        <f>D16-E16</f>
        <v/>
      </c>
    </row>
    <row r="17">
      <c r="B17" t="n">
        <v>2026</v>
      </c>
      <c r="C17" t="inlineStr">
        <is>
          <t>Mai</t>
        </is>
      </c>
      <c r="D17" t="n">
        <v>2545.85</v>
      </c>
      <c r="E17">
        <f>487.87+84.32+43.66+62.701</f>
        <v/>
      </c>
      <c r="F17" t="n">
        <v>2361</v>
      </c>
      <c r="G17" t="n">
        <v>0</v>
      </c>
      <c r="I17">
        <f>D17-E17</f>
        <v/>
      </c>
    </row>
    <row r="18">
      <c r="B18" t="n">
        <v>2026</v>
      </c>
      <c r="C18" t="inlineStr">
        <is>
          <t>Jun</t>
        </is>
      </c>
      <c r="D18" t="n">
        <v>3108.25</v>
      </c>
      <c r="F18" t="n">
        <v>2874</v>
      </c>
      <c r="G18" t="n">
        <v>0</v>
      </c>
    </row>
    <row r="19">
      <c r="B19" t="n">
        <v>2026</v>
      </c>
      <c r="C19" t="inlineStr">
        <is>
          <t>Jul</t>
        </is>
      </c>
      <c r="D19" t="n">
        <v>3269.49</v>
      </c>
      <c r="F19" t="n">
        <v>4487</v>
      </c>
      <c r="G19" t="n">
        <v>0</v>
      </c>
    </row>
    <row r="20">
      <c r="B20" t="n">
        <v>2026</v>
      </c>
      <c r="C20" t="inlineStr">
        <is>
          <t>Ago</t>
        </is>
      </c>
      <c r="D20" t="n">
        <v>3305.21</v>
      </c>
      <c r="F20" t="n">
        <v>4543</v>
      </c>
      <c r="G20" t="n">
        <v>0</v>
      </c>
    </row>
    <row r="21">
      <c r="B21" t="n">
        <v>2026</v>
      </c>
      <c r="C21" t="inlineStr">
        <is>
          <t>Set</t>
        </is>
      </c>
      <c r="D21" t="n">
        <v>3138.09</v>
      </c>
      <c r="F21" t="n">
        <v>3432</v>
      </c>
      <c r="G21" t="n">
        <v>0</v>
      </c>
    </row>
    <row r="22">
      <c r="B22" t="n">
        <v>2026</v>
      </c>
      <c r="C22" t="inlineStr">
        <is>
          <t>Out</t>
        </is>
      </c>
      <c r="D22" t="n">
        <v>2251.28</v>
      </c>
      <c r="F22" t="n">
        <v>1923</v>
      </c>
      <c r="G22" t="n">
        <v>0</v>
      </c>
    </row>
    <row r="23">
      <c r="B23" t="n">
        <v>2026</v>
      </c>
      <c r="C23" t="inlineStr">
        <is>
          <t>Nov</t>
        </is>
      </c>
      <c r="D23" t="n">
        <v>1527.07</v>
      </c>
      <c r="F23" t="n">
        <v>713</v>
      </c>
      <c r="G23" t="n">
        <v>0</v>
      </c>
    </row>
    <row r="24">
      <c r="B24" t="n">
        <v>2026</v>
      </c>
      <c r="C24" t="inlineStr">
        <is>
          <t>Dez</t>
        </is>
      </c>
      <c r="D24" t="n">
        <v>542.46</v>
      </c>
      <c r="F24" t="n">
        <v>39</v>
      </c>
      <c r="G24" t="n">
        <v>0</v>
      </c>
    </row>
    <row r="25"/>
    <row r="26"/>
    <row r="27">
      <c r="P27">
        <f>SUM(E3:E16)</f>
        <v/>
      </c>
    </row>
    <row r="28">
      <c r="P28">
        <f>14468.56-P27</f>
        <v/>
      </c>
    </row>
    <row r="29">
      <c r="P29">
        <f>P28+2135.09</f>
        <v/>
      </c>
    </row>
    <row r="30"/>
    <row r="31"/>
    <row r="32"/>
    <row r="33"/>
    <row r="34">
      <c r="H34" t="inlineStr">
        <is>
          <t xml:space="preserve">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2026-02-17T21:58:51Z</dcterms:created>
  <dcterms:modified xmlns:dcterms="http://purl.org/dc/terms/" xmlns:xsi="http://www.w3.org/2001/XMLSchema-instance" xsi:type="dcterms:W3CDTF">2026-05-22T10:33:01Z</dcterms:modified>
  <cp:lastModifiedBy>Cleulton Marcio Goncalves Freire</cp:lastModifiedBy>
</cp:coreProperties>
</file>