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BASE_DASH_EXTENSAO" sheetId="1" state="visible" r:id="rId1"/>
    <sheet name="EAP_PRODUCAO" sheetId="2" state="visible" r:id="rId2"/>
  </sheets>
  <definedNames>
    <definedName name="_xlnm._FilterDatabase" localSheetId="0" hidden="1">'BASE_DASH_EXTENSAO'!$AG$1:$AG$218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FF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2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</cellXfs>
  <cellStyles count="1">
    <cellStyle name="Normal" xfId="0" builtinId="0"/>
  </cellStyles>
  <dxfs count="22"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alignment horizontal="left" vertical="bottom"/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b val="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_base_dash_extensao" displayName="tb_base_dash_extensao" ref="B1:AF218" headerRowCount="1">
  <autoFilter ref="B1:AF218"/>
  <tableColumns count="31">
    <tableColumn id="1" name="Obra"/>
    <tableColumn id="2" name="Bloco"/>
    <tableColumn id="3" name="Tipo_Extensao"/>
    <tableColumn id="4" name="Extensao_Planejada_m"/>
    <tableColumn id="5" name="Extensao_Executada_m" dataDxfId="21"/>
    <tableColumn id="6" name="PV"/>
    <tableColumn id="7" name="Profundidade_PV_m"/>
    <tableColumn id="8" name="Economias prevista"/>
    <tableColumn id="9" name="Economias Recebidas"/>
    <tableColumn id="10" name="produção março 2025"/>
    <tableColumn id="11" name="produção Abril 2025" dataDxfId="20"/>
    <tableColumn id="12" name="produção Maio 2025" dataDxfId="19"/>
    <tableColumn id="13" name="produção Junho 2025" dataDxfId="18"/>
    <tableColumn id="14" name="produção Julho 2025" dataDxfId="17"/>
    <tableColumn id="15" name="produção Agosto 2025" dataDxfId="16"/>
    <tableColumn id="16" name="produção Setembro 2025" dataDxfId="15"/>
    <tableColumn id="17" name="produção Outubro 2025" dataDxfId="14"/>
    <tableColumn id="18" name="produção Novembro 2025" dataDxfId="13"/>
    <tableColumn id="19" name="produção Dezembro 2025" dataDxfId="12"/>
    <tableColumn id="20" name="produção Janeiro 2026" dataDxfId="11"/>
    <tableColumn id="21" name="produção Fevereiro 2026" dataDxfId="10"/>
    <tableColumn id="22" name="produção Março 2026" dataDxfId="9"/>
    <tableColumn id="23" name="produção Abril 2026" dataDxfId="8"/>
    <tableColumn id="24" name="produção Maio 2026" dataDxfId="2"/>
    <tableColumn id="25" name="produção Junho 2026" dataDxfId="0"/>
    <tableColumn id="26" name="produção Julho 2026" dataDxfId="1"/>
    <tableColumn id="27" name="produção Agosto 2026" dataDxfId="7"/>
    <tableColumn id="28" name="produção Setembro 2026" dataDxfId="6"/>
    <tableColumn id="29" name="produção Outubro 2026" dataDxfId="5"/>
    <tableColumn id="30" name="produção Novembro 2026" dataDxfId="4"/>
    <tableColumn id="31" name="produção Dezembro 2026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18"/>
  <sheetViews>
    <sheetView tabSelected="1" topLeftCell="E1" zoomScale="85" zoomScaleNormal="85" workbookViewId="0">
      <pane ySplit="1" topLeftCell="A157" activePane="bottomLeft" state="frozen"/>
      <selection pane="bottomLeft" activeCell="Q191" sqref="Q191"/>
    </sheetView>
  </sheetViews>
  <sheetFormatPr baseColWidth="8" defaultRowHeight="14.4"/>
  <cols>
    <col width="15" bestFit="1" customWidth="1" min="1" max="1"/>
    <col width="48.33203125" customWidth="1" min="2" max="2"/>
    <col width="15" customWidth="1" min="3" max="3"/>
    <col width="18" customWidth="1" min="4" max="4"/>
    <col width="22" customWidth="1" min="5" max="5"/>
    <col width="22" customWidth="1" style="3" min="6" max="6"/>
    <col width="8" customWidth="1" min="7" max="7"/>
    <col width="8.88671875" customWidth="1" min="8" max="8"/>
    <col width="26.5546875" customWidth="1" min="9" max="9"/>
    <col width="10.44140625" customWidth="1" min="10" max="10"/>
    <col width="7.6640625" customWidth="1" min="11" max="12"/>
    <col width="14" customWidth="1" min="13" max="13"/>
    <col width="7.6640625" customWidth="1" min="14" max="15"/>
    <col width="14.5546875" customWidth="1" min="16" max="16"/>
    <col width="7.6640625" customWidth="1" min="17" max="21"/>
    <col width="20.33203125" customWidth="1" min="22" max="22"/>
    <col width="7.6640625" customWidth="1" min="23" max="23"/>
    <col width="9.88671875" customWidth="1" min="24" max="24"/>
    <col width="7.6640625" customWidth="1" min="25" max="25"/>
    <col width="7.6640625" customWidth="1" style="8" min="26" max="26"/>
    <col width="7.6640625" customWidth="1" min="27" max="32"/>
    <col width="14.5546875" bestFit="1" customWidth="1" min="33" max="33"/>
  </cols>
  <sheetData>
    <row r="1">
      <c r="A1" t="inlineStr">
        <is>
          <t>Data</t>
        </is>
      </c>
      <c r="B1" t="inlineStr">
        <is>
          <t>Obra</t>
        </is>
      </c>
      <c r="C1" t="inlineStr">
        <is>
          <t>Bloco</t>
        </is>
      </c>
      <c r="D1" t="inlineStr">
        <is>
          <t>Tipo_Extensao</t>
        </is>
      </c>
      <c r="E1" t="inlineStr">
        <is>
          <t>Extensao_Planejada_m</t>
        </is>
      </c>
      <c r="F1" s="3" t="inlineStr">
        <is>
          <t>Extensao_Executada_m</t>
        </is>
      </c>
      <c r="G1" t="inlineStr">
        <is>
          <t>PV</t>
        </is>
      </c>
      <c r="H1" t="inlineStr">
        <is>
          <t>Profundidade_PV_m</t>
        </is>
      </c>
      <c r="I1" t="inlineStr">
        <is>
          <t>Economias prevista</t>
        </is>
      </c>
      <c r="J1" t="inlineStr">
        <is>
          <t>Economias Recebidas</t>
        </is>
      </c>
      <c r="K1" t="inlineStr">
        <is>
          <t>produção março 2025</t>
        </is>
      </c>
      <c r="L1" t="inlineStr">
        <is>
          <t>produção Abril 2025</t>
        </is>
      </c>
      <c r="M1" t="inlineStr">
        <is>
          <t>produção Maio 2025</t>
        </is>
      </c>
      <c r="N1" t="inlineStr">
        <is>
          <t>produção Junho 2025</t>
        </is>
      </c>
      <c r="O1" t="inlineStr">
        <is>
          <t>produção Julho 2025</t>
        </is>
      </c>
      <c r="P1" t="inlineStr">
        <is>
          <t>produção Agosto 2025</t>
        </is>
      </c>
      <c r="Q1" t="inlineStr">
        <is>
          <t>produção Setembro 2025</t>
        </is>
      </c>
      <c r="R1" t="inlineStr">
        <is>
          <t>produção Outubro 2025</t>
        </is>
      </c>
      <c r="S1" t="inlineStr">
        <is>
          <t>produção Novembro 2025</t>
        </is>
      </c>
      <c r="T1" t="inlineStr">
        <is>
          <t>produção Dezembro 2025</t>
        </is>
      </c>
      <c r="U1" t="inlineStr">
        <is>
          <t>produção Janeiro 2026</t>
        </is>
      </c>
      <c r="V1" t="inlineStr">
        <is>
          <t>produção Fevereiro 2026</t>
        </is>
      </c>
      <c r="W1" t="inlineStr">
        <is>
          <t>produção Março 2026</t>
        </is>
      </c>
      <c r="X1" t="inlineStr">
        <is>
          <t>produção Abril 2026</t>
        </is>
      </c>
      <c r="Y1" t="inlineStr">
        <is>
          <t>produção Maio 2026</t>
        </is>
      </c>
      <c r="Z1" s="8" t="inlineStr">
        <is>
          <t>produção Junho 2026</t>
        </is>
      </c>
      <c r="AA1" t="inlineStr">
        <is>
          <t>produção Julho 2026</t>
        </is>
      </c>
      <c r="AB1" t="inlineStr">
        <is>
          <t>produção Agosto 2026</t>
        </is>
      </c>
      <c r="AC1" t="inlineStr">
        <is>
          <t>produção Setembro 2026</t>
        </is>
      </c>
      <c r="AD1" t="inlineStr">
        <is>
          <t>produção Outubro 2026</t>
        </is>
      </c>
      <c r="AE1" t="inlineStr">
        <is>
          <t>produção Novembro 2026</t>
        </is>
      </c>
      <c r="AF1" t="inlineStr">
        <is>
          <t>produção Dezembro 2026</t>
        </is>
      </c>
      <c r="AG1" t="inlineStr">
        <is>
          <t>Status</t>
        </is>
      </c>
    </row>
    <row r="2">
      <c r="B2" s="3" t="inlineStr">
        <is>
          <t>CTS DOMINGOS JOÃO DE CARVALHO</t>
        </is>
      </c>
      <c r="C2" t="n">
        <v>1</v>
      </c>
      <c r="D2" t="inlineStr">
        <is>
          <t>HDD</t>
        </is>
      </c>
      <c r="E2" t="n">
        <v>156.3</v>
      </c>
      <c r="F2" s="3" t="n">
        <v>150.45</v>
      </c>
      <c r="G2" t="n">
        <v>10</v>
      </c>
      <c r="L2" s="4" t="n"/>
      <c r="M2" s="6" t="n">
        <v>150.45</v>
      </c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9" t="n"/>
      <c r="AA2" s="4" t="n"/>
      <c r="AB2" s="4" t="n"/>
      <c r="AC2" s="4" t="n"/>
      <c r="AD2" s="4" t="n"/>
      <c r="AE2" s="4" t="n"/>
      <c r="AF2" s="4" t="n"/>
      <c r="AG2" t="inlineStr">
        <is>
          <t>concluido</t>
        </is>
      </c>
    </row>
    <row r="3">
      <c r="B3" s="3" t="inlineStr">
        <is>
          <t>CTS DOMINGOS JOÃO DE CARVALHO</t>
        </is>
      </c>
      <c r="C3" t="n">
        <v>1</v>
      </c>
      <c r="D3" t="inlineStr">
        <is>
          <t>VCA</t>
        </is>
      </c>
      <c r="E3" t="n">
        <v>37.4</v>
      </c>
      <c r="F3" s="3" t="n">
        <v>27</v>
      </c>
      <c r="L3" s="4" t="n"/>
      <c r="M3" s="6" t="n">
        <v>27</v>
      </c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9" t="n"/>
      <c r="AA3" s="4" t="n"/>
      <c r="AB3" s="4" t="n"/>
      <c r="AC3" s="4" t="n"/>
      <c r="AD3" s="4" t="n"/>
      <c r="AE3" s="4" t="n"/>
      <c r="AF3" s="4" t="n"/>
      <c r="AG3" t="inlineStr">
        <is>
          <t>concluido</t>
        </is>
      </c>
    </row>
    <row r="4">
      <c r="B4" s="3" t="inlineStr">
        <is>
          <t>CTS DOMINGOS JOÃO DE CARVALHO</t>
        </is>
      </c>
      <c r="C4" t="n">
        <v>2</v>
      </c>
      <c r="D4" t="inlineStr">
        <is>
          <t>HDD</t>
        </is>
      </c>
      <c r="F4" s="3" t="n">
        <v>59.64</v>
      </c>
      <c r="G4" t="n">
        <v>1</v>
      </c>
      <c r="L4" s="4" t="n"/>
      <c r="M4" s="6" t="n">
        <v>47.94</v>
      </c>
      <c r="N4" s="6" t="n">
        <v>11.7</v>
      </c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9" t="n"/>
      <c r="AA4" s="4" t="n"/>
      <c r="AB4" s="4" t="n"/>
      <c r="AC4" s="4" t="n"/>
      <c r="AD4" s="4" t="n"/>
      <c r="AE4" s="4" t="n"/>
      <c r="AF4" s="4" t="n"/>
      <c r="AG4" t="inlineStr">
        <is>
          <t>concluido</t>
        </is>
      </c>
    </row>
    <row r="5">
      <c r="B5" s="3" t="inlineStr">
        <is>
          <t>CTS DOMINGOS JOÃO DE CARVALHO</t>
        </is>
      </c>
      <c r="C5" t="n">
        <v>2</v>
      </c>
      <c r="D5" t="inlineStr">
        <is>
          <t>VCA</t>
        </is>
      </c>
      <c r="E5" t="n">
        <v>108.9</v>
      </c>
      <c r="F5" s="3" t="n">
        <v>47.5</v>
      </c>
      <c r="L5" s="6" t="n">
        <v>47.5</v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9" t="n"/>
      <c r="AA5" s="4" t="n"/>
      <c r="AB5" s="4" t="n"/>
      <c r="AC5" s="4" t="n"/>
      <c r="AD5" s="4" t="n"/>
      <c r="AE5" s="4" t="n"/>
      <c r="AF5" s="4" t="n"/>
      <c r="AG5" t="inlineStr">
        <is>
          <t>concluido</t>
        </is>
      </c>
    </row>
    <row r="6">
      <c r="B6" s="3" t="inlineStr">
        <is>
          <t>CTS DOMINGOS JOÃO DE CARVALHO</t>
        </is>
      </c>
      <c r="C6" t="n">
        <v>3</v>
      </c>
      <c r="D6" t="inlineStr">
        <is>
          <t>HDD</t>
        </is>
      </c>
      <c r="F6" s="3" t="n">
        <v>105.6</v>
      </c>
      <c r="G6" t="n">
        <v>1</v>
      </c>
      <c r="L6" s="4" t="n"/>
      <c r="M6" s="6" t="n">
        <v>105.6</v>
      </c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9" t="n"/>
      <c r="AA6" s="4" t="n"/>
      <c r="AB6" s="4" t="n"/>
      <c r="AC6" s="4" t="n"/>
      <c r="AD6" s="4" t="n"/>
      <c r="AE6" s="4" t="n"/>
      <c r="AF6" s="4" t="n"/>
      <c r="AG6" t="inlineStr">
        <is>
          <t>concluido</t>
        </is>
      </c>
    </row>
    <row r="7">
      <c r="B7" s="3" t="inlineStr">
        <is>
          <t>CTS DOMINGOS JOÃO DE CARVALHO</t>
        </is>
      </c>
      <c r="C7" t="n">
        <v>3</v>
      </c>
      <c r="D7" t="inlineStr">
        <is>
          <t>VCA</t>
        </is>
      </c>
      <c r="E7" t="n">
        <v>112.7</v>
      </c>
      <c r="F7" s="3" t="n">
        <v>2.3</v>
      </c>
      <c r="L7" s="4" t="n"/>
      <c r="M7" s="4" t="n"/>
      <c r="N7" s="6" t="n">
        <v>2.3</v>
      </c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9" t="n"/>
      <c r="AA7" s="4" t="n"/>
      <c r="AB7" s="4" t="n"/>
      <c r="AC7" s="4" t="n"/>
      <c r="AD7" s="4" t="n"/>
      <c r="AE7" s="4" t="n"/>
      <c r="AF7" s="4" t="n"/>
      <c r="AG7" t="inlineStr">
        <is>
          <t>concluido</t>
        </is>
      </c>
    </row>
    <row r="8">
      <c r="B8" s="3" t="inlineStr">
        <is>
          <t>CTS DOMINGOS JOÃO DE CARVALHO</t>
        </is>
      </c>
      <c r="C8" t="n">
        <v>4</v>
      </c>
      <c r="D8" t="inlineStr">
        <is>
          <t>HDD</t>
        </is>
      </c>
      <c r="E8" t="n">
        <v>109.9</v>
      </c>
      <c r="F8" s="3" t="n">
        <v>131.43</v>
      </c>
      <c r="G8" t="n">
        <v>2</v>
      </c>
      <c r="L8" s="4" t="n"/>
      <c r="M8" s="6" t="n">
        <v>66.83</v>
      </c>
      <c r="N8" s="6" t="n">
        <v>64.59999999999999</v>
      </c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9" t="n"/>
      <c r="AA8" s="4" t="n"/>
      <c r="AB8" s="4" t="n"/>
      <c r="AC8" s="4" t="n"/>
      <c r="AD8" s="4" t="n"/>
      <c r="AE8" s="4" t="n"/>
      <c r="AF8" s="4" t="n"/>
      <c r="AG8" t="inlineStr">
        <is>
          <t>concluido</t>
        </is>
      </c>
    </row>
    <row r="9">
      <c r="B9" s="3" t="inlineStr">
        <is>
          <t>CTS DOMINGOS JOÃO DE CARVALHO</t>
        </is>
      </c>
      <c r="C9" t="n">
        <v>4</v>
      </c>
      <c r="D9" t="inlineStr">
        <is>
          <t>VCA</t>
        </is>
      </c>
      <c r="E9" t="n">
        <v>18.8</v>
      </c>
      <c r="I9" t="n">
        <v>2305</v>
      </c>
      <c r="J9" t="n">
        <v>2706</v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9" t="n"/>
      <c r="AA9" s="4" t="n"/>
      <c r="AB9" s="4" t="n"/>
      <c r="AC9" s="4" t="n"/>
      <c r="AD9" s="4" t="n"/>
      <c r="AE9" s="4" t="n"/>
      <c r="AF9" s="4" t="n"/>
      <c r="AG9" t="inlineStr">
        <is>
          <t>concluido</t>
        </is>
      </c>
    </row>
    <row r="10">
      <c r="B10" s="3" t="inlineStr">
        <is>
          <t xml:space="preserve">CTS JD. MIRIAM </t>
        </is>
      </c>
      <c r="C10" t="n">
        <v>5</v>
      </c>
      <c r="D10" t="inlineStr">
        <is>
          <t>HDD</t>
        </is>
      </c>
      <c r="E10" t="n">
        <v>0</v>
      </c>
      <c r="F10" s="3" t="n">
        <v>523.655</v>
      </c>
      <c r="G10" t="n">
        <v>47</v>
      </c>
      <c r="H10" t="n">
        <v>136.19</v>
      </c>
      <c r="I10" t="n">
        <v>797</v>
      </c>
      <c r="J10" t="n">
        <v>599</v>
      </c>
      <c r="L10" s="4" t="n"/>
      <c r="M10" s="4" t="n"/>
      <c r="N10" s="6" t="n">
        <v>217.93</v>
      </c>
      <c r="O10" s="6" t="n">
        <v>305.725</v>
      </c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9" t="n"/>
      <c r="AA10" s="4" t="n"/>
      <c r="AB10" s="4" t="n"/>
      <c r="AC10" s="4" t="n"/>
      <c r="AD10" s="4" t="n"/>
      <c r="AE10" s="4" t="n"/>
      <c r="AF10" s="4" t="n"/>
      <c r="AG10" t="inlineStr">
        <is>
          <t>concluido</t>
        </is>
      </c>
    </row>
    <row r="11">
      <c r="B11" s="3" t="inlineStr">
        <is>
          <t xml:space="preserve">CTS JD. MIRIAM </t>
        </is>
      </c>
      <c r="C11" t="n">
        <v>5</v>
      </c>
      <c r="D11" t="inlineStr">
        <is>
          <t>VCA</t>
        </is>
      </c>
      <c r="E11" t="n">
        <v>469.7</v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9" t="n"/>
      <c r="AA11" s="4" t="n"/>
      <c r="AB11" s="4" t="n"/>
      <c r="AC11" s="4" t="n"/>
      <c r="AD11" s="4" t="n"/>
      <c r="AE11" s="4" t="n"/>
      <c r="AF11" s="4" t="n"/>
      <c r="AG11" t="inlineStr">
        <is>
          <t>concluido</t>
        </is>
      </c>
    </row>
    <row r="12">
      <c r="B12" s="3" t="inlineStr">
        <is>
          <t xml:space="preserve">CTS JD. MIRIAM </t>
        </is>
      </c>
      <c r="C12" t="n">
        <v>6</v>
      </c>
      <c r="D12" t="inlineStr">
        <is>
          <t>HDD</t>
        </is>
      </c>
      <c r="E12" t="n">
        <v>124.2</v>
      </c>
      <c r="F12" s="3" t="n">
        <v>342.71</v>
      </c>
      <c r="I12" t="n">
        <v>91</v>
      </c>
      <c r="J12" t="n">
        <v>595</v>
      </c>
      <c r="L12" s="4" t="n"/>
      <c r="M12" s="4" t="n"/>
      <c r="N12" s="4" t="n"/>
      <c r="O12" s="6" t="n">
        <v>134.105</v>
      </c>
      <c r="P12" s="6" t="n">
        <v>208.605</v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9" t="n"/>
      <c r="AA12" s="4" t="n"/>
      <c r="AB12" s="4" t="n"/>
      <c r="AC12" s="4" t="n"/>
      <c r="AD12" s="4" t="n"/>
      <c r="AE12" s="4" t="n"/>
      <c r="AF12" s="4" t="n"/>
      <c r="AG12" t="inlineStr">
        <is>
          <t>concluido</t>
        </is>
      </c>
    </row>
    <row r="13">
      <c r="B13" s="3" t="inlineStr">
        <is>
          <t xml:space="preserve">CTS JD. MIRIAM </t>
        </is>
      </c>
      <c r="C13" t="n">
        <v>6</v>
      </c>
      <c r="D13" t="inlineStr">
        <is>
          <t>VCA</t>
        </is>
      </c>
      <c r="E13" t="n">
        <v>83</v>
      </c>
      <c r="F13" s="3" t="n">
        <v>0</v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9" t="n"/>
      <c r="AA13" s="4" t="n"/>
      <c r="AB13" s="4" t="n"/>
      <c r="AC13" s="4" t="n"/>
      <c r="AD13" s="4" t="n"/>
      <c r="AE13" s="4" t="n"/>
      <c r="AF13" s="4" t="n"/>
      <c r="AG13" t="inlineStr">
        <is>
          <t>concluido</t>
        </is>
      </c>
    </row>
    <row r="14">
      <c r="B14" s="3" t="inlineStr">
        <is>
          <t xml:space="preserve">CTS JD. MIRIAM </t>
        </is>
      </c>
      <c r="C14" t="n">
        <v>7</v>
      </c>
      <c r="D14" t="inlineStr">
        <is>
          <t>HDD</t>
        </is>
      </c>
      <c r="E14" t="n">
        <v>240.7</v>
      </c>
      <c r="F14" s="3">
        <f>tb_base_dash_extensao[[#This Row],[produção Agosto 2025]]</f>
        <v/>
      </c>
      <c r="I14" t="n">
        <v>589</v>
      </c>
      <c r="J14" t="n">
        <v>109</v>
      </c>
      <c r="L14" s="4" t="n"/>
      <c r="M14" s="4" t="n"/>
      <c r="N14" s="4" t="n"/>
      <c r="O14" s="4" t="n"/>
      <c r="P14" s="6">
        <f>231.85-72.375</f>
        <v/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9" t="n"/>
      <c r="AA14" s="4" t="n"/>
      <c r="AB14" s="4" t="n"/>
      <c r="AC14" s="4" t="n"/>
      <c r="AD14" s="4" t="n"/>
      <c r="AE14" s="4" t="n"/>
      <c r="AF14" s="4" t="n"/>
      <c r="AG14" t="inlineStr">
        <is>
          <t>concluido</t>
        </is>
      </c>
    </row>
    <row r="15">
      <c r="B15" s="3" t="inlineStr">
        <is>
          <t xml:space="preserve">CTS JD. MIRIAM </t>
        </is>
      </c>
      <c r="C15" t="n">
        <v>7</v>
      </c>
      <c r="D15" t="inlineStr">
        <is>
          <t>VCA</t>
        </is>
      </c>
      <c r="E15" t="n">
        <v>118.5</v>
      </c>
      <c r="F15" s="3" t="n">
        <v>4.06</v>
      </c>
      <c r="L15" s="4" t="n"/>
      <c r="M15" s="4" t="n"/>
      <c r="N15" s="4" t="n"/>
      <c r="O15" s="4" t="n"/>
      <c r="P15" s="6" t="n">
        <v>4.06</v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9" t="n"/>
      <c r="AA15" s="4" t="n"/>
      <c r="AB15" s="4" t="n"/>
      <c r="AC15" s="4" t="n"/>
      <c r="AD15" s="4" t="n"/>
      <c r="AE15" s="4" t="n"/>
      <c r="AF15" s="4" t="n"/>
      <c r="AG15" t="inlineStr">
        <is>
          <t>concluido</t>
        </is>
      </c>
    </row>
    <row r="16">
      <c r="B16" s="3" t="inlineStr">
        <is>
          <t xml:space="preserve">CTS JD. MIRIAM </t>
        </is>
      </c>
      <c r="C16" t="n">
        <v>8</v>
      </c>
      <c r="D16" t="inlineStr">
        <is>
          <t>HDD</t>
        </is>
      </c>
      <c r="E16" t="n">
        <v>0</v>
      </c>
      <c r="F16" s="3">
        <f>tb_base_dash_extensao[[#This Row],[produção Agosto 2025]]+tb_base_dash_extensao[[#This Row],[produção Setembro 2025]]</f>
        <v/>
      </c>
      <c r="I16" t="n">
        <v>614</v>
      </c>
      <c r="J16" t="n">
        <v>3229</v>
      </c>
      <c r="L16" s="4" t="n"/>
      <c r="M16" s="4" t="n"/>
      <c r="N16" s="4" t="n"/>
      <c r="O16" s="4" t="n"/>
      <c r="P16" s="6">
        <f>132.27-72.375</f>
        <v/>
      </c>
      <c r="Q16" s="6" t="n">
        <v>235.44</v>
      </c>
      <c r="R16" s="4" t="n"/>
      <c r="S16" s="4" t="n"/>
      <c r="T16" s="4" t="n"/>
      <c r="U16" s="4" t="n"/>
      <c r="V16" s="4" t="n"/>
      <c r="W16" s="4" t="n"/>
      <c r="X16" s="4" t="n"/>
      <c r="Y16" s="4" t="n"/>
      <c r="Z16" s="9" t="n"/>
      <c r="AA16" s="4" t="n"/>
      <c r="AB16" s="4" t="n"/>
      <c r="AC16" s="4" t="n"/>
      <c r="AD16" s="4" t="n"/>
      <c r="AE16" s="4" t="n"/>
      <c r="AF16" s="4" t="n"/>
      <c r="AG16" t="inlineStr">
        <is>
          <t>concluido</t>
        </is>
      </c>
    </row>
    <row r="17">
      <c r="B17" s="3" t="inlineStr">
        <is>
          <t xml:space="preserve">CTS JD. MIRIAM </t>
        </is>
      </c>
      <c r="C17" t="n">
        <v>8</v>
      </c>
      <c r="D17" t="inlineStr">
        <is>
          <t>VCA</t>
        </is>
      </c>
      <c r="E17" t="n">
        <v>232.1</v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9" t="n"/>
      <c r="AA17" s="4" t="n"/>
      <c r="AB17" s="4" t="n"/>
      <c r="AC17" s="4" t="n"/>
      <c r="AD17" s="4" t="n"/>
      <c r="AE17" s="4" t="n"/>
      <c r="AF17" s="4" t="n"/>
      <c r="AG17" t="inlineStr">
        <is>
          <t>concluido</t>
        </is>
      </c>
    </row>
    <row r="18">
      <c r="B18" s="3" t="inlineStr">
        <is>
          <t xml:space="preserve">CTS JD. MIRIAM </t>
        </is>
      </c>
      <c r="C18" t="n">
        <v>9</v>
      </c>
      <c r="D18" t="inlineStr">
        <is>
          <t>HDD</t>
        </is>
      </c>
      <c r="E18" t="n">
        <v>70.5</v>
      </c>
      <c r="F18" s="3" t="n">
        <v>253.94</v>
      </c>
      <c r="I18" t="n">
        <v>2964</v>
      </c>
      <c r="J18" t="n">
        <v>42</v>
      </c>
      <c r="L18" s="4" t="n"/>
      <c r="M18" s="4" t="n"/>
      <c r="N18" s="4" t="n"/>
      <c r="O18" s="4" t="n"/>
      <c r="P18" s="4" t="n"/>
      <c r="Q18" s="4" t="n">
        <v>253.94</v>
      </c>
      <c r="R18" s="4" t="n"/>
      <c r="S18" s="4" t="n"/>
      <c r="T18" s="4" t="n"/>
      <c r="U18" s="4" t="n"/>
      <c r="V18" s="4" t="n"/>
      <c r="W18" s="4" t="n"/>
      <c r="X18" s="4" t="n"/>
      <c r="Y18" s="4" t="n"/>
      <c r="Z18" s="9" t="n"/>
      <c r="AA18" s="4" t="n"/>
      <c r="AB18" s="4" t="n"/>
      <c r="AC18" s="4" t="n"/>
      <c r="AD18" s="4" t="n"/>
      <c r="AE18" s="4" t="n"/>
      <c r="AF18" s="4" t="n"/>
      <c r="AG18" t="inlineStr">
        <is>
          <t>concluido</t>
        </is>
      </c>
    </row>
    <row r="19">
      <c r="B19" s="3" t="inlineStr">
        <is>
          <t xml:space="preserve">CTS JD. MIRIAM </t>
        </is>
      </c>
      <c r="C19" t="n">
        <v>9</v>
      </c>
      <c r="D19" t="inlineStr">
        <is>
          <t>VCA</t>
        </is>
      </c>
      <c r="E19" t="n">
        <v>754</v>
      </c>
      <c r="F19" s="3">
        <f>tb_base_dash_extensao[[#This Row],[produção Agosto 2025]]+tb_base_dash_extensao[[#This Row],[produção Setembro 2025]]+tb_base_dash_extensao[[#This Row],[produção Dezembro 2025]]</f>
        <v/>
      </c>
      <c r="L19" s="4" t="n"/>
      <c r="M19" s="4" t="n"/>
      <c r="N19" s="4" t="n"/>
      <c r="O19" s="4" t="n"/>
      <c r="P19" s="4">
        <f>242.97-72.375</f>
        <v/>
      </c>
      <c r="Q19" s="4" t="n">
        <v>148.49</v>
      </c>
      <c r="R19" s="4" t="n"/>
      <c r="S19" s="4" t="n"/>
      <c r="T19" s="4" t="n">
        <v>54</v>
      </c>
      <c r="U19" s="4" t="n"/>
      <c r="V19" s="4" t="n"/>
      <c r="W19" s="4" t="n"/>
      <c r="X19" s="4" t="n"/>
      <c r="Y19" s="4" t="n"/>
      <c r="Z19" s="9" t="n"/>
      <c r="AA19" s="4" t="n"/>
      <c r="AB19" s="4" t="n"/>
      <c r="AC19" s="4" t="n"/>
      <c r="AD19" s="4" t="n"/>
      <c r="AE19" s="4" t="n"/>
      <c r="AF19" s="4" t="n"/>
      <c r="AG19" t="inlineStr">
        <is>
          <t>concluido</t>
        </is>
      </c>
    </row>
    <row r="20">
      <c r="B20" s="3" t="inlineStr">
        <is>
          <t>CTS DOROTÉIA</t>
        </is>
      </c>
      <c r="C20" t="n">
        <v>10</v>
      </c>
      <c r="D20" t="inlineStr">
        <is>
          <t>HDD</t>
        </is>
      </c>
      <c r="E20" t="n">
        <v>0</v>
      </c>
      <c r="F20" s="3" t="n">
        <v>192.04</v>
      </c>
      <c r="G20" t="n">
        <v>8</v>
      </c>
      <c r="H20" t="n">
        <v>26.74</v>
      </c>
      <c r="I20" t="n">
        <v>322</v>
      </c>
      <c r="J20" t="n">
        <v>661</v>
      </c>
      <c r="L20" s="4" t="n"/>
      <c r="M20" s="4" t="n"/>
      <c r="N20" s="4" t="n"/>
      <c r="O20" s="4" t="n"/>
      <c r="P20" s="4" t="n"/>
      <c r="Q20" s="4" t="n"/>
      <c r="R20" s="4" t="n">
        <v>192.04</v>
      </c>
      <c r="S20" s="4" t="n"/>
      <c r="T20" s="4" t="n"/>
      <c r="U20" s="4" t="n"/>
      <c r="V20" s="4" t="n"/>
      <c r="W20" s="4" t="n"/>
      <c r="X20" s="4" t="n"/>
      <c r="Y20" s="4" t="n"/>
      <c r="Z20" s="9" t="n"/>
      <c r="AA20" s="4" t="n"/>
      <c r="AB20" s="4" t="n"/>
      <c r="AC20" s="4" t="n"/>
      <c r="AD20" s="4" t="n"/>
      <c r="AE20" s="4" t="n"/>
      <c r="AF20" s="4" t="n"/>
      <c r="AG20" t="inlineStr">
        <is>
          <t>concluido</t>
        </is>
      </c>
    </row>
    <row r="21">
      <c r="B21" s="3" t="inlineStr">
        <is>
          <t>CTS DOROTÉIA</t>
        </is>
      </c>
      <c r="C21" t="n">
        <v>10</v>
      </c>
      <c r="D21" t="inlineStr">
        <is>
          <t>VCA</t>
        </is>
      </c>
      <c r="E21" t="n">
        <v>44.2</v>
      </c>
      <c r="F21" s="3" t="n">
        <v>19.91</v>
      </c>
      <c r="L21" s="4" t="n"/>
      <c r="M21" s="4" t="n"/>
      <c r="N21" s="4" t="n"/>
      <c r="O21" s="4" t="n"/>
      <c r="P21" s="4" t="n"/>
      <c r="Q21" s="4" t="n"/>
      <c r="R21" s="4" t="n">
        <v>19.91</v>
      </c>
      <c r="S21" s="4" t="n"/>
      <c r="T21" s="4" t="n"/>
      <c r="U21" s="4" t="n"/>
      <c r="V21" s="4" t="n"/>
      <c r="W21" s="4" t="n"/>
      <c r="X21" s="4" t="n"/>
      <c r="Y21" s="4" t="n"/>
      <c r="Z21" s="9" t="n"/>
      <c r="AA21" s="4" t="n"/>
      <c r="AB21" s="4" t="n"/>
      <c r="AC21" s="4" t="n"/>
      <c r="AD21" s="4" t="n"/>
      <c r="AE21" s="4" t="n"/>
      <c r="AF21" s="4" t="n"/>
      <c r="AG21" t="inlineStr">
        <is>
          <t>concluido</t>
        </is>
      </c>
    </row>
    <row r="22">
      <c r="B22" s="3" t="inlineStr">
        <is>
          <t>CTS DOROTÉIA</t>
        </is>
      </c>
      <c r="C22" t="n">
        <v>11</v>
      </c>
      <c r="D22" t="inlineStr">
        <is>
          <t>HDD</t>
        </is>
      </c>
      <c r="E22" t="n">
        <v>291.8</v>
      </c>
      <c r="F22" s="3" t="n">
        <v>259.3</v>
      </c>
      <c r="I22" t="n">
        <v>723</v>
      </c>
      <c r="J22" t="n">
        <v>270</v>
      </c>
      <c r="L22" s="4" t="n"/>
      <c r="M22" s="4" t="n"/>
      <c r="N22" s="4" t="n"/>
      <c r="O22" s="4" t="n"/>
      <c r="P22" s="4" t="n"/>
      <c r="Q22" s="4" t="n"/>
      <c r="R22" s="4" t="n">
        <v>259.3</v>
      </c>
      <c r="S22" s="4" t="n"/>
      <c r="T22" s="4" t="n"/>
      <c r="U22" s="4" t="n"/>
      <c r="V22" s="4" t="n"/>
      <c r="W22" s="4" t="n"/>
      <c r="X22" s="4" t="n"/>
      <c r="Y22" s="4" t="n"/>
      <c r="Z22" s="9" t="n"/>
      <c r="AA22" s="4" t="n"/>
      <c r="AB22" s="4" t="n"/>
      <c r="AC22" s="4" t="n"/>
      <c r="AD22" s="4" t="n"/>
      <c r="AE22" s="4" t="n"/>
      <c r="AF22" s="4" t="n"/>
      <c r="AG22" t="inlineStr">
        <is>
          <t>concluido</t>
        </is>
      </c>
    </row>
    <row r="23">
      <c r="B23" s="3" t="inlineStr">
        <is>
          <t>CTS DOROTÉIA</t>
        </is>
      </c>
      <c r="C23" t="n">
        <v>11</v>
      </c>
      <c r="D23" t="inlineStr">
        <is>
          <t>VCA</t>
        </is>
      </c>
      <c r="E23" t="n">
        <v>208.6</v>
      </c>
      <c r="F23" s="3" t="n">
        <v>39.75</v>
      </c>
      <c r="L23" s="4" t="n"/>
      <c r="M23" s="4" t="n"/>
      <c r="N23" s="4" t="n"/>
      <c r="O23" s="4" t="n"/>
      <c r="P23" s="4" t="n"/>
      <c r="Q23" s="4" t="n"/>
      <c r="R23" s="4" t="n">
        <v>39.75</v>
      </c>
      <c r="S23" s="4" t="n"/>
      <c r="T23" s="4" t="n"/>
      <c r="U23" s="4" t="n"/>
      <c r="V23" s="4" t="n"/>
      <c r="W23" s="4" t="n"/>
      <c r="X23" s="4" t="n"/>
      <c r="Y23" s="4" t="n"/>
      <c r="Z23" s="9" t="n"/>
      <c r="AA23" s="4" t="n"/>
      <c r="AB23" s="4" t="n"/>
      <c r="AC23" s="4" t="n"/>
      <c r="AD23" s="4" t="n"/>
      <c r="AE23" s="4" t="n"/>
      <c r="AF23" s="4" t="n"/>
      <c r="AG23" t="inlineStr">
        <is>
          <t>concluido</t>
        </is>
      </c>
    </row>
    <row r="24">
      <c r="B24" t="inlineStr">
        <is>
          <t>REMANEJAMENTO ITI 15</t>
        </is>
      </c>
      <c r="C24" t="n">
        <v>12</v>
      </c>
      <c r="D24" t="inlineStr">
        <is>
          <t>HDD</t>
        </is>
      </c>
      <c r="E24" t="n">
        <v>457</v>
      </c>
      <c r="I24" t="n">
        <v>43</v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9" t="n"/>
      <c r="AA24" s="4" t="n"/>
      <c r="AB24" s="4" t="n"/>
      <c r="AC24" s="4" t="n"/>
      <c r="AD24" s="4" t="n"/>
      <c r="AE24" s="4" t="n"/>
      <c r="AF24" s="4" t="n"/>
      <c r="AG24" t="inlineStr">
        <is>
          <t>em andamento</t>
        </is>
      </c>
    </row>
    <row r="25">
      <c r="B25" t="inlineStr">
        <is>
          <t>REMANEJAMENTO ITI 15</t>
        </is>
      </c>
      <c r="C25" t="n">
        <v>12</v>
      </c>
      <c r="D25" t="inlineStr">
        <is>
          <t>VCA</t>
        </is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9" t="n"/>
      <c r="AA25" s="4" t="n"/>
      <c r="AB25" s="4" t="n"/>
      <c r="AC25" s="4" t="n"/>
      <c r="AD25" s="4" t="n"/>
      <c r="AE25" s="4" t="n"/>
      <c r="AF25" s="4" t="n"/>
      <c r="AG25" t="inlineStr">
        <is>
          <t>em andamento</t>
        </is>
      </c>
    </row>
    <row r="26">
      <c r="B26" t="inlineStr">
        <is>
          <t>RCE RUA PREFEITO TAKUNE KOIKE</t>
        </is>
      </c>
      <c r="C26" t="n">
        <v>12</v>
      </c>
      <c r="D26" t="inlineStr">
        <is>
          <t>HDD</t>
        </is>
      </c>
      <c r="E26" t="n">
        <v>137</v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9" t="n"/>
      <c r="AA26" s="4" t="n"/>
      <c r="AB26" s="4" t="n"/>
      <c r="AC26" s="4" t="n"/>
      <c r="AD26" s="4" t="n"/>
      <c r="AE26" s="4" t="n"/>
      <c r="AF26" s="4" t="n"/>
    </row>
    <row r="27">
      <c r="B27" t="inlineStr">
        <is>
          <t>RCE RUA PREFEITO TAKUNE KOIKE</t>
        </is>
      </c>
      <c r="C27" t="n">
        <v>12</v>
      </c>
      <c r="D27" t="inlineStr">
        <is>
          <t>VCA</t>
        </is>
      </c>
      <c r="E27" t="n">
        <v>636</v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9" t="n"/>
      <c r="AA27" s="4" t="n"/>
      <c r="AB27" s="4" t="n"/>
      <c r="AC27" s="4" t="n"/>
      <c r="AD27" s="4" t="n"/>
      <c r="AE27" s="4" t="n"/>
      <c r="AF27" s="4" t="n"/>
    </row>
    <row r="28">
      <c r="B28" t="inlineStr">
        <is>
          <t>RCE ESTRADA DOS BANDEIRANTES</t>
        </is>
      </c>
      <c r="C28" t="n">
        <v>12</v>
      </c>
      <c r="D28" t="inlineStr">
        <is>
          <t>HDD</t>
        </is>
      </c>
      <c r="E28" t="n">
        <v>20</v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9" t="n"/>
      <c r="AA28" s="4" t="n"/>
      <c r="AB28" s="4" t="n"/>
      <c r="AC28" s="4" t="n"/>
      <c r="AD28" s="4" t="n"/>
      <c r="AE28" s="4" t="n"/>
      <c r="AF28" s="4" t="n"/>
    </row>
    <row r="29">
      <c r="B29" t="inlineStr">
        <is>
          <t>RCE ESTRADA DOS BANDEIRANTES</t>
        </is>
      </c>
      <c r="C29" t="n">
        <v>12</v>
      </c>
      <c r="D29" t="inlineStr">
        <is>
          <t>VCA</t>
        </is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9" t="n"/>
      <c r="AA29" s="4" t="n"/>
      <c r="AB29" s="4" t="n"/>
      <c r="AC29" s="4" t="n"/>
      <c r="AD29" s="4" t="n"/>
      <c r="AE29" s="4" t="n"/>
      <c r="AF29" s="4" t="n"/>
    </row>
    <row r="30">
      <c r="B30" t="inlineStr">
        <is>
          <t>RCE RUA IGARAÇU</t>
        </is>
      </c>
      <c r="C30" t="n">
        <v>12</v>
      </c>
      <c r="D30" t="inlineStr">
        <is>
          <t>HDD</t>
        </is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9" t="n"/>
      <c r="AA30" s="4" t="n"/>
      <c r="AB30" s="4" t="n"/>
      <c r="AC30" s="4" t="n"/>
      <c r="AD30" s="4" t="n"/>
      <c r="AE30" s="4" t="n"/>
      <c r="AF30" s="4" t="n"/>
    </row>
    <row r="31">
      <c r="B31" t="inlineStr">
        <is>
          <t>RCE RUA IGARAÇU</t>
        </is>
      </c>
      <c r="C31" t="n">
        <v>12</v>
      </c>
      <c r="D31" t="inlineStr">
        <is>
          <t>VCA</t>
        </is>
      </c>
      <c r="E31" t="n">
        <v>110</v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9" t="n"/>
      <c r="AA31" s="4" t="n"/>
      <c r="AB31" s="4" t="n"/>
      <c r="AC31" s="4" t="n"/>
      <c r="AD31" s="4" t="n"/>
      <c r="AE31" s="4" t="n"/>
      <c r="AF31" s="4" t="n"/>
    </row>
    <row r="32">
      <c r="B32" t="inlineStr">
        <is>
          <t>RCE RUA AMÉRICO MACHADO - ELIS R</t>
        </is>
      </c>
      <c r="C32" t="n">
        <v>12</v>
      </c>
      <c r="D32" t="inlineStr">
        <is>
          <t>HDD</t>
        </is>
      </c>
      <c r="F32" s="3" t="n">
        <v>38.3</v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9" t="n">
        <v>38.3</v>
      </c>
      <c r="AA32" s="4" t="n"/>
      <c r="AB32" s="4" t="n"/>
      <c r="AC32" s="4" t="n"/>
      <c r="AD32" s="4" t="n"/>
      <c r="AE32" s="4" t="n"/>
      <c r="AF32" s="4" t="n"/>
      <c r="AG32" t="inlineStr">
        <is>
          <t>concluido</t>
        </is>
      </c>
    </row>
    <row r="33">
      <c r="B33" t="inlineStr">
        <is>
          <t>RCE RUA AMÉRICO MACHADO - ELIS R</t>
        </is>
      </c>
      <c r="C33" t="n">
        <v>12</v>
      </c>
      <c r="D33" t="inlineStr">
        <is>
          <t>VCA</t>
        </is>
      </c>
      <c r="E33" t="n">
        <v>55</v>
      </c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9" t="n"/>
      <c r="AA33" s="4" t="n"/>
      <c r="AB33" s="4" t="n"/>
      <c r="AC33" s="4" t="n"/>
      <c r="AD33" s="4" t="n"/>
      <c r="AE33" s="4" t="n"/>
      <c r="AF33" s="4" t="n"/>
      <c r="AG33" t="inlineStr">
        <is>
          <t>em andamento</t>
        </is>
      </c>
    </row>
    <row r="34">
      <c r="B34" t="inlineStr">
        <is>
          <t xml:space="preserve">RCE RUA CARMEM COSTA </t>
        </is>
      </c>
      <c r="C34" t="n">
        <v>12</v>
      </c>
      <c r="D34" t="inlineStr">
        <is>
          <t>HDD</t>
        </is>
      </c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9" t="n"/>
      <c r="AA34" s="4" t="n"/>
      <c r="AB34" s="4" t="n"/>
      <c r="AC34" s="4" t="n"/>
      <c r="AD34" s="4" t="n"/>
      <c r="AE34" s="4" t="n"/>
      <c r="AF34" s="4" t="n"/>
    </row>
    <row r="35">
      <c r="B35" t="inlineStr">
        <is>
          <t xml:space="preserve">RCE RUA CARMEM COSTA </t>
        </is>
      </c>
      <c r="C35" t="n">
        <v>12</v>
      </c>
      <c r="D35" t="inlineStr">
        <is>
          <t>VCA</t>
        </is>
      </c>
      <c r="E35" t="n">
        <v>34</v>
      </c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9" t="n"/>
      <c r="AA35" s="4" t="n"/>
      <c r="AB35" s="4" t="n"/>
      <c r="AC35" s="4" t="n"/>
      <c r="AD35" s="4" t="n"/>
      <c r="AE35" s="4" t="n"/>
      <c r="AF35" s="4" t="n"/>
    </row>
    <row r="36">
      <c r="B36" t="inlineStr">
        <is>
          <t>RCE RUA MARIA DAS GRAÇAS SILVA</t>
        </is>
      </c>
      <c r="C36" t="n">
        <v>12</v>
      </c>
      <c r="D36" t="inlineStr">
        <is>
          <t>HDD</t>
        </is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9" t="n"/>
      <c r="AA36" s="4" t="n"/>
      <c r="AB36" s="4" t="n"/>
      <c r="AC36" s="4" t="n"/>
      <c r="AD36" s="4" t="n"/>
      <c r="AE36" s="4" t="n"/>
      <c r="AF36" s="4" t="n"/>
    </row>
    <row r="37">
      <c r="B37" t="inlineStr">
        <is>
          <t>RCE RUA MARIA DAS GRAÇAS SILVA</t>
        </is>
      </c>
      <c r="C37" t="n">
        <v>12</v>
      </c>
      <c r="D37" t="inlineStr">
        <is>
          <t>VCA</t>
        </is>
      </c>
      <c r="E37" t="n">
        <v>17</v>
      </c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9" t="n"/>
      <c r="AA37" s="4" t="n"/>
      <c r="AB37" s="4" t="n"/>
      <c r="AC37" s="4" t="n"/>
      <c r="AD37" s="4" t="n"/>
      <c r="AE37" s="4" t="n"/>
      <c r="AF37" s="4" t="n"/>
    </row>
    <row r="38">
      <c r="B38" t="inlineStr">
        <is>
          <t xml:space="preserve">RCE - RUA MARIA DOS SANTOS MACHADO </t>
        </is>
      </c>
      <c r="C38" s="1" t="n">
        <v>12</v>
      </c>
      <c r="D38" t="inlineStr">
        <is>
          <t>HDD</t>
        </is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9" t="n"/>
      <c r="AA38" s="4" t="n"/>
      <c r="AB38" s="4" t="n"/>
      <c r="AC38" s="4" t="n"/>
      <c r="AD38" s="4" t="n"/>
      <c r="AE38" s="4" t="n"/>
      <c r="AF38" s="4" t="n"/>
      <c r="AG38" t="inlineStr">
        <is>
          <t>em andamento</t>
        </is>
      </c>
    </row>
    <row r="39">
      <c r="B39" t="inlineStr">
        <is>
          <t xml:space="preserve">RCE - RUA MARIA DOS SANTOS MACHADO </t>
        </is>
      </c>
      <c r="C39" s="1" t="n">
        <v>12</v>
      </c>
      <c r="D39" t="inlineStr">
        <is>
          <t>VCA</t>
        </is>
      </c>
      <c r="E39" t="n">
        <v>205</v>
      </c>
      <c r="F39" s="3" t="n">
        <v>169.1</v>
      </c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9" t="n">
        <v>169.1</v>
      </c>
      <c r="AA39" s="4" t="n"/>
      <c r="AB39" s="4" t="n"/>
      <c r="AC39" s="4" t="n"/>
      <c r="AD39" s="4" t="n"/>
      <c r="AE39" s="4" t="n"/>
      <c r="AF39" s="4" t="n"/>
    </row>
    <row r="40">
      <c r="B40" t="inlineStr">
        <is>
          <t>EEE TRÊS MENINAS</t>
        </is>
      </c>
      <c r="C40" t="n">
        <v>13</v>
      </c>
      <c r="D40" t="inlineStr">
        <is>
          <t>HDD</t>
        </is>
      </c>
      <c r="I40" t="n">
        <v>11130</v>
      </c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9" t="n"/>
      <c r="AA40" s="4" t="n"/>
      <c r="AB40" s="4" t="n"/>
      <c r="AC40" s="4" t="n"/>
      <c r="AD40" s="4" t="n"/>
      <c r="AE40" s="4" t="n"/>
      <c r="AF40" s="4" t="n"/>
    </row>
    <row r="41">
      <c r="B41" t="inlineStr">
        <is>
          <t>EEE TRÊS MENINAS</t>
        </is>
      </c>
      <c r="C41" t="n">
        <v>13</v>
      </c>
      <c r="D41" t="inlineStr">
        <is>
          <t>VCA</t>
        </is>
      </c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9" t="n"/>
      <c r="AA41" s="4" t="n"/>
      <c r="AB41" s="4" t="n"/>
      <c r="AC41" s="4" t="n"/>
      <c r="AD41" s="4" t="n"/>
      <c r="AE41" s="4" t="n"/>
      <c r="AF41" s="4" t="n"/>
    </row>
    <row r="42">
      <c r="B42" t="inlineStr">
        <is>
          <t xml:space="preserve">LINHA DE RECALQUE TRÊS MENINAS </t>
        </is>
      </c>
      <c r="C42" t="n">
        <v>13</v>
      </c>
      <c r="D42" t="inlineStr">
        <is>
          <t>HDD</t>
        </is>
      </c>
      <c r="E42" t="n">
        <v>1787.905</v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9" t="n"/>
      <c r="AA42" s="4" t="n"/>
      <c r="AB42" s="4" t="n"/>
      <c r="AC42" s="4" t="n"/>
      <c r="AD42" s="4" t="n"/>
      <c r="AE42" s="4" t="n"/>
      <c r="AF42" s="4" t="n"/>
    </row>
    <row r="43">
      <c r="B43" t="inlineStr">
        <is>
          <t xml:space="preserve">LINHA DE RECALQUE TRÊS MENINAS </t>
        </is>
      </c>
      <c r="C43" t="n">
        <v>13</v>
      </c>
      <c r="D43" t="inlineStr">
        <is>
          <t>VCA</t>
        </is>
      </c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9" t="n"/>
      <c r="AA43" s="4" t="n"/>
      <c r="AB43" s="4" t="n"/>
      <c r="AC43" s="4" t="n"/>
      <c r="AD43" s="4" t="n"/>
      <c r="AE43" s="4" t="n"/>
      <c r="AF43" s="4" t="n"/>
    </row>
    <row r="44">
      <c r="B44" t="inlineStr">
        <is>
          <t xml:space="preserve">CTS TRÊS MENINAS </t>
        </is>
      </c>
      <c r="C44" t="n">
        <v>13</v>
      </c>
      <c r="D44" t="inlineStr">
        <is>
          <t>HDD</t>
        </is>
      </c>
      <c r="E44" t="n">
        <v>1583.28</v>
      </c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9" t="n"/>
      <c r="AA44" s="4" t="n"/>
      <c r="AB44" s="4" t="n"/>
      <c r="AC44" s="4" t="n"/>
      <c r="AD44" s="4" t="n"/>
      <c r="AE44" s="4" t="n"/>
      <c r="AF44" s="4" t="n"/>
    </row>
    <row r="45">
      <c r="B45" t="inlineStr">
        <is>
          <t xml:space="preserve">CTS TRÊS MENINAS </t>
        </is>
      </c>
      <c r="C45" t="n">
        <v>13</v>
      </c>
      <c r="D45" t="inlineStr">
        <is>
          <t>VCA</t>
        </is>
      </c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9" t="n"/>
      <c r="AA45" s="4" t="n"/>
      <c r="AB45" s="4" t="n"/>
      <c r="AC45" s="4" t="n"/>
      <c r="AD45" s="4" t="n"/>
      <c r="AE45" s="4" t="n"/>
      <c r="AF45" s="4" t="n"/>
    </row>
    <row r="46">
      <c r="B46" t="inlineStr">
        <is>
          <t>INTERL. TRÊS MENINAS</t>
        </is>
      </c>
      <c r="C46" t="n">
        <v>13</v>
      </c>
      <c r="D46" t="inlineStr">
        <is>
          <t>HDD</t>
        </is>
      </c>
      <c r="E46" t="n">
        <v>699.235</v>
      </c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9" t="n"/>
      <c r="AA46" s="4" t="n"/>
      <c r="AB46" s="4" t="n"/>
      <c r="AC46" s="4" t="n"/>
      <c r="AD46" s="4" t="n"/>
      <c r="AE46" s="4" t="n"/>
      <c r="AF46" s="4" t="n"/>
    </row>
    <row r="47">
      <c r="B47" t="inlineStr">
        <is>
          <t>INTERL. TRÊS MENINAS</t>
        </is>
      </c>
      <c r="C47" t="n">
        <v>13</v>
      </c>
      <c r="D47" t="inlineStr">
        <is>
          <t>VCA</t>
        </is>
      </c>
      <c r="E47" t="n">
        <v>166.2</v>
      </c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9" t="n"/>
      <c r="AA47" s="4" t="n"/>
      <c r="AB47" s="4" t="n"/>
      <c r="AC47" s="4" t="n"/>
      <c r="AD47" s="4" t="n"/>
      <c r="AE47" s="4" t="n"/>
      <c r="AF47" s="4" t="n"/>
    </row>
    <row r="48">
      <c r="B48" t="inlineStr">
        <is>
          <t xml:space="preserve">CTS JD. HELENA </t>
        </is>
      </c>
      <c r="C48" t="n">
        <v>13</v>
      </c>
      <c r="D48" t="inlineStr">
        <is>
          <t>HDD</t>
        </is>
      </c>
      <c r="E48" t="n">
        <v>820.2</v>
      </c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9" t="n"/>
      <c r="AA48" s="4" t="n"/>
      <c r="AB48" s="4" t="n"/>
      <c r="AC48" s="4" t="n"/>
      <c r="AD48" s="4" t="n"/>
      <c r="AE48" s="4" t="n"/>
      <c r="AF48" s="4" t="n"/>
    </row>
    <row r="49">
      <c r="B49" t="inlineStr">
        <is>
          <t xml:space="preserve">CTS JD. HELENA </t>
        </is>
      </c>
      <c r="C49" t="n">
        <v>13</v>
      </c>
      <c r="D49" t="inlineStr">
        <is>
          <t>VCA</t>
        </is>
      </c>
      <c r="E49" t="n">
        <v>191.4</v>
      </c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9" t="n"/>
      <c r="AA49" s="4" t="n"/>
      <c r="AB49" s="4" t="n"/>
      <c r="AC49" s="4" t="n"/>
      <c r="AD49" s="4" t="n"/>
      <c r="AE49" s="4" t="n"/>
      <c r="AF49" s="4" t="n"/>
    </row>
    <row r="50">
      <c r="B50" t="inlineStr">
        <is>
          <t>CTS TRÊS MENINAS AUX.</t>
        </is>
      </c>
      <c r="C50" t="n">
        <v>13</v>
      </c>
      <c r="D50" t="inlineStr">
        <is>
          <t>HDD</t>
        </is>
      </c>
      <c r="E50" t="n">
        <v>165</v>
      </c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9" t="n"/>
      <c r="AA50" s="4" t="n"/>
      <c r="AB50" s="4" t="n"/>
      <c r="AC50" s="4" t="n"/>
      <c r="AD50" s="4" t="n"/>
      <c r="AE50" s="4" t="n"/>
      <c r="AF50" s="4" t="n"/>
    </row>
    <row r="51">
      <c r="B51" t="inlineStr">
        <is>
          <t>CTS TRÊS MENINAS AUX.</t>
        </is>
      </c>
      <c r="C51" t="n">
        <v>13</v>
      </c>
      <c r="D51" t="inlineStr">
        <is>
          <t>VCA</t>
        </is>
      </c>
      <c r="E51" t="n">
        <v>43.5</v>
      </c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9" t="n"/>
      <c r="AA51" s="4" t="n"/>
      <c r="AB51" s="4" t="n"/>
      <c r="AC51" s="4" t="n"/>
      <c r="AD51" s="4" t="n"/>
      <c r="AE51" s="4" t="n"/>
      <c r="AF51" s="4" t="n"/>
    </row>
    <row r="52">
      <c r="B52" t="inlineStr">
        <is>
          <t xml:space="preserve">RCE RUA DOS GIRASSÓIS </t>
        </is>
      </c>
      <c r="C52" t="n">
        <v>13</v>
      </c>
      <c r="D52" t="inlineStr">
        <is>
          <t>HDD</t>
        </is>
      </c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9" t="n"/>
      <c r="AA52" s="4" t="n"/>
      <c r="AB52" s="4" t="n"/>
      <c r="AC52" s="4" t="n"/>
      <c r="AD52" s="4" t="n"/>
      <c r="AE52" s="4" t="n"/>
      <c r="AF52" s="4" t="n"/>
    </row>
    <row r="53">
      <c r="B53" t="inlineStr">
        <is>
          <t xml:space="preserve">RCE RUA DOS GIRASSÓIS </t>
        </is>
      </c>
      <c r="C53" t="n">
        <v>13</v>
      </c>
      <c r="D53" t="inlineStr">
        <is>
          <t>VCA</t>
        </is>
      </c>
      <c r="E53" t="n">
        <v>201.5</v>
      </c>
      <c r="K53" s="2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9" t="n"/>
      <c r="AA53" s="4" t="n"/>
      <c r="AB53" s="4" t="n"/>
      <c r="AC53" s="4" t="n"/>
      <c r="AD53" s="4" t="n"/>
      <c r="AE53" s="4" t="n"/>
      <c r="AF53" s="4" t="n"/>
    </row>
    <row r="54">
      <c r="B54" s="3" t="inlineStr">
        <is>
          <t>CTS JD. LOURDES COMPLEMENTAR</t>
        </is>
      </c>
      <c r="C54" t="n">
        <v>13</v>
      </c>
      <c r="D54" t="inlineStr">
        <is>
          <t>HDD</t>
        </is>
      </c>
      <c r="E54" t="n">
        <v>0</v>
      </c>
      <c r="F54" s="3" t="n">
        <v>320.313</v>
      </c>
      <c r="K54" s="2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>
        <f>78.58+84.32+66.57+78.843</f>
        <v/>
      </c>
      <c r="Z54" s="9" t="n">
        <v>12</v>
      </c>
      <c r="AA54" s="4" t="n"/>
      <c r="AB54" s="4" t="n"/>
      <c r="AC54" s="4" t="n"/>
      <c r="AD54" s="4" t="n"/>
      <c r="AE54" s="4" t="n"/>
      <c r="AF54" s="4" t="n"/>
      <c r="AG54" t="inlineStr">
        <is>
          <t>em andamento</t>
        </is>
      </c>
    </row>
    <row r="55">
      <c r="B55" s="3" t="inlineStr">
        <is>
          <t>CTS JD. LOURDES</t>
        </is>
      </c>
      <c r="C55" t="n">
        <v>14</v>
      </c>
      <c r="D55" t="inlineStr">
        <is>
          <t>HDD</t>
        </is>
      </c>
      <c r="E55" t="n">
        <v>267</v>
      </c>
      <c r="F55" s="3" t="n">
        <v>400</v>
      </c>
      <c r="I55" t="n">
        <v>41</v>
      </c>
      <c r="J55" t="n">
        <v>39</v>
      </c>
      <c r="K55" s="2" t="n"/>
      <c r="L55" s="4" t="n"/>
      <c r="M55" s="4" t="n"/>
      <c r="N55" s="4" t="n"/>
      <c r="O55" s="4" t="n"/>
      <c r="P55" s="4" t="n"/>
      <c r="Q55" s="4" t="n"/>
      <c r="R55" s="4" t="n">
        <v>75</v>
      </c>
      <c r="S55" s="4" t="n">
        <v>325</v>
      </c>
      <c r="T55" s="4" t="n"/>
      <c r="U55" s="4" t="n"/>
      <c r="V55" s="4" t="n"/>
      <c r="W55" s="4" t="n"/>
      <c r="X55" s="4" t="n"/>
      <c r="Y55" s="4" t="n"/>
      <c r="Z55" s="9" t="n"/>
      <c r="AA55" s="4" t="n"/>
      <c r="AB55" s="4" t="n"/>
      <c r="AC55" s="4" t="n"/>
      <c r="AD55" s="4" t="n"/>
      <c r="AE55" s="4" t="n"/>
      <c r="AF55" s="4" t="n"/>
      <c r="AG55" t="inlineStr">
        <is>
          <t>concluido</t>
        </is>
      </c>
    </row>
    <row r="56">
      <c r="B56" s="3" t="inlineStr">
        <is>
          <t>CTS JD. LOURDES</t>
        </is>
      </c>
      <c r="C56" t="n">
        <v>14</v>
      </c>
      <c r="D56" t="inlineStr">
        <is>
          <t>VCA</t>
        </is>
      </c>
      <c r="E56" t="n">
        <v>233.1</v>
      </c>
      <c r="F56" s="3" t="n">
        <v>0</v>
      </c>
      <c r="K56" s="2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9" t="n"/>
      <c r="AA56" s="4" t="n"/>
      <c r="AB56" s="4" t="n"/>
      <c r="AC56" s="4" t="n"/>
      <c r="AD56" s="4" t="n"/>
      <c r="AE56" s="4" t="n"/>
      <c r="AF56" s="4" t="n"/>
      <c r="AG56" t="inlineStr">
        <is>
          <t>concluido</t>
        </is>
      </c>
    </row>
    <row r="57">
      <c r="B57" s="3" t="inlineStr">
        <is>
          <t>CTS JD. LOURDES</t>
        </is>
      </c>
      <c r="C57" t="n">
        <v>15</v>
      </c>
      <c r="D57" t="inlineStr">
        <is>
          <t>HDD</t>
        </is>
      </c>
      <c r="E57" t="n">
        <v>0</v>
      </c>
      <c r="F57" s="3" t="n">
        <v>157.7</v>
      </c>
      <c r="I57" t="n">
        <v>464</v>
      </c>
      <c r="J57" t="n">
        <v>523</v>
      </c>
      <c r="K57" s="2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>
        <v>35</v>
      </c>
      <c r="U57" s="4" t="n">
        <v>122.7</v>
      </c>
      <c r="V57" s="4" t="n"/>
      <c r="W57" s="4" t="n"/>
      <c r="X57" s="4" t="n"/>
      <c r="Y57" s="4" t="n"/>
      <c r="Z57" s="9" t="n"/>
      <c r="AA57" s="4" t="n"/>
      <c r="AB57" s="4" t="n"/>
      <c r="AC57" s="4" t="n"/>
      <c r="AD57" s="4" t="n"/>
      <c r="AE57" s="4" t="n"/>
      <c r="AF57" s="4" t="n"/>
      <c r="AG57" t="inlineStr">
        <is>
          <t>concluido</t>
        </is>
      </c>
    </row>
    <row r="58">
      <c r="B58" s="3" t="inlineStr">
        <is>
          <t>CTS JD. LOURDES</t>
        </is>
      </c>
      <c r="C58" t="n">
        <v>15</v>
      </c>
      <c r="D58" t="inlineStr">
        <is>
          <t>VCA</t>
        </is>
      </c>
      <c r="E58" t="n">
        <v>243.8</v>
      </c>
      <c r="F58" s="3" t="n">
        <v>0</v>
      </c>
      <c r="K58" s="2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9" t="n"/>
      <c r="AA58" s="4" t="n"/>
      <c r="AB58" s="4" t="n"/>
      <c r="AC58" s="4" t="n"/>
      <c r="AD58" s="4" t="n"/>
      <c r="AE58" s="4" t="n"/>
      <c r="AF58" s="4" t="n"/>
      <c r="AG58" t="inlineStr">
        <is>
          <t>concluido</t>
        </is>
      </c>
    </row>
    <row r="59">
      <c r="B59" s="3" t="inlineStr">
        <is>
          <t>CTS JD. LOURDES</t>
        </is>
      </c>
      <c r="C59" t="n">
        <v>16</v>
      </c>
      <c r="D59" t="inlineStr">
        <is>
          <t>HDD</t>
        </is>
      </c>
      <c r="E59" t="n">
        <v>0</v>
      </c>
      <c r="F59" s="3" t="n">
        <v>341.715</v>
      </c>
      <c r="I59" t="n">
        <v>2139</v>
      </c>
      <c r="J59" t="n">
        <v>2126</v>
      </c>
      <c r="K59" s="2" t="n"/>
      <c r="L59" s="4" t="n"/>
      <c r="M59" s="4" t="n"/>
      <c r="N59" s="4" t="n"/>
      <c r="O59" s="4" t="n"/>
      <c r="P59" s="4" t="n"/>
      <c r="Q59" s="4" t="n"/>
      <c r="R59" s="4" t="n"/>
      <c r="S59" s="4" t="n">
        <v>220</v>
      </c>
      <c r="T59" s="4" t="n">
        <v>121.715</v>
      </c>
      <c r="U59" s="4" t="n"/>
      <c r="V59" s="4" t="n"/>
      <c r="W59" s="4" t="n"/>
      <c r="X59" s="4" t="n"/>
      <c r="Y59" s="4" t="n"/>
      <c r="Z59" s="9" t="n"/>
      <c r="AA59" s="4" t="n"/>
      <c r="AB59" s="4" t="n"/>
      <c r="AC59" s="4" t="n"/>
      <c r="AD59" s="4" t="n"/>
      <c r="AE59" s="4" t="n"/>
      <c r="AF59" s="4" t="n"/>
      <c r="AG59" t="inlineStr">
        <is>
          <t>concluido</t>
        </is>
      </c>
    </row>
    <row r="60">
      <c r="B60" s="3" t="inlineStr">
        <is>
          <t>CTS JD. LOURDES</t>
        </is>
      </c>
      <c r="C60" t="n">
        <v>16</v>
      </c>
      <c r="D60" t="inlineStr">
        <is>
          <t>VCA</t>
        </is>
      </c>
      <c r="E60" t="n">
        <v>276.1</v>
      </c>
      <c r="F60" s="3" t="n">
        <v>13.17</v>
      </c>
      <c r="K60" s="2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>
        <v>13.17</v>
      </c>
      <c r="U60" s="4" t="n"/>
      <c r="V60" s="4" t="n"/>
      <c r="W60" s="4" t="n"/>
      <c r="X60" s="4" t="n"/>
      <c r="Y60" s="4" t="n"/>
      <c r="Z60" s="9" t="n"/>
      <c r="AA60" s="4" t="n"/>
      <c r="AB60" s="4" t="n"/>
      <c r="AC60" s="4" t="n"/>
      <c r="AD60" s="4" t="n"/>
      <c r="AE60" s="4" t="n"/>
      <c r="AF60" s="4" t="n"/>
      <c r="AG60" t="inlineStr">
        <is>
          <t>concluido</t>
        </is>
      </c>
    </row>
    <row r="61">
      <c r="B61" s="3" t="inlineStr">
        <is>
          <t>CTS JD. LOURDES</t>
        </is>
      </c>
      <c r="C61" t="n">
        <v>17</v>
      </c>
      <c r="D61" t="inlineStr">
        <is>
          <t>HDD</t>
        </is>
      </c>
      <c r="F61" s="3" t="n">
        <v>43.02</v>
      </c>
      <c r="I61" t="n">
        <v>208</v>
      </c>
      <c r="J61" t="n">
        <v>191</v>
      </c>
      <c r="K61" s="2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>
        <v>43.015</v>
      </c>
      <c r="U61" s="4" t="n"/>
      <c r="V61" s="4" t="n"/>
      <c r="W61" s="4" t="n"/>
      <c r="X61" s="4" t="n"/>
      <c r="Y61" s="4" t="n"/>
      <c r="Z61" s="9" t="n"/>
      <c r="AA61" s="4" t="n"/>
      <c r="AB61" s="4" t="n"/>
      <c r="AC61" s="4" t="n"/>
      <c r="AD61" s="4" t="n"/>
      <c r="AE61" s="4" t="n"/>
      <c r="AF61" s="4" t="n"/>
      <c r="AG61" t="inlineStr">
        <is>
          <t>concluido</t>
        </is>
      </c>
    </row>
    <row r="62">
      <c r="B62" s="3" t="inlineStr">
        <is>
          <t>CTS JD. LOURDES</t>
        </is>
      </c>
      <c r="C62" t="n">
        <v>17</v>
      </c>
      <c r="D62" t="inlineStr">
        <is>
          <t>VCA</t>
        </is>
      </c>
      <c r="E62" t="n">
        <v>83.2</v>
      </c>
      <c r="F62" s="3" t="n">
        <v>51.05</v>
      </c>
      <c r="K62" s="2" t="n"/>
      <c r="L62" s="4" t="n"/>
      <c r="M62" s="4" t="n"/>
      <c r="N62" s="4" t="n"/>
      <c r="O62" s="4" t="n"/>
      <c r="P62" s="4" t="n"/>
      <c r="Q62" s="4" t="n"/>
      <c r="R62" s="4" t="n"/>
      <c r="S62" s="4" t="n">
        <v>51.05</v>
      </c>
      <c r="T62" s="4" t="n"/>
      <c r="U62" s="4" t="n"/>
      <c r="V62" s="4" t="n"/>
      <c r="W62" s="4" t="n"/>
      <c r="X62" s="4" t="n"/>
      <c r="Y62" s="4" t="n"/>
      <c r="Z62" s="9" t="n"/>
      <c r="AA62" s="4" t="n"/>
      <c r="AB62" s="4" t="n"/>
      <c r="AC62" s="4" t="n"/>
      <c r="AD62" s="4" t="n"/>
      <c r="AE62" s="4" t="n"/>
      <c r="AF62" s="4" t="n"/>
      <c r="AG62" t="inlineStr">
        <is>
          <t>concluido</t>
        </is>
      </c>
    </row>
    <row r="63">
      <c r="B63" s="3" t="inlineStr">
        <is>
          <t>CTS JD. BENFICA</t>
        </is>
      </c>
      <c r="C63" t="n">
        <v>18</v>
      </c>
      <c r="D63" t="inlineStr">
        <is>
          <t>HDD</t>
        </is>
      </c>
      <c r="E63" t="n">
        <v>65.5</v>
      </c>
      <c r="F63" s="3" t="n">
        <v>288.26</v>
      </c>
      <c r="G63" t="n">
        <v>17</v>
      </c>
      <c r="H63" t="n">
        <v>51.09</v>
      </c>
      <c r="I63" t="n">
        <v>139</v>
      </c>
      <c r="J63" t="n">
        <v>109</v>
      </c>
      <c r="K63" s="2" t="n"/>
      <c r="L63" s="4" t="n"/>
      <c r="M63" s="4" t="n"/>
      <c r="N63" s="4" t="n"/>
      <c r="O63" s="4" t="n"/>
      <c r="P63" s="4" t="n"/>
      <c r="Q63" s="4" t="n">
        <v>288.26</v>
      </c>
      <c r="R63" s="4" t="n"/>
      <c r="S63" s="4" t="n"/>
      <c r="T63" s="4" t="n"/>
      <c r="U63" s="4" t="n"/>
      <c r="V63" s="4" t="n"/>
      <c r="W63" s="4" t="n"/>
      <c r="X63" s="4" t="n"/>
      <c r="Y63" s="4" t="n"/>
      <c r="Z63" s="9" t="n"/>
      <c r="AA63" s="4" t="n"/>
      <c r="AB63" s="4" t="n"/>
      <c r="AC63" s="4" t="n"/>
      <c r="AD63" s="4" t="n"/>
      <c r="AE63" s="4" t="n"/>
      <c r="AF63" s="4" t="n"/>
      <c r="AG63" t="inlineStr">
        <is>
          <t>concluido</t>
        </is>
      </c>
    </row>
    <row r="64">
      <c r="B64" s="3" t="inlineStr">
        <is>
          <t>CTS JD. BENFICA</t>
        </is>
      </c>
      <c r="C64" t="n">
        <v>18</v>
      </c>
      <c r="D64" t="inlineStr">
        <is>
          <t>VCA</t>
        </is>
      </c>
      <c r="E64" t="n">
        <v>226.5</v>
      </c>
      <c r="F64" s="3" t="n">
        <v>32.85</v>
      </c>
      <c r="K64" s="2" t="n"/>
      <c r="L64" s="4" t="n"/>
      <c r="M64" s="4" t="n"/>
      <c r="N64" s="4" t="n"/>
      <c r="O64" s="4" t="n"/>
      <c r="P64" s="4" t="n"/>
      <c r="Q64" s="4" t="n">
        <v>32.85</v>
      </c>
      <c r="R64" s="4" t="n"/>
      <c r="S64" s="4" t="n"/>
      <c r="T64" s="4" t="n"/>
      <c r="U64" s="4" t="n"/>
      <c r="V64" s="4" t="n"/>
      <c r="W64" s="4" t="n"/>
      <c r="X64" s="4" t="n"/>
      <c r="Y64" s="4" t="n"/>
      <c r="Z64" s="9" t="n"/>
      <c r="AA64" s="4" t="n"/>
      <c r="AB64" s="4" t="n"/>
      <c r="AC64" s="4" t="n"/>
      <c r="AD64" s="4" t="n"/>
      <c r="AE64" s="4" t="n"/>
      <c r="AF64" s="4" t="n"/>
      <c r="AG64" t="inlineStr">
        <is>
          <t>concluido</t>
        </is>
      </c>
    </row>
    <row r="65">
      <c r="B65" s="3" t="inlineStr">
        <is>
          <t>CTS JD. BENFICA</t>
        </is>
      </c>
      <c r="C65" t="n">
        <v>19</v>
      </c>
      <c r="D65" t="inlineStr">
        <is>
          <t>HDD</t>
        </is>
      </c>
      <c r="E65" t="n">
        <v>366.4</v>
      </c>
      <c r="F65" s="3" t="n">
        <v>223.29</v>
      </c>
      <c r="I65" t="n">
        <v>219</v>
      </c>
      <c r="J65" t="n">
        <v>188</v>
      </c>
      <c r="K65" s="2" t="n"/>
      <c r="L65" s="4" t="n"/>
      <c r="M65" s="4" t="n"/>
      <c r="N65" s="4" t="n"/>
      <c r="O65" s="4" t="n"/>
      <c r="P65" s="4" t="n"/>
      <c r="Q65" s="4" t="n"/>
      <c r="R65" s="4" t="n">
        <v>223.29</v>
      </c>
      <c r="S65" s="4" t="n"/>
      <c r="T65" s="4" t="n"/>
      <c r="U65" s="4" t="n"/>
      <c r="V65" s="4" t="n"/>
      <c r="W65" s="4" t="n"/>
      <c r="X65" s="4" t="n"/>
      <c r="Y65" s="4" t="n"/>
      <c r="Z65" s="9" t="n"/>
      <c r="AA65" s="4" t="n"/>
      <c r="AB65" s="4" t="n"/>
      <c r="AC65" s="4" t="n"/>
      <c r="AD65" s="4" t="n"/>
      <c r="AE65" s="4" t="n"/>
      <c r="AF65" s="4" t="n"/>
      <c r="AG65" t="inlineStr">
        <is>
          <t>concluido</t>
        </is>
      </c>
    </row>
    <row r="66">
      <c r="B66" s="3" t="inlineStr">
        <is>
          <t>CTS JD. BENFICA</t>
        </is>
      </c>
      <c r="C66" t="n">
        <v>19</v>
      </c>
      <c r="D66" t="inlineStr">
        <is>
          <t>VCA</t>
        </is>
      </c>
      <c r="E66" t="n">
        <v>95.7</v>
      </c>
      <c r="F66" s="3" t="n">
        <v>26.66</v>
      </c>
      <c r="K66" s="2" t="n"/>
      <c r="L66" s="4" t="n"/>
      <c r="M66" s="4" t="n"/>
      <c r="N66" s="4" t="n"/>
      <c r="O66" s="4" t="n"/>
      <c r="P66" s="4" t="n"/>
      <c r="Q66" s="4" t="n">
        <v>26.66</v>
      </c>
      <c r="R66" s="4" t="n"/>
      <c r="S66" s="4" t="n"/>
      <c r="T66" s="4" t="n"/>
      <c r="U66" s="4" t="n"/>
      <c r="V66" s="4" t="n"/>
      <c r="W66" s="4" t="n"/>
      <c r="X66" s="4" t="n"/>
      <c r="Y66" s="4" t="n"/>
      <c r="Z66" s="9" t="n"/>
      <c r="AA66" s="4" t="n"/>
      <c r="AB66" s="4" t="n"/>
      <c r="AC66" s="4" t="n"/>
      <c r="AD66" s="4" t="n"/>
      <c r="AE66" s="4" t="n"/>
      <c r="AF66" s="4" t="n"/>
      <c r="AG66" t="inlineStr">
        <is>
          <t>concluido</t>
        </is>
      </c>
    </row>
    <row r="67">
      <c r="B67" s="3" t="inlineStr">
        <is>
          <t>CTS JD. BENFICA</t>
        </is>
      </c>
      <c r="C67" t="n">
        <v>20</v>
      </c>
      <c r="D67" t="inlineStr">
        <is>
          <t>HDD</t>
        </is>
      </c>
      <c r="E67" t="n">
        <v>163.4</v>
      </c>
      <c r="F67" s="3" t="n">
        <v>159.63</v>
      </c>
      <c r="I67" t="n">
        <v>848</v>
      </c>
      <c r="J67" t="n">
        <v>860</v>
      </c>
      <c r="K67" s="2" t="n"/>
      <c r="L67" s="4" t="n"/>
      <c r="M67" s="4" t="n"/>
      <c r="N67" s="4" t="n"/>
      <c r="O67" s="4" t="n"/>
      <c r="P67" s="4" t="n"/>
      <c r="Q67" s="4" t="n"/>
      <c r="R67" s="4" t="n"/>
      <c r="S67" s="4" t="n">
        <v>59.73</v>
      </c>
      <c r="T67" s="4" t="n">
        <v>99.90000000000001</v>
      </c>
      <c r="U67" s="4" t="n"/>
      <c r="V67" s="4" t="n"/>
      <c r="W67" s="4" t="n"/>
      <c r="X67" s="4" t="n"/>
      <c r="Y67" s="4" t="n"/>
      <c r="Z67" s="9" t="n"/>
      <c r="AA67" s="4" t="n"/>
      <c r="AB67" s="4" t="n"/>
      <c r="AC67" s="4" t="n"/>
      <c r="AD67" s="4" t="n"/>
      <c r="AE67" s="4" t="n"/>
      <c r="AF67" s="4" t="n"/>
      <c r="AG67" t="inlineStr">
        <is>
          <t>concluido</t>
        </is>
      </c>
    </row>
    <row r="68">
      <c r="B68" s="3" t="inlineStr">
        <is>
          <t>CTS JD. BENFICA</t>
        </is>
      </c>
      <c r="C68" t="n">
        <v>20</v>
      </c>
      <c r="D68" t="inlineStr">
        <is>
          <t>VCA</t>
        </is>
      </c>
      <c r="E68" t="n">
        <v>24</v>
      </c>
      <c r="F68" s="3" t="n">
        <v>31.4</v>
      </c>
      <c r="K68" s="2" t="n"/>
      <c r="L68" s="4" t="n"/>
      <c r="M68" s="4" t="n"/>
      <c r="N68" s="4" t="n"/>
      <c r="O68" s="4" t="n"/>
      <c r="P68" s="4" t="n"/>
      <c r="Q68" s="4" t="n">
        <v>31.4</v>
      </c>
      <c r="R68" s="4" t="n"/>
      <c r="S68" s="4" t="n"/>
      <c r="T68" s="4" t="n"/>
      <c r="U68" s="4" t="n"/>
      <c r="V68" s="4" t="n"/>
      <c r="W68" s="4" t="n"/>
      <c r="X68" s="4" t="n"/>
      <c r="Y68" s="4" t="n"/>
      <c r="Z68" s="9" t="n"/>
      <c r="AA68" s="4" t="n"/>
      <c r="AB68" s="4" t="n"/>
      <c r="AC68" s="4" t="n"/>
      <c r="AD68" s="4" t="n"/>
      <c r="AE68" s="4" t="n"/>
      <c r="AF68" s="4" t="n"/>
      <c r="AG68" t="inlineStr">
        <is>
          <t>concluido</t>
        </is>
      </c>
    </row>
    <row r="69">
      <c r="B69" s="3" t="inlineStr">
        <is>
          <t>CTS BANDEIRANTES</t>
        </is>
      </c>
      <c r="C69" t="n">
        <v>21</v>
      </c>
      <c r="D69" t="inlineStr">
        <is>
          <t>HDD</t>
        </is>
      </c>
      <c r="E69">
        <f>475.4-8.8</f>
        <v/>
      </c>
      <c r="F69" s="7" t="n">
        <v>1229.95</v>
      </c>
      <c r="G69" t="n">
        <v>19</v>
      </c>
      <c r="H69" t="n">
        <v>92.92</v>
      </c>
      <c r="I69" t="n">
        <v>78</v>
      </c>
      <c r="J69" t="n">
        <v>72</v>
      </c>
      <c r="K69" s="2" t="n"/>
      <c r="L69" s="4" t="n"/>
      <c r="M69" s="4" t="n"/>
      <c r="N69" s="4" t="n">
        <v>68</v>
      </c>
      <c r="O69" s="4" t="n">
        <v>621.845</v>
      </c>
      <c r="P69" s="4" t="n">
        <v>354.525</v>
      </c>
      <c r="Q69" s="4" t="n">
        <v>67.90000000000001</v>
      </c>
      <c r="R69" s="4" t="n">
        <v>117.68</v>
      </c>
      <c r="S69" s="4" t="n"/>
      <c r="T69" s="4" t="n"/>
      <c r="U69" s="4" t="n"/>
      <c r="V69" s="4" t="n"/>
      <c r="W69" s="4" t="n"/>
      <c r="X69" s="4" t="n"/>
      <c r="Y69" s="4" t="n"/>
      <c r="Z69" s="9" t="n"/>
      <c r="AA69" s="4" t="n"/>
      <c r="AB69" s="4" t="n"/>
      <c r="AC69" s="4" t="n"/>
      <c r="AD69" s="4" t="n"/>
      <c r="AE69" s="4" t="n"/>
      <c r="AF69" s="4" t="n"/>
      <c r="AG69" t="inlineStr">
        <is>
          <t>concluido</t>
        </is>
      </c>
    </row>
    <row r="70">
      <c r="B70" s="3" t="inlineStr">
        <is>
          <t>CTS BANDEIRANTES</t>
        </is>
      </c>
      <c r="C70" t="n">
        <v>21</v>
      </c>
      <c r="D70" t="inlineStr">
        <is>
          <t>VCA</t>
        </is>
      </c>
      <c r="E70">
        <f>12.3+771.1</f>
        <v/>
      </c>
      <c r="F70" s="3" t="n">
        <v>0</v>
      </c>
      <c r="K70" s="2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9" t="n"/>
      <c r="AA70" s="4" t="n"/>
      <c r="AB70" s="4" t="n"/>
      <c r="AC70" s="4" t="n"/>
      <c r="AD70" s="4" t="n"/>
      <c r="AE70" s="4" t="n"/>
      <c r="AF70" s="4" t="n"/>
      <c r="AG70" t="inlineStr">
        <is>
          <t>concluido</t>
        </is>
      </c>
    </row>
    <row r="71">
      <c r="B71" s="3" t="inlineStr">
        <is>
          <t>CTS BANDEIRANTES</t>
        </is>
      </c>
      <c r="C71" t="n">
        <v>22</v>
      </c>
      <c r="D71" t="inlineStr">
        <is>
          <t>HDD</t>
        </is>
      </c>
      <c r="E71" t="n">
        <v>59.5</v>
      </c>
      <c r="F71" s="7" t="n">
        <v>328.75</v>
      </c>
      <c r="G71" t="n">
        <v>6</v>
      </c>
      <c r="H71" t="n">
        <v>16.16</v>
      </c>
      <c r="I71" t="n">
        <v>471</v>
      </c>
      <c r="J71" t="n">
        <v>338</v>
      </c>
      <c r="K71" s="2" t="n"/>
      <c r="L71" s="4" t="n"/>
      <c r="M71" s="4" t="n"/>
      <c r="N71" s="4" t="n"/>
      <c r="O71" s="4" t="n"/>
      <c r="P71" s="4" t="n">
        <v>328.75</v>
      </c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9" t="n"/>
      <c r="AA71" s="4" t="n"/>
      <c r="AB71" s="4" t="n"/>
      <c r="AC71" s="4" t="n"/>
      <c r="AD71" s="4" t="n"/>
      <c r="AE71" s="4" t="n"/>
      <c r="AF71" s="4" t="n"/>
      <c r="AG71" t="inlineStr">
        <is>
          <t>concluido</t>
        </is>
      </c>
    </row>
    <row r="72">
      <c r="B72" s="3" t="inlineStr">
        <is>
          <t>CTS BANDEIRANTES</t>
        </is>
      </c>
      <c r="C72" t="n">
        <v>22</v>
      </c>
      <c r="D72" t="inlineStr">
        <is>
          <t>VCA</t>
        </is>
      </c>
      <c r="E72" t="n">
        <v>216</v>
      </c>
      <c r="F72" s="3" t="n">
        <v>0</v>
      </c>
      <c r="K72" s="2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9" t="n"/>
      <c r="AA72" s="4" t="n"/>
      <c r="AB72" s="4" t="n"/>
      <c r="AC72" s="4" t="n"/>
      <c r="AD72" s="4" t="n"/>
      <c r="AE72" s="4" t="n"/>
      <c r="AF72" s="4" t="n"/>
      <c r="AG72" t="inlineStr">
        <is>
          <t>concluido</t>
        </is>
      </c>
    </row>
    <row r="73">
      <c r="B73" s="3" t="inlineStr">
        <is>
          <t>CTS BANDEIRANTES</t>
        </is>
      </c>
      <c r="C73" t="n">
        <v>23</v>
      </c>
      <c r="D73" t="inlineStr">
        <is>
          <t>HDD</t>
        </is>
      </c>
      <c r="E73" t="n">
        <v>352.8</v>
      </c>
      <c r="F73" s="7" t="n">
        <v>384.67</v>
      </c>
      <c r="G73" t="n">
        <v>7</v>
      </c>
      <c r="H73" t="n">
        <v>24.74</v>
      </c>
      <c r="I73" t="n">
        <v>987</v>
      </c>
      <c r="J73" t="n">
        <v>901</v>
      </c>
      <c r="K73" s="2" t="n"/>
      <c r="L73" s="4" t="n"/>
      <c r="M73" s="4" t="n"/>
      <c r="N73" s="4" t="n"/>
      <c r="O73" s="4" t="n"/>
      <c r="P73" s="4" t="n">
        <v>247.93</v>
      </c>
      <c r="Q73" s="4" t="n">
        <v>136.74</v>
      </c>
      <c r="R73" s="4" t="n"/>
      <c r="S73" s="4" t="n"/>
      <c r="T73" s="4" t="n"/>
      <c r="U73" s="4" t="n"/>
      <c r="V73" s="4" t="n"/>
      <c r="W73" s="4" t="n"/>
      <c r="X73" s="4" t="n"/>
      <c r="Y73" s="4" t="n"/>
      <c r="Z73" s="9" t="n"/>
      <c r="AA73" s="4" t="n"/>
      <c r="AB73" s="4" t="n"/>
      <c r="AC73" s="4" t="n"/>
      <c r="AD73" s="4" t="n"/>
      <c r="AE73" s="4" t="n"/>
      <c r="AF73" s="4" t="n"/>
      <c r="AG73" t="inlineStr">
        <is>
          <t>concluido</t>
        </is>
      </c>
    </row>
    <row r="74">
      <c r="B74" s="3" t="inlineStr">
        <is>
          <t>CTS BANDEIRANTES</t>
        </is>
      </c>
      <c r="C74" t="n">
        <v>23</v>
      </c>
      <c r="D74" t="inlineStr">
        <is>
          <t>VCA</t>
        </is>
      </c>
      <c r="E74" t="n">
        <v>254.9</v>
      </c>
      <c r="F74" s="3" t="n">
        <v>20.32</v>
      </c>
      <c r="K74" s="2" t="n"/>
      <c r="L74" s="4" t="n"/>
      <c r="M74" s="4" t="n"/>
      <c r="N74" s="4" t="n"/>
      <c r="O74" s="4" t="n"/>
      <c r="P74" s="4" t="n"/>
      <c r="Q74" s="4" t="n">
        <v>20.32</v>
      </c>
      <c r="R74" s="4" t="n"/>
      <c r="S74" s="4" t="n"/>
      <c r="T74" s="4" t="n"/>
      <c r="U74" s="4" t="n"/>
      <c r="V74" s="4" t="n"/>
      <c r="W74" s="4" t="n"/>
      <c r="X74" s="4" t="n"/>
      <c r="Y74" s="4" t="n"/>
      <c r="Z74" s="9" t="n"/>
      <c r="AA74" s="4" t="n"/>
      <c r="AB74" s="4" t="n"/>
      <c r="AC74" s="4" t="n"/>
      <c r="AD74" s="4" t="n"/>
      <c r="AE74" s="4" t="n"/>
      <c r="AF74" s="4" t="n"/>
      <c r="AG74" t="inlineStr">
        <is>
          <t>concluido</t>
        </is>
      </c>
    </row>
    <row r="75">
      <c r="B75" s="3" t="inlineStr">
        <is>
          <t>CTS CONCEIÇÃO</t>
        </is>
      </c>
      <c r="C75" t="n">
        <v>24</v>
      </c>
      <c r="D75" t="inlineStr">
        <is>
          <t>HDD</t>
        </is>
      </c>
      <c r="E75" t="n">
        <v>207.5</v>
      </c>
      <c r="F75" s="3" t="n">
        <v>197.8</v>
      </c>
      <c r="I75" t="n">
        <v>1801</v>
      </c>
      <c r="K75" s="2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>
        <v>197.8</v>
      </c>
      <c r="Y75" s="4" t="n"/>
      <c r="Z75" s="9" t="n"/>
      <c r="AA75" s="4" t="n"/>
      <c r="AB75" s="4" t="n"/>
      <c r="AC75" s="4" t="n"/>
      <c r="AD75" s="4" t="n"/>
      <c r="AE75" s="4" t="n"/>
      <c r="AF75" s="4" t="n"/>
      <c r="AG75" t="inlineStr">
        <is>
          <t>concluido</t>
        </is>
      </c>
    </row>
    <row r="76">
      <c r="B76" s="3" t="inlineStr">
        <is>
          <t>CTS CONCEIÇÃO</t>
        </is>
      </c>
      <c r="C76" t="n">
        <v>24</v>
      </c>
      <c r="D76" t="inlineStr">
        <is>
          <t>VCA</t>
        </is>
      </c>
      <c r="E76" t="n">
        <v>95</v>
      </c>
      <c r="F76" s="3" t="n">
        <v>10.73</v>
      </c>
      <c r="K76" s="2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>
        <f>6.22+4.51</f>
        <v/>
      </c>
      <c r="Y76" s="4" t="n"/>
      <c r="Z76" s="9" t="n"/>
      <c r="AA76" s="4" t="n"/>
      <c r="AB76" s="4" t="n"/>
      <c r="AC76" s="4" t="n"/>
      <c r="AD76" s="4" t="n"/>
      <c r="AE76" s="4" t="n"/>
      <c r="AF76" s="4" t="n"/>
      <c r="AG76" t="inlineStr">
        <is>
          <t>concluido</t>
        </is>
      </c>
    </row>
    <row r="77">
      <c r="B77" s="3" t="inlineStr">
        <is>
          <t>CTS CONCEIÇÃO</t>
        </is>
      </c>
      <c r="C77" t="n">
        <v>25</v>
      </c>
      <c r="D77" t="inlineStr">
        <is>
          <t>HDD</t>
        </is>
      </c>
      <c r="E77" t="n">
        <v>315.5</v>
      </c>
      <c r="F77" s="3" t="n">
        <v>545.34</v>
      </c>
      <c r="I77" t="n">
        <v>168</v>
      </c>
      <c r="K77" s="2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>
        <v>545.34</v>
      </c>
      <c r="X77" s="4" t="n"/>
      <c r="Y77" s="4" t="n"/>
      <c r="Z77" s="9" t="n"/>
      <c r="AA77" s="4" t="n"/>
      <c r="AB77" s="4" t="n"/>
      <c r="AC77" s="4" t="n"/>
      <c r="AD77" s="4" t="n"/>
      <c r="AE77" s="4" t="n"/>
      <c r="AF77" s="4" t="n"/>
      <c r="AG77" t="inlineStr">
        <is>
          <t>concluido</t>
        </is>
      </c>
    </row>
    <row r="78">
      <c r="B78" s="3" t="inlineStr">
        <is>
          <t>CTS CONCEIÇÃO</t>
        </is>
      </c>
      <c r="C78" t="n">
        <v>25</v>
      </c>
      <c r="D78" t="inlineStr">
        <is>
          <t>VCA</t>
        </is>
      </c>
      <c r="E78" t="n">
        <v>194.5</v>
      </c>
      <c r="F78" s="3" t="n">
        <v>12.02</v>
      </c>
      <c r="K78" s="2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>
        <v>12.02</v>
      </c>
      <c r="X78" s="4" t="n"/>
      <c r="Y78" s="4" t="n"/>
      <c r="Z78" s="9" t="n"/>
      <c r="AA78" s="4" t="n"/>
      <c r="AB78" s="4" t="n"/>
      <c r="AC78" s="4" t="n"/>
      <c r="AD78" s="4" t="n"/>
      <c r="AE78" s="4" t="n"/>
      <c r="AF78" s="4" t="n"/>
      <c r="AG78" t="inlineStr">
        <is>
          <t>concluido</t>
        </is>
      </c>
    </row>
    <row r="79">
      <c r="B79" s="3" t="inlineStr">
        <is>
          <t>CTS JARAGUÁ</t>
        </is>
      </c>
      <c r="C79" t="n">
        <v>26</v>
      </c>
      <c r="D79" t="inlineStr">
        <is>
          <t>HDD</t>
        </is>
      </c>
      <c r="E79" t="n">
        <v>31.9</v>
      </c>
      <c r="F79" s="3" t="n">
        <v>384.37</v>
      </c>
      <c r="I79" t="n">
        <v>1302</v>
      </c>
      <c r="J79" t="n">
        <v>1152</v>
      </c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>
        <v>384.37</v>
      </c>
      <c r="V79" s="4" t="n"/>
      <c r="W79" s="4" t="n"/>
      <c r="X79" s="4" t="n"/>
      <c r="Y79" s="4" t="n"/>
      <c r="Z79" s="9" t="n"/>
      <c r="AA79" s="4" t="n"/>
      <c r="AB79" s="4" t="n"/>
      <c r="AC79" s="4" t="n"/>
      <c r="AD79" s="4" t="n"/>
      <c r="AE79" s="4" t="n"/>
      <c r="AF79" s="4" t="n"/>
      <c r="AG79" t="inlineStr">
        <is>
          <t>concluido</t>
        </is>
      </c>
    </row>
    <row r="80">
      <c r="B80" s="3" t="inlineStr">
        <is>
          <t>CTS JARAGUÁ</t>
        </is>
      </c>
      <c r="C80" t="n">
        <v>26</v>
      </c>
      <c r="D80" t="inlineStr">
        <is>
          <t>VCA</t>
        </is>
      </c>
      <c r="E80" t="n">
        <v>600.73</v>
      </c>
      <c r="F80" s="3" t="n">
        <v>23.8</v>
      </c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>
        <v>23.8</v>
      </c>
      <c r="V80" s="4" t="n"/>
      <c r="W80" s="4" t="n"/>
      <c r="X80" s="4" t="n"/>
      <c r="Y80" s="4" t="n"/>
      <c r="Z80" s="9" t="n"/>
      <c r="AA80" s="4" t="n"/>
      <c r="AB80" s="4" t="n"/>
      <c r="AC80" s="4" t="n"/>
      <c r="AD80" s="4" t="n"/>
      <c r="AE80" s="4" t="n"/>
      <c r="AF80" s="4" t="n"/>
      <c r="AG80" t="inlineStr">
        <is>
          <t>concluido</t>
        </is>
      </c>
    </row>
    <row r="81">
      <c r="B81" t="inlineStr">
        <is>
          <t xml:space="preserve">RCE RUA TERRA SEM MALES </t>
        </is>
      </c>
      <c r="C81" t="n">
        <v>26</v>
      </c>
      <c r="D81" t="inlineStr">
        <is>
          <t>HDD</t>
        </is>
      </c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9" t="n"/>
      <c r="AA81" s="4" t="n"/>
      <c r="AB81" s="4" t="n"/>
      <c r="AC81" s="4" t="n"/>
      <c r="AD81" s="4" t="n"/>
      <c r="AE81" s="4" t="n"/>
      <c r="AF81" s="4" t="n"/>
      <c r="AG81" t="inlineStr">
        <is>
          <t>concluido</t>
        </is>
      </c>
    </row>
    <row r="82">
      <c r="B82" t="inlineStr">
        <is>
          <t xml:space="preserve">RCE RUA TERRA SEM MALES </t>
        </is>
      </c>
      <c r="C82" t="n">
        <v>26</v>
      </c>
      <c r="D82" t="inlineStr">
        <is>
          <t>VCA</t>
        </is>
      </c>
      <c r="E82" t="n">
        <v>220.48</v>
      </c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9" t="n"/>
      <c r="AA82" s="4" t="n"/>
      <c r="AB82" s="4" t="n"/>
      <c r="AC82" s="4" t="n"/>
      <c r="AD82" s="4" t="n"/>
      <c r="AE82" s="4" t="n"/>
      <c r="AF82" s="4" t="n"/>
      <c r="AG82" t="inlineStr">
        <is>
          <t>concluido</t>
        </is>
      </c>
    </row>
    <row r="83">
      <c r="B83" s="3" t="inlineStr">
        <is>
          <t>CTS ÁGUA VERMELHA - ME</t>
        </is>
      </c>
      <c r="C83" t="n">
        <v>27</v>
      </c>
      <c r="D83" t="inlineStr">
        <is>
          <t>HDD</t>
        </is>
      </c>
      <c r="F83" s="3" t="n">
        <v>91.20999999999999</v>
      </c>
      <c r="I83" t="n">
        <v>2885</v>
      </c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>
        <v>20.95</v>
      </c>
      <c r="W83" s="4" t="n"/>
      <c r="X83" s="4" t="n">
        <v>70.26000000000001</v>
      </c>
      <c r="Y83" s="4" t="n"/>
      <c r="Z83" s="9" t="n"/>
      <c r="AA83" s="4" t="n"/>
      <c r="AB83" s="4" t="n"/>
      <c r="AC83" s="4" t="n"/>
      <c r="AD83" s="4" t="n"/>
      <c r="AE83" s="4" t="n"/>
      <c r="AF83" s="4" t="n"/>
      <c r="AG83" t="inlineStr">
        <is>
          <t>concluido</t>
        </is>
      </c>
    </row>
    <row r="84">
      <c r="B84" s="3" t="inlineStr">
        <is>
          <t>CTS ÁGUA VERMELHA - ME</t>
        </is>
      </c>
      <c r="C84" t="n">
        <v>27</v>
      </c>
      <c r="D84" t="inlineStr">
        <is>
          <t>VCA</t>
        </is>
      </c>
      <c r="E84" t="n">
        <v>100.5</v>
      </c>
      <c r="F84" s="3" t="n">
        <v>10.06</v>
      </c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>
        <v>8.06</v>
      </c>
      <c r="W84" s="4" t="n"/>
      <c r="X84" s="4" t="n">
        <v>2</v>
      </c>
      <c r="Y84" s="4" t="n"/>
      <c r="Z84" s="9" t="n"/>
      <c r="AA84" s="4" t="n"/>
      <c r="AB84" s="4" t="n"/>
      <c r="AC84" s="4" t="n"/>
      <c r="AD84" s="4" t="n"/>
      <c r="AE84" s="4" t="n"/>
      <c r="AF84" s="4" t="n"/>
      <c r="AG84" t="inlineStr">
        <is>
          <t>concluido</t>
        </is>
      </c>
    </row>
    <row r="85">
      <c r="B85" s="3" t="inlineStr">
        <is>
          <t>CTS ÁGUA VERMELHA - ME</t>
        </is>
      </c>
      <c r="C85" t="n">
        <v>28</v>
      </c>
      <c r="D85" t="inlineStr">
        <is>
          <t>HDD</t>
        </is>
      </c>
      <c r="F85" s="3" t="n">
        <v>230.72</v>
      </c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>
        <f>230.02-55.56</f>
        <v/>
      </c>
      <c r="W85" s="4" t="n">
        <v>56.26</v>
      </c>
      <c r="X85" s="4" t="n"/>
      <c r="Y85" s="4" t="n"/>
      <c r="Z85" s="9" t="n"/>
      <c r="AA85" s="4" t="n"/>
      <c r="AB85" s="4" t="n"/>
      <c r="AC85" s="4" t="n"/>
      <c r="AD85" s="4" t="n"/>
      <c r="AE85" s="4" t="n"/>
      <c r="AF85" s="4" t="n"/>
      <c r="AG85" t="inlineStr">
        <is>
          <t>concluido</t>
        </is>
      </c>
    </row>
    <row r="86">
      <c r="B86" s="3" t="inlineStr">
        <is>
          <t>CTS ÁGUA VERMELHA - ME</t>
        </is>
      </c>
      <c r="C86" t="n">
        <v>28</v>
      </c>
      <c r="D86" t="inlineStr">
        <is>
          <t>VCA</t>
        </is>
      </c>
      <c r="E86" t="n">
        <v>210.02</v>
      </c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9" t="n"/>
      <c r="AA86" s="4" t="n"/>
      <c r="AB86" s="4" t="n"/>
      <c r="AC86" s="4" t="n"/>
      <c r="AD86" s="4" t="n"/>
      <c r="AE86" s="4" t="n"/>
      <c r="AF86" s="4" t="n"/>
      <c r="AG86" t="inlineStr">
        <is>
          <t>concluido</t>
        </is>
      </c>
    </row>
    <row r="87">
      <c r="B87" s="3" t="inlineStr">
        <is>
          <t>CTS ÁGUA VERMELHA - ME</t>
        </is>
      </c>
      <c r="C87" t="n">
        <v>29</v>
      </c>
      <c r="D87" t="inlineStr">
        <is>
          <t>HDD</t>
        </is>
      </c>
      <c r="F87" s="3" t="n">
        <v>35.5</v>
      </c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>
        <v>35.5</v>
      </c>
      <c r="W87" s="4" t="n"/>
      <c r="X87" s="4" t="n"/>
      <c r="Y87" s="4" t="n"/>
      <c r="Z87" s="9" t="n"/>
      <c r="AA87" s="4" t="n"/>
      <c r="AB87" s="4" t="n"/>
      <c r="AC87" s="4" t="n"/>
      <c r="AD87" s="4" t="n"/>
      <c r="AE87" s="4" t="n"/>
      <c r="AF87" s="4" t="n"/>
      <c r="AG87" t="inlineStr">
        <is>
          <t>concluido</t>
        </is>
      </c>
    </row>
    <row r="88">
      <c r="B88" s="3" t="inlineStr">
        <is>
          <t>CTS ÁGUA VERMELHA - ME</t>
        </is>
      </c>
      <c r="C88" t="n">
        <v>29</v>
      </c>
      <c r="D88" t="inlineStr">
        <is>
          <t>VCA</t>
        </is>
      </c>
      <c r="E88" t="n">
        <v>57.5</v>
      </c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9" t="n"/>
      <c r="AA88" s="4" t="n"/>
      <c r="AB88" s="4" t="n"/>
      <c r="AC88" s="4" t="n"/>
      <c r="AD88" s="4" t="n"/>
      <c r="AE88" s="4" t="n"/>
      <c r="AF88" s="4" t="n"/>
      <c r="AG88" t="inlineStr">
        <is>
          <t>concluido</t>
        </is>
      </c>
    </row>
    <row r="89">
      <c r="B89" s="3" t="inlineStr">
        <is>
          <t>CTS ÁGUA VERMELHA - ME</t>
        </is>
      </c>
      <c r="C89" t="n">
        <v>30</v>
      </c>
      <c r="D89" t="inlineStr">
        <is>
          <t>HDD</t>
        </is>
      </c>
      <c r="F89" s="3" t="n">
        <v>36.98</v>
      </c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>
        <v>36.98</v>
      </c>
      <c r="W89" s="4" t="n"/>
      <c r="X89" s="4" t="n"/>
      <c r="Y89" s="4" t="n"/>
      <c r="Z89" s="9" t="n"/>
      <c r="AA89" s="4" t="n"/>
      <c r="AB89" s="4" t="n"/>
      <c r="AC89" s="4" t="n"/>
      <c r="AD89" s="4" t="n"/>
      <c r="AE89" s="4" t="n"/>
      <c r="AF89" s="4" t="n"/>
      <c r="AG89" t="inlineStr">
        <is>
          <t>concluido</t>
        </is>
      </c>
    </row>
    <row r="90">
      <c r="B90" s="3" t="inlineStr">
        <is>
          <t>CTS ÁGUA VERMELHA - ME</t>
        </is>
      </c>
      <c r="C90" t="n">
        <v>30</v>
      </c>
      <c r="D90" t="inlineStr">
        <is>
          <t>VCA</t>
        </is>
      </c>
      <c r="E90" t="n">
        <v>56</v>
      </c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9" t="n"/>
      <c r="AA90" s="4" t="n"/>
      <c r="AB90" s="4" t="n"/>
      <c r="AC90" s="4" t="n"/>
      <c r="AD90" s="4" t="n"/>
      <c r="AE90" s="4" t="n"/>
      <c r="AF90" s="4" t="n"/>
      <c r="AG90" t="inlineStr">
        <is>
          <t>concluido</t>
        </is>
      </c>
    </row>
    <row r="91">
      <c r="B91" s="3" t="inlineStr">
        <is>
          <t>CTS ÁGUA VERMELHA - ME</t>
        </is>
      </c>
      <c r="C91" t="n">
        <v>31</v>
      </c>
      <c r="D91" t="inlineStr">
        <is>
          <t>HDD</t>
        </is>
      </c>
      <c r="F91" s="3" t="n">
        <v>39.04</v>
      </c>
      <c r="J91" t="n">
        <v>628</v>
      </c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>
        <v>39.04</v>
      </c>
      <c r="W91" s="4" t="n"/>
      <c r="X91" s="4" t="n"/>
      <c r="Y91" s="4" t="n"/>
      <c r="Z91" s="9" t="n"/>
      <c r="AA91" s="4" t="n"/>
      <c r="AB91" s="4" t="n"/>
      <c r="AC91" s="4" t="n"/>
      <c r="AD91" s="4" t="n"/>
      <c r="AE91" s="4" t="n"/>
      <c r="AF91" s="4" t="n"/>
      <c r="AG91" t="inlineStr">
        <is>
          <t>concluido</t>
        </is>
      </c>
    </row>
    <row r="92">
      <c r="B92" s="3" t="inlineStr">
        <is>
          <t>CTS ÁGUA VERMELHA - ME</t>
        </is>
      </c>
      <c r="C92" t="n">
        <v>31</v>
      </c>
      <c r="D92" t="inlineStr">
        <is>
          <t>VCA</t>
        </is>
      </c>
      <c r="E92" t="n">
        <v>39.5</v>
      </c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9" t="n"/>
      <c r="AA92" s="4" t="n"/>
      <c r="AB92" s="4" t="n"/>
      <c r="AC92" s="4" t="n"/>
      <c r="AD92" s="4" t="n"/>
      <c r="AE92" s="4" t="n"/>
      <c r="AF92" s="4" t="n"/>
      <c r="AG92" t="inlineStr">
        <is>
          <t>concluido</t>
        </is>
      </c>
    </row>
    <row r="93">
      <c r="B93" s="3" t="inlineStr">
        <is>
          <t>CTS ÁGUA VERMELHA - ME</t>
        </is>
      </c>
      <c r="C93" t="n">
        <v>32</v>
      </c>
      <c r="D93" t="inlineStr">
        <is>
          <t>HDD</t>
        </is>
      </c>
      <c r="F93" s="3" t="n">
        <v>34.42</v>
      </c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>
        <v>34.42</v>
      </c>
      <c r="W93" s="4" t="n"/>
      <c r="X93" s="4" t="n"/>
      <c r="Y93" s="4" t="n"/>
      <c r="Z93" s="9" t="n"/>
      <c r="AA93" s="4" t="n"/>
      <c r="AB93" s="4" t="n"/>
      <c r="AC93" s="4" t="n"/>
      <c r="AD93" s="4" t="n"/>
      <c r="AE93" s="4" t="n"/>
      <c r="AF93" s="4" t="n"/>
      <c r="AG93" t="inlineStr">
        <is>
          <t>concluido</t>
        </is>
      </c>
    </row>
    <row r="94">
      <c r="B94" s="3" t="inlineStr">
        <is>
          <t>CTS ÁGUA VERMELHA - ME</t>
        </is>
      </c>
      <c r="C94" t="n">
        <v>32</v>
      </c>
      <c r="D94" t="inlineStr">
        <is>
          <t>VCA</t>
        </is>
      </c>
      <c r="E94" t="n">
        <v>63.5</v>
      </c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9" t="n"/>
      <c r="AA94" s="4" t="n"/>
      <c r="AB94" s="4" t="n"/>
      <c r="AC94" s="4" t="n"/>
      <c r="AD94" s="4" t="n"/>
      <c r="AE94" s="4" t="n"/>
      <c r="AF94" s="4" t="n"/>
      <c r="AG94" t="inlineStr">
        <is>
          <t>concluido</t>
        </is>
      </c>
    </row>
    <row r="95">
      <c r="B95" s="3" t="inlineStr">
        <is>
          <t>CTS ÁGUA VERMELHA - ME</t>
        </is>
      </c>
      <c r="C95" t="n">
        <v>33</v>
      </c>
      <c r="D95" t="inlineStr">
        <is>
          <t>HDD</t>
        </is>
      </c>
      <c r="F95" s="3" t="n">
        <v>34.12</v>
      </c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>
        <v>34.12</v>
      </c>
      <c r="W95" s="4" t="n"/>
      <c r="X95" s="4" t="n"/>
      <c r="Y95" s="4" t="n"/>
      <c r="Z95" s="9" t="n"/>
      <c r="AA95" s="4" t="n"/>
      <c r="AB95" s="4" t="n"/>
      <c r="AC95" s="4" t="n"/>
      <c r="AD95" s="4" t="n"/>
      <c r="AE95" s="4" t="n"/>
      <c r="AF95" s="4" t="n"/>
      <c r="AG95" t="inlineStr">
        <is>
          <t>concluido</t>
        </is>
      </c>
    </row>
    <row r="96">
      <c r="B96" s="3" t="inlineStr">
        <is>
          <t>CTS ÁGUA VERMELHA - ME</t>
        </is>
      </c>
      <c r="C96" t="n">
        <v>33</v>
      </c>
      <c r="D96" t="inlineStr">
        <is>
          <t>VCA</t>
        </is>
      </c>
      <c r="E96" t="n">
        <v>67.5</v>
      </c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9" t="n"/>
      <c r="AA96" s="4" t="n"/>
      <c r="AB96" s="4" t="n"/>
      <c r="AC96" s="4" t="n"/>
      <c r="AD96" s="4" t="n"/>
      <c r="AE96" s="4" t="n"/>
      <c r="AF96" s="4" t="n"/>
      <c r="AG96" t="inlineStr">
        <is>
          <t>concluido</t>
        </is>
      </c>
    </row>
    <row r="97">
      <c r="B97" s="3" t="inlineStr">
        <is>
          <t>CTS ÁGUA VERMELHA - ME</t>
        </is>
      </c>
      <c r="C97" t="n">
        <v>34</v>
      </c>
      <c r="D97" t="inlineStr">
        <is>
          <t>HDD</t>
        </is>
      </c>
      <c r="F97" s="3" t="n">
        <v>32.11</v>
      </c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>
        <v>32.11</v>
      </c>
      <c r="W97" s="4" t="n"/>
      <c r="X97" s="4" t="n"/>
      <c r="Y97" s="4" t="n"/>
      <c r="Z97" s="9" t="n"/>
      <c r="AA97" s="4" t="n"/>
      <c r="AB97" s="4" t="n"/>
      <c r="AC97" s="4" t="n"/>
      <c r="AD97" s="4" t="n"/>
      <c r="AE97" s="4" t="n"/>
      <c r="AF97" s="4" t="n"/>
      <c r="AG97" t="inlineStr">
        <is>
          <t>concluido</t>
        </is>
      </c>
    </row>
    <row r="98">
      <c r="B98" s="3" t="inlineStr">
        <is>
          <t>CTS ÁGUA VERMELHA - ME</t>
        </is>
      </c>
      <c r="C98" t="n">
        <v>34</v>
      </c>
      <c r="D98" t="inlineStr">
        <is>
          <t>VCA</t>
        </is>
      </c>
      <c r="E98" t="n">
        <v>67.5</v>
      </c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9" t="n"/>
      <c r="AA98" s="4" t="n"/>
      <c r="AB98" s="4" t="n"/>
      <c r="AC98" s="4" t="n"/>
      <c r="AD98" s="4" t="n"/>
      <c r="AE98" s="4" t="n"/>
      <c r="AF98" s="4" t="n"/>
      <c r="AG98" t="inlineStr">
        <is>
          <t>concluido</t>
        </is>
      </c>
    </row>
    <row r="99">
      <c r="B99" s="3" t="inlineStr">
        <is>
          <t>CTS ÁGUA VERMELHA - ME</t>
        </is>
      </c>
      <c r="C99" t="n">
        <v>37</v>
      </c>
      <c r="D99" t="inlineStr">
        <is>
          <t>HDD</t>
        </is>
      </c>
      <c r="F99" s="3" t="n">
        <v>35.9</v>
      </c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>
        <v>35.9</v>
      </c>
      <c r="W99" s="4" t="n"/>
      <c r="X99" s="4" t="n"/>
      <c r="Y99" s="4" t="n"/>
      <c r="Z99" s="9" t="n"/>
      <c r="AA99" s="4" t="n"/>
      <c r="AB99" s="4" t="n"/>
      <c r="AC99" s="4" t="n"/>
      <c r="AD99" s="4" t="n"/>
      <c r="AE99" s="4" t="n"/>
      <c r="AF99" s="4" t="n"/>
      <c r="AG99" t="inlineStr">
        <is>
          <t>concluido</t>
        </is>
      </c>
    </row>
    <row r="100">
      <c r="B100" s="3" t="inlineStr">
        <is>
          <t>CTS ÁGUA VERMELHA - ME</t>
        </is>
      </c>
      <c r="C100" t="n">
        <v>37</v>
      </c>
      <c r="D100" t="inlineStr">
        <is>
          <t>VCA</t>
        </is>
      </c>
      <c r="E100" t="n">
        <v>84.5</v>
      </c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9" t="n"/>
      <c r="AA100" s="4" t="n"/>
      <c r="AB100" s="4" t="n"/>
      <c r="AC100" s="4" t="n"/>
      <c r="AD100" s="4" t="n"/>
      <c r="AE100" s="4" t="n"/>
      <c r="AF100" s="4" t="n"/>
      <c r="AG100" t="inlineStr">
        <is>
          <t>concluido</t>
        </is>
      </c>
    </row>
    <row r="101">
      <c r="B101" s="3" t="inlineStr">
        <is>
          <t>CTS ÁGUA VERMELHA - ME</t>
        </is>
      </c>
      <c r="C101" t="n">
        <v>38</v>
      </c>
      <c r="D101" t="inlineStr">
        <is>
          <t>HDD</t>
        </is>
      </c>
      <c r="E101" t="n">
        <v>39</v>
      </c>
      <c r="F101" s="3" t="n">
        <v>32.19</v>
      </c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>
        <v>32.19</v>
      </c>
      <c r="W101" s="4" t="n"/>
      <c r="X101" s="4" t="n"/>
      <c r="Y101" s="4" t="n"/>
      <c r="Z101" s="9" t="n"/>
      <c r="AA101" s="4" t="n"/>
      <c r="AB101" s="4" t="n"/>
      <c r="AC101" s="4" t="n"/>
      <c r="AD101" s="4" t="n"/>
      <c r="AE101" s="4" t="n"/>
      <c r="AF101" s="4" t="n"/>
      <c r="AG101" t="inlineStr">
        <is>
          <t>concluido</t>
        </is>
      </c>
    </row>
    <row r="102">
      <c r="B102" s="3" t="inlineStr">
        <is>
          <t>CTS ÁGUA VERMELHA - ME</t>
        </is>
      </c>
      <c r="C102" t="n">
        <v>38</v>
      </c>
      <c r="D102" t="inlineStr">
        <is>
          <t>VCA</t>
        </is>
      </c>
      <c r="E102" t="n">
        <v>114.5</v>
      </c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9" t="n"/>
      <c r="AA102" s="4" t="n"/>
      <c r="AB102" s="4" t="n"/>
      <c r="AC102" s="4" t="n"/>
      <c r="AD102" s="4" t="n"/>
      <c r="AE102" s="4" t="n"/>
      <c r="AF102" s="4" t="n"/>
      <c r="AG102" t="inlineStr">
        <is>
          <t>concluido</t>
        </is>
      </c>
    </row>
    <row r="103">
      <c r="B103" s="3" t="inlineStr">
        <is>
          <t>CTS ÁGUA VERMELHA - ME</t>
        </is>
      </c>
      <c r="C103" t="n">
        <v>39</v>
      </c>
      <c r="D103" t="inlineStr">
        <is>
          <t>HDD</t>
        </is>
      </c>
      <c r="E103" t="n">
        <v>35</v>
      </c>
      <c r="F103" s="3" t="n">
        <v>76.59999999999999</v>
      </c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>
        <v>37.72</v>
      </c>
      <c r="W103" s="4" t="n">
        <v>38.88</v>
      </c>
      <c r="X103" s="4" t="n"/>
      <c r="Y103" s="4" t="n"/>
      <c r="Z103" s="9" t="n"/>
      <c r="AA103" s="4" t="n"/>
      <c r="AB103" s="4" t="n"/>
      <c r="AC103" s="4" t="n"/>
      <c r="AD103" s="4" t="n"/>
      <c r="AE103" s="4" t="n"/>
      <c r="AF103" s="4" t="n"/>
      <c r="AG103" t="inlineStr">
        <is>
          <t>concluido</t>
        </is>
      </c>
    </row>
    <row r="104">
      <c r="B104" s="3" t="inlineStr">
        <is>
          <t>CTS ÁGUA VERMELHA - ME</t>
        </is>
      </c>
      <c r="C104" t="n">
        <v>39</v>
      </c>
      <c r="D104" t="inlineStr">
        <is>
          <t>VCA</t>
        </is>
      </c>
      <c r="E104" t="n">
        <v>58.5</v>
      </c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9" t="n"/>
      <c r="AA104" s="4" t="n"/>
      <c r="AB104" s="4" t="n"/>
      <c r="AC104" s="4" t="n"/>
      <c r="AD104" s="4" t="n"/>
      <c r="AE104" s="4" t="n"/>
      <c r="AF104" s="4" t="n"/>
      <c r="AG104" t="inlineStr">
        <is>
          <t>concluido</t>
        </is>
      </c>
    </row>
    <row r="105">
      <c r="B105" s="3" t="inlineStr">
        <is>
          <t>CTS ÁGUA VERMELHA - ME</t>
        </is>
      </c>
      <c r="C105" t="n">
        <v>40</v>
      </c>
      <c r="D105" t="inlineStr">
        <is>
          <t>HDD</t>
        </is>
      </c>
      <c r="E105" t="n">
        <v>61.5</v>
      </c>
      <c r="F105" s="3" t="n">
        <v>84.62</v>
      </c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>
        <v>36.84</v>
      </c>
      <c r="W105" s="4" t="n">
        <v>47.78</v>
      </c>
      <c r="X105" s="4" t="n"/>
      <c r="Y105" s="4" t="n"/>
      <c r="Z105" s="9" t="n"/>
      <c r="AA105" s="4" t="n"/>
      <c r="AB105" s="4" t="n"/>
      <c r="AC105" s="4" t="n"/>
      <c r="AD105" s="4" t="n"/>
      <c r="AE105" s="4" t="n"/>
      <c r="AF105" s="4" t="n"/>
      <c r="AG105" t="inlineStr">
        <is>
          <t>concluido</t>
        </is>
      </c>
    </row>
    <row r="106" ht="15" customHeight="1">
      <c r="B106" s="3" t="inlineStr">
        <is>
          <t>CTS ÁGUA VERMELHA - ME</t>
        </is>
      </c>
      <c r="C106" t="n">
        <v>40</v>
      </c>
      <c r="D106" t="inlineStr">
        <is>
          <t>VCA</t>
        </is>
      </c>
      <c r="E106" t="n">
        <v>37.5</v>
      </c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9" t="n"/>
      <c r="AA106" s="4" t="n"/>
      <c r="AB106" s="4" t="n"/>
      <c r="AC106" s="4" t="n"/>
      <c r="AD106" s="4" t="n"/>
      <c r="AE106" s="4" t="n"/>
      <c r="AF106" s="4" t="n"/>
      <c r="AG106" t="inlineStr">
        <is>
          <t>concluido</t>
        </is>
      </c>
    </row>
    <row r="107">
      <c r="B107" s="3" t="inlineStr">
        <is>
          <t>CTS ÁGUA VERMELHA - ME</t>
        </is>
      </c>
      <c r="C107" t="n">
        <v>41</v>
      </c>
      <c r="D107" t="inlineStr">
        <is>
          <t>HDD</t>
        </is>
      </c>
      <c r="E107" t="n">
        <v>65.5</v>
      </c>
      <c r="F107" s="3" t="n">
        <v>35.5</v>
      </c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>
        <v>35.5</v>
      </c>
      <c r="W107" s="4" t="n"/>
      <c r="X107" s="4" t="n"/>
      <c r="Y107" s="4" t="n"/>
      <c r="Z107" s="9" t="n"/>
      <c r="AA107" s="4" t="n"/>
      <c r="AB107" s="4" t="n"/>
      <c r="AC107" s="4" t="n"/>
      <c r="AD107" s="4" t="n"/>
      <c r="AE107" s="4" t="n"/>
      <c r="AF107" s="4" t="n"/>
      <c r="AG107" t="inlineStr">
        <is>
          <t>concluido</t>
        </is>
      </c>
    </row>
    <row r="108">
      <c r="B108" s="3" t="inlineStr">
        <is>
          <t>CTS ÁGUA VERMELHA - ME</t>
        </is>
      </c>
      <c r="C108" t="n">
        <v>41</v>
      </c>
      <c r="D108" t="inlineStr">
        <is>
          <t>VCA</t>
        </is>
      </c>
      <c r="E108" t="n">
        <v>32.5</v>
      </c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9" t="n"/>
      <c r="AA108" s="4" t="n"/>
      <c r="AB108" s="4" t="n"/>
      <c r="AC108" s="4" t="n"/>
      <c r="AD108" s="4" t="n"/>
      <c r="AE108" s="4" t="n"/>
      <c r="AF108" s="4" t="n"/>
      <c r="AG108" t="inlineStr">
        <is>
          <t>concluido</t>
        </is>
      </c>
    </row>
    <row r="109">
      <c r="B109" s="3" t="inlineStr">
        <is>
          <t>CTS ÁGUA VERMELHA - ME</t>
        </is>
      </c>
      <c r="C109" t="n">
        <v>42</v>
      </c>
      <c r="D109" t="inlineStr">
        <is>
          <t>HDD</t>
        </is>
      </c>
      <c r="E109" t="n">
        <v>91.5</v>
      </c>
      <c r="F109" s="3" t="n">
        <v>34.38</v>
      </c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>
        <v>34.38</v>
      </c>
      <c r="W109" s="4" t="n"/>
      <c r="X109" s="4" t="n"/>
      <c r="Y109" s="4" t="n"/>
      <c r="Z109" s="9" t="n"/>
      <c r="AA109" s="4" t="n"/>
      <c r="AB109" s="4" t="n"/>
      <c r="AC109" s="4" t="n"/>
      <c r="AD109" s="4" t="n"/>
      <c r="AE109" s="4" t="n"/>
      <c r="AF109" s="4" t="n"/>
      <c r="AG109" t="inlineStr">
        <is>
          <t>concluido</t>
        </is>
      </c>
    </row>
    <row r="110">
      <c r="B110" s="3" t="inlineStr">
        <is>
          <t>CTS ÁGUA VERMELHA - ME</t>
        </is>
      </c>
      <c r="C110" t="n">
        <v>42</v>
      </c>
      <c r="D110" t="inlineStr">
        <is>
          <t>VCA</t>
        </is>
      </c>
      <c r="E110" t="n">
        <v>5.5</v>
      </c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9" t="n"/>
      <c r="AA110" s="4" t="n"/>
      <c r="AB110" s="4" t="n"/>
      <c r="AC110" s="4" t="n"/>
      <c r="AD110" s="4" t="n"/>
      <c r="AE110" s="4" t="n"/>
      <c r="AF110" s="4" t="n"/>
      <c r="AG110" t="inlineStr">
        <is>
          <t>concluido</t>
        </is>
      </c>
    </row>
    <row r="111">
      <c r="B111" s="3" t="inlineStr">
        <is>
          <t>CTS ÁGUA VERMELHA - ME</t>
        </is>
      </c>
      <c r="C111" t="n">
        <v>43</v>
      </c>
      <c r="D111" t="inlineStr">
        <is>
          <t>HDD</t>
        </is>
      </c>
      <c r="E111" t="n">
        <v>198</v>
      </c>
      <c r="F111" s="3" t="n">
        <v>167.19</v>
      </c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>
        <v>43.97</v>
      </c>
      <c r="W111" s="4" t="n">
        <v>123.22</v>
      </c>
      <c r="X111" s="4" t="n"/>
      <c r="Y111" s="4" t="n"/>
      <c r="Z111" s="9" t="n"/>
      <c r="AA111" s="4" t="n"/>
      <c r="AB111" s="4" t="n"/>
      <c r="AC111" s="4" t="n"/>
      <c r="AD111" s="4" t="n"/>
      <c r="AE111" s="4" t="n"/>
      <c r="AF111" s="4" t="n"/>
      <c r="AG111" t="inlineStr">
        <is>
          <t>concluido</t>
        </is>
      </c>
    </row>
    <row r="112">
      <c r="B112" s="3" t="inlineStr">
        <is>
          <t>CTS ÁGUA VERMELHA - ME</t>
        </is>
      </c>
      <c r="C112" t="n">
        <v>43</v>
      </c>
      <c r="D112" t="inlineStr">
        <is>
          <t>VCA</t>
        </is>
      </c>
      <c r="E112" t="n">
        <v>2</v>
      </c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9" t="n"/>
      <c r="AA112" s="4" t="n"/>
      <c r="AB112" s="4" t="n"/>
      <c r="AC112" s="4" t="n"/>
      <c r="AD112" s="4" t="n"/>
      <c r="AE112" s="4" t="n"/>
      <c r="AF112" s="4" t="n"/>
      <c r="AG112" t="inlineStr">
        <is>
          <t>concluido</t>
        </is>
      </c>
    </row>
    <row r="113">
      <c r="B113" s="3" t="inlineStr">
        <is>
          <t>CTS ÁGUA VERMELHA - ME</t>
        </is>
      </c>
      <c r="C113" t="n">
        <v>44</v>
      </c>
      <c r="D113" t="inlineStr">
        <is>
          <t>HDD</t>
        </is>
      </c>
      <c r="E113" t="n">
        <v>75</v>
      </c>
      <c r="F113" s="3" t="n">
        <v>189</v>
      </c>
      <c r="J113" t="n">
        <v>531</v>
      </c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>
        <v>189</v>
      </c>
      <c r="X113" s="4" t="n"/>
      <c r="Y113" s="4" t="n"/>
      <c r="Z113" s="9" t="n"/>
      <c r="AA113" s="4" t="n"/>
      <c r="AB113" s="4" t="n"/>
      <c r="AC113" s="4" t="n"/>
      <c r="AD113" s="4" t="n"/>
      <c r="AE113" s="4" t="n"/>
      <c r="AF113" s="4" t="n"/>
      <c r="AG113" t="inlineStr">
        <is>
          <t>concluido</t>
        </is>
      </c>
    </row>
    <row r="114">
      <c r="B114" s="3" t="inlineStr">
        <is>
          <t>CTS ÁGUA VERMELHA - ME</t>
        </is>
      </c>
      <c r="C114" t="n">
        <v>44</v>
      </c>
      <c r="D114" t="inlineStr">
        <is>
          <t>VCA</t>
        </is>
      </c>
      <c r="E114" t="n">
        <v>48.5</v>
      </c>
      <c r="F114" s="3" t="n">
        <v>70.93000000000001</v>
      </c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>
        <v>70.93000000000001</v>
      </c>
      <c r="X114" s="4" t="n"/>
      <c r="Y114" s="4" t="n"/>
      <c r="Z114" s="9" t="n"/>
      <c r="AA114" s="4" t="n"/>
      <c r="AB114" s="4" t="n"/>
      <c r="AC114" s="4" t="n"/>
      <c r="AD114" s="4" t="n"/>
      <c r="AE114" s="4" t="n"/>
      <c r="AF114" s="4" t="n"/>
      <c r="AG114" t="inlineStr">
        <is>
          <t>concluido</t>
        </is>
      </c>
    </row>
    <row r="115">
      <c r="B115" s="3" t="inlineStr">
        <is>
          <t>CTS ÁGUA VERMELHA - MD</t>
        </is>
      </c>
      <c r="C115" t="n">
        <v>45</v>
      </c>
      <c r="D115" t="inlineStr">
        <is>
          <t>HDD</t>
        </is>
      </c>
      <c r="E115" t="n">
        <v>298</v>
      </c>
      <c r="F115" s="3" t="n">
        <v>363.85</v>
      </c>
      <c r="I115" t="n">
        <v>223</v>
      </c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>
        <v>329.56</v>
      </c>
      <c r="W115" s="4" t="n">
        <v>34.29</v>
      </c>
      <c r="X115" s="4" t="n"/>
      <c r="Y115" s="4" t="n"/>
      <c r="Z115" s="9" t="n"/>
      <c r="AA115" s="4" t="n"/>
      <c r="AB115" s="4" t="n"/>
      <c r="AC115" s="4" t="n"/>
      <c r="AD115" s="4" t="n"/>
      <c r="AE115" s="4" t="n"/>
      <c r="AF115" s="4" t="n"/>
      <c r="AG115" t="inlineStr">
        <is>
          <t>concluido</t>
        </is>
      </c>
    </row>
    <row r="116">
      <c r="B116" s="3" t="inlineStr">
        <is>
          <t>CTS ÁGUA VERMELHA - MD</t>
        </is>
      </c>
      <c r="C116" t="n">
        <v>45</v>
      </c>
      <c r="D116" t="inlineStr">
        <is>
          <t>VCA</t>
        </is>
      </c>
      <c r="E116" t="n">
        <v>113.5</v>
      </c>
      <c r="F116" s="3" t="n">
        <v>19.84</v>
      </c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>
        <v>19.84</v>
      </c>
      <c r="Y116" s="4" t="n"/>
      <c r="Z116" s="9" t="n"/>
      <c r="AA116" s="4" t="n"/>
      <c r="AB116" s="4" t="n"/>
      <c r="AC116" s="4" t="n"/>
      <c r="AD116" s="4" t="n"/>
      <c r="AE116" s="4" t="n"/>
      <c r="AF116" s="4" t="n"/>
      <c r="AG116" t="inlineStr">
        <is>
          <t>concluido</t>
        </is>
      </c>
    </row>
    <row r="117">
      <c r="B117" s="3" t="inlineStr">
        <is>
          <t>CTS ÁGUA VERMELHA - MD</t>
        </is>
      </c>
      <c r="C117" t="n">
        <v>46</v>
      </c>
      <c r="D117" t="inlineStr">
        <is>
          <t>HDD</t>
        </is>
      </c>
      <c r="E117" t="n">
        <v>88</v>
      </c>
      <c r="F117" s="3" t="n">
        <v>89.05</v>
      </c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>
        <v>32.99</v>
      </c>
      <c r="W117" s="4" t="n">
        <v>56.06</v>
      </c>
      <c r="X117" s="4" t="n"/>
      <c r="Y117" s="4" t="n"/>
      <c r="Z117" s="9" t="n"/>
      <c r="AA117" s="4" t="n"/>
      <c r="AB117" s="4" t="n"/>
      <c r="AC117" s="4" t="n"/>
      <c r="AD117" s="4" t="n"/>
      <c r="AE117" s="4" t="n"/>
      <c r="AF117" s="4" t="n"/>
      <c r="AG117" t="inlineStr">
        <is>
          <t>concluido</t>
        </is>
      </c>
    </row>
    <row r="118">
      <c r="B118" s="3" t="inlineStr">
        <is>
          <t>CTS ÁGUA VERMELHA - MD</t>
        </is>
      </c>
      <c r="C118" t="n">
        <v>46</v>
      </c>
      <c r="D118" t="inlineStr">
        <is>
          <t>VCA</t>
        </is>
      </c>
      <c r="E118" t="n">
        <v>2</v>
      </c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9" t="n"/>
      <c r="AA118" s="4" t="n"/>
      <c r="AB118" s="4" t="n"/>
      <c r="AC118" s="4" t="n"/>
      <c r="AD118" s="4" t="n"/>
      <c r="AE118" s="4" t="n"/>
      <c r="AF118" s="4" t="n"/>
      <c r="AG118" t="inlineStr">
        <is>
          <t>concluido</t>
        </is>
      </c>
    </row>
    <row r="119">
      <c r="B119" s="3" t="inlineStr">
        <is>
          <t>CTS ÁGUA VERMELHA - MD</t>
        </is>
      </c>
      <c r="C119" t="n">
        <v>47</v>
      </c>
      <c r="D119" t="inlineStr">
        <is>
          <t>HDD</t>
        </is>
      </c>
      <c r="E119" t="n">
        <v>68.5</v>
      </c>
      <c r="F119" s="3" t="n">
        <v>35.48</v>
      </c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>
        <v>35.48</v>
      </c>
      <c r="W119" s="4" t="n"/>
      <c r="X119" s="4" t="n"/>
      <c r="Y119" s="4" t="n"/>
      <c r="Z119" s="9" t="n"/>
      <c r="AA119" s="4" t="n"/>
      <c r="AB119" s="4" t="n"/>
      <c r="AC119" s="4" t="n"/>
      <c r="AD119" s="4" t="n"/>
      <c r="AE119" s="4" t="n"/>
      <c r="AF119" s="4" t="n"/>
      <c r="AG119" t="inlineStr">
        <is>
          <t>concluido</t>
        </is>
      </c>
    </row>
    <row r="120">
      <c r="B120" s="3" t="inlineStr">
        <is>
          <t>CTS ÁGUA VERMELHA - MD</t>
        </is>
      </c>
      <c r="C120" t="n">
        <v>47</v>
      </c>
      <c r="D120" t="inlineStr">
        <is>
          <t>VCA</t>
        </is>
      </c>
      <c r="E120" t="n">
        <v>26</v>
      </c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9" t="n"/>
      <c r="AA120" s="4" t="n"/>
      <c r="AB120" s="4" t="n"/>
      <c r="AC120" s="4" t="n"/>
      <c r="AD120" s="4" t="n"/>
      <c r="AE120" s="4" t="n"/>
      <c r="AF120" s="4" t="n"/>
      <c r="AG120" t="inlineStr">
        <is>
          <t>concluido</t>
        </is>
      </c>
    </row>
    <row r="121">
      <c r="B121" s="3" t="inlineStr">
        <is>
          <t>CTS ÁGUA VERMELHA - MD</t>
        </is>
      </c>
      <c r="C121" t="n">
        <v>48</v>
      </c>
      <c r="D121" t="inlineStr">
        <is>
          <t>HDD</t>
        </is>
      </c>
      <c r="E121" t="n">
        <v>216.5</v>
      </c>
      <c r="F121" s="3" t="n">
        <v>206.17</v>
      </c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>
        <v>129.67</v>
      </c>
      <c r="W121" s="4" t="n">
        <v>76.5</v>
      </c>
      <c r="X121" s="4" t="n"/>
      <c r="Y121" s="4" t="n"/>
      <c r="Z121" s="9" t="n"/>
      <c r="AA121" s="4" t="n"/>
      <c r="AB121" s="4" t="n"/>
      <c r="AC121" s="4" t="n"/>
      <c r="AD121" s="4" t="n"/>
      <c r="AE121" s="4" t="n"/>
      <c r="AF121" s="4" t="n"/>
      <c r="AG121" t="inlineStr">
        <is>
          <t>concluido</t>
        </is>
      </c>
    </row>
    <row r="122">
      <c r="B122" s="3" t="inlineStr">
        <is>
          <t>CTS ÁGUA VERMELHA - MD</t>
        </is>
      </c>
      <c r="C122" t="n">
        <v>48</v>
      </c>
      <c r="D122" t="inlineStr">
        <is>
          <t>VCA</t>
        </is>
      </c>
      <c r="E122" t="n">
        <v>86</v>
      </c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9" t="n"/>
      <c r="AA122" s="4" t="n"/>
      <c r="AB122" s="4" t="n"/>
      <c r="AC122" s="4" t="n"/>
      <c r="AD122" s="4" t="n"/>
      <c r="AE122" s="4" t="n"/>
      <c r="AF122" s="4" t="n"/>
      <c r="AG122" t="inlineStr">
        <is>
          <t>concluido</t>
        </is>
      </c>
    </row>
    <row r="123">
      <c r="B123" s="3" t="inlineStr">
        <is>
          <t>CTS ÁGUA VERMELHA - MD</t>
        </is>
      </c>
      <c r="C123" t="n">
        <v>49</v>
      </c>
      <c r="D123" t="inlineStr">
        <is>
          <t>HDD</t>
        </is>
      </c>
      <c r="E123" t="n">
        <v>68</v>
      </c>
      <c r="F123" s="3" t="n">
        <v>97.16</v>
      </c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>
        <v>68.16</v>
      </c>
      <c r="W123" s="4" t="n">
        <v>29</v>
      </c>
      <c r="X123" s="4" t="n"/>
      <c r="Y123" s="4" t="n"/>
      <c r="Z123" s="9" t="n"/>
      <c r="AA123" s="4" t="n"/>
      <c r="AB123" s="4" t="n"/>
      <c r="AC123" s="4" t="n"/>
      <c r="AD123" s="4" t="n"/>
      <c r="AE123" s="4" t="n"/>
      <c r="AF123" s="4" t="n"/>
      <c r="AG123" t="inlineStr">
        <is>
          <t>concluido</t>
        </is>
      </c>
    </row>
    <row r="124">
      <c r="B124" s="3" t="inlineStr">
        <is>
          <t>CTS ÁGUA VERMELHA - MD</t>
        </is>
      </c>
      <c r="C124" t="n">
        <v>49</v>
      </c>
      <c r="D124" t="inlineStr">
        <is>
          <t>VCA</t>
        </is>
      </c>
      <c r="E124" t="n">
        <v>40.5</v>
      </c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9" t="n"/>
      <c r="AA124" s="4" t="n"/>
      <c r="AB124" s="4" t="n"/>
      <c r="AC124" s="4" t="n"/>
      <c r="AD124" s="4" t="n"/>
      <c r="AE124" s="4" t="n"/>
      <c r="AF124" s="4" t="n"/>
      <c r="AG124" t="inlineStr">
        <is>
          <t>concluido</t>
        </is>
      </c>
    </row>
    <row r="125">
      <c r="B125" s="3" t="inlineStr">
        <is>
          <t>CTS ÁGUA VERMELHA - MD</t>
        </is>
      </c>
      <c r="C125" t="n">
        <v>50</v>
      </c>
      <c r="D125" t="inlineStr">
        <is>
          <t>HDD</t>
        </is>
      </c>
      <c r="E125" t="n">
        <v>87.5</v>
      </c>
      <c r="F125" s="3" t="n">
        <v>35.42</v>
      </c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>
        <v>35.42</v>
      </c>
      <c r="W125" s="4" t="n"/>
      <c r="X125" s="4" t="n"/>
      <c r="Y125" s="4" t="n"/>
      <c r="Z125" s="9" t="n"/>
      <c r="AA125" s="4" t="n"/>
      <c r="AB125" s="4" t="n"/>
      <c r="AC125" s="4" t="n"/>
      <c r="AD125" s="4" t="n"/>
      <c r="AE125" s="4" t="n"/>
      <c r="AF125" s="4" t="n"/>
      <c r="AG125" t="inlineStr">
        <is>
          <t>concluido</t>
        </is>
      </c>
    </row>
    <row r="126">
      <c r="B126" s="3" t="inlineStr">
        <is>
          <t>CTS ÁGUA VERMELHA - MD</t>
        </is>
      </c>
      <c r="C126" t="n">
        <v>50</v>
      </c>
      <c r="D126" t="inlineStr">
        <is>
          <t>VCA</t>
        </is>
      </c>
      <c r="E126" t="n">
        <v>2</v>
      </c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9" t="n"/>
      <c r="AA126" s="4" t="n"/>
      <c r="AB126" s="4" t="n"/>
      <c r="AC126" s="4" t="n"/>
      <c r="AD126" s="4" t="n"/>
      <c r="AE126" s="4" t="n"/>
      <c r="AF126" s="4" t="n"/>
      <c r="AG126" t="inlineStr">
        <is>
          <t>concluido</t>
        </is>
      </c>
    </row>
    <row r="127">
      <c r="B127" s="3" t="inlineStr">
        <is>
          <t>CTS ÁGUA VERMELHA - MD</t>
        </is>
      </c>
      <c r="C127" t="n">
        <v>51</v>
      </c>
      <c r="D127" t="inlineStr">
        <is>
          <t>HDD</t>
        </is>
      </c>
      <c r="E127" t="n">
        <v>84.5</v>
      </c>
      <c r="F127" s="3" t="n">
        <v>34.41</v>
      </c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>
        <v>34.41</v>
      </c>
      <c r="W127" s="4" t="n"/>
      <c r="X127" s="4" t="n"/>
      <c r="Y127" s="4" t="n"/>
      <c r="Z127" s="9" t="n"/>
      <c r="AA127" s="4" t="n"/>
      <c r="AB127" s="4" t="n"/>
      <c r="AC127" s="4" t="n"/>
      <c r="AD127" s="4" t="n"/>
      <c r="AE127" s="4" t="n"/>
      <c r="AF127" s="4" t="n"/>
      <c r="AG127" t="inlineStr">
        <is>
          <t>concluido</t>
        </is>
      </c>
    </row>
    <row r="128">
      <c r="B128" s="3" t="inlineStr">
        <is>
          <t>CTS ÁGUA VERMELHA - MD</t>
        </is>
      </c>
      <c r="C128" t="n">
        <v>51</v>
      </c>
      <c r="D128" t="inlineStr">
        <is>
          <t>VCA</t>
        </is>
      </c>
      <c r="E128" t="n">
        <v>2</v>
      </c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9" t="n"/>
      <c r="AA128" s="4" t="n"/>
      <c r="AB128" s="4" t="n"/>
      <c r="AC128" s="4" t="n"/>
      <c r="AD128" s="4" t="n"/>
      <c r="AE128" s="4" t="n"/>
      <c r="AF128" s="4" t="n"/>
      <c r="AG128" t="inlineStr">
        <is>
          <t>concluido</t>
        </is>
      </c>
    </row>
    <row r="129">
      <c r="B129" s="3" t="inlineStr">
        <is>
          <t>CTS ÁGUA VERMELHA - MD</t>
        </is>
      </c>
      <c r="C129" t="n">
        <v>52</v>
      </c>
      <c r="D129" t="inlineStr">
        <is>
          <t>HDD</t>
        </is>
      </c>
      <c r="E129" t="n">
        <v>109</v>
      </c>
      <c r="F129" s="3" t="n">
        <v>47.44</v>
      </c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>
        <v>47.44</v>
      </c>
      <c r="W129" s="4" t="n"/>
      <c r="X129" s="4" t="n"/>
      <c r="Y129" s="4" t="n"/>
      <c r="Z129" s="9" t="n"/>
      <c r="AA129" s="4" t="n"/>
      <c r="AB129" s="4" t="n"/>
      <c r="AC129" s="4" t="n"/>
      <c r="AD129" s="4" t="n"/>
      <c r="AE129" s="4" t="n"/>
      <c r="AF129" s="4" t="n"/>
      <c r="AG129" t="inlineStr">
        <is>
          <t>concluido</t>
        </is>
      </c>
    </row>
    <row r="130">
      <c r="B130" s="3" t="inlineStr">
        <is>
          <t>CTS ÁGUA VERMELHA - MD</t>
        </is>
      </c>
      <c r="C130" t="n">
        <v>52</v>
      </c>
      <c r="D130" t="inlineStr">
        <is>
          <t>VCA</t>
        </is>
      </c>
      <c r="E130" t="n">
        <v>9.5</v>
      </c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9" t="n"/>
      <c r="AA130" s="4" t="n"/>
      <c r="AB130" s="4" t="n"/>
      <c r="AC130" s="4" t="n"/>
      <c r="AD130" s="4" t="n"/>
      <c r="AE130" s="4" t="n"/>
      <c r="AF130" s="4" t="n"/>
      <c r="AG130" t="inlineStr">
        <is>
          <t>concluido</t>
        </is>
      </c>
    </row>
    <row r="131">
      <c r="B131" s="3" t="inlineStr">
        <is>
          <t>CTS ÁGUA VERMELHA - MD</t>
        </is>
      </c>
      <c r="C131" t="n">
        <v>53</v>
      </c>
      <c r="D131" t="inlineStr">
        <is>
          <t>HDD</t>
        </is>
      </c>
      <c r="E131" t="n">
        <v>255</v>
      </c>
      <c r="F131" s="3" t="n">
        <v>255.86</v>
      </c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>
        <v>67.05</v>
      </c>
      <c r="W131" s="4" t="n"/>
      <c r="X131" s="4" t="n">
        <v>188.81</v>
      </c>
      <c r="Y131" s="4" t="n"/>
      <c r="Z131" s="9" t="n"/>
      <c r="AA131" s="4" t="n"/>
      <c r="AB131" s="4" t="n"/>
      <c r="AC131" s="4" t="n"/>
      <c r="AD131" s="4" t="n"/>
      <c r="AE131" s="4" t="n"/>
      <c r="AF131" s="4" t="n"/>
      <c r="AG131" t="inlineStr">
        <is>
          <t>concluido</t>
        </is>
      </c>
    </row>
    <row r="132">
      <c r="B132" s="3" t="inlineStr">
        <is>
          <t>CTS ÁGUA VERMELHA - MD</t>
        </is>
      </c>
      <c r="C132" t="n">
        <v>53</v>
      </c>
      <c r="D132" t="inlineStr">
        <is>
          <t>VCA</t>
        </is>
      </c>
      <c r="E132" t="n">
        <v>144</v>
      </c>
      <c r="F132" s="3" t="n">
        <v>0</v>
      </c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9" t="n"/>
      <c r="AA132" s="4" t="n"/>
      <c r="AB132" s="4" t="n"/>
      <c r="AC132" s="4" t="n"/>
      <c r="AD132" s="4" t="n"/>
      <c r="AE132" s="4" t="n"/>
      <c r="AF132" s="4" t="n"/>
      <c r="AG132" t="inlineStr">
        <is>
          <t>concluido</t>
        </is>
      </c>
    </row>
    <row r="133">
      <c r="B133" s="3" t="inlineStr">
        <is>
          <t>CT LAGEADO MONTANTE</t>
        </is>
      </c>
      <c r="C133" t="n">
        <v>54</v>
      </c>
      <c r="D133" t="inlineStr">
        <is>
          <t>HDD</t>
        </is>
      </c>
      <c r="E133" t="n">
        <v>561.5</v>
      </c>
      <c r="F133" s="7" t="n">
        <v>445.49</v>
      </c>
      <c r="G133" t="n">
        <v>32</v>
      </c>
      <c r="H133" t="n">
        <v>186.84</v>
      </c>
      <c r="I133" t="n">
        <v>443</v>
      </c>
      <c r="J133" t="n">
        <v>2397</v>
      </c>
      <c r="L133" s="4" t="n"/>
      <c r="M133" s="4" t="n"/>
      <c r="N133" s="4" t="n"/>
      <c r="O133" s="4" t="n"/>
      <c r="P133" s="4" t="n"/>
      <c r="Q133" s="4" t="n"/>
      <c r="R133" s="4" t="n"/>
      <c r="S133" s="4" t="n">
        <v>162.165</v>
      </c>
      <c r="T133" s="4" t="n">
        <v>283.325</v>
      </c>
      <c r="U133" s="4" t="n"/>
      <c r="V133" s="4" t="n"/>
      <c r="W133" s="4" t="n"/>
      <c r="X133" s="4" t="n"/>
      <c r="Y133" s="4" t="n"/>
      <c r="Z133" s="9" t="n"/>
      <c r="AA133" s="4" t="n"/>
      <c r="AB133" s="4" t="n"/>
      <c r="AC133" s="4" t="n"/>
      <c r="AD133" s="4" t="n"/>
      <c r="AE133" s="4" t="n"/>
      <c r="AF133" s="4" t="n"/>
      <c r="AG133" t="inlineStr">
        <is>
          <t>concluido</t>
        </is>
      </c>
    </row>
    <row r="134">
      <c r="B134" s="3" t="inlineStr">
        <is>
          <t>CT LAGEADO MONTANTE</t>
        </is>
      </c>
      <c r="C134" t="n">
        <v>54</v>
      </c>
      <c r="D134" t="inlineStr">
        <is>
          <t>VCA</t>
        </is>
      </c>
      <c r="E134" t="n">
        <v>144.5</v>
      </c>
      <c r="F134" s="7" t="n">
        <v>75.59999999999999</v>
      </c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>
        <v>75.59999999999999</v>
      </c>
      <c r="U134" s="4" t="n"/>
      <c r="V134" s="4" t="n"/>
      <c r="W134" s="4" t="n"/>
      <c r="X134" s="4" t="n"/>
      <c r="Y134" s="4" t="n"/>
      <c r="Z134" s="9" t="n"/>
      <c r="AA134" s="4" t="n"/>
      <c r="AB134" s="4" t="n"/>
      <c r="AC134" s="4" t="n"/>
      <c r="AD134" s="4" t="n"/>
      <c r="AE134" s="4" t="n"/>
      <c r="AF134" s="4" t="n"/>
      <c r="AG134" t="inlineStr">
        <is>
          <t>concluido</t>
        </is>
      </c>
    </row>
    <row r="135">
      <c r="B135" s="3" t="inlineStr">
        <is>
          <t>CT LAGEADO MONTANTE</t>
        </is>
      </c>
      <c r="C135" t="n">
        <v>55</v>
      </c>
      <c r="D135" t="inlineStr">
        <is>
          <t>HDD</t>
        </is>
      </c>
      <c r="E135" t="n">
        <v>451.5</v>
      </c>
      <c r="F135" s="7" t="n">
        <v>629.14</v>
      </c>
      <c r="I135" t="n">
        <v>788</v>
      </c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>
        <v>629.14</v>
      </c>
      <c r="U135" s="4" t="n"/>
      <c r="V135" s="4" t="n"/>
      <c r="W135" s="4" t="n"/>
      <c r="X135" s="4" t="n"/>
      <c r="Y135" s="4" t="n"/>
      <c r="Z135" s="9" t="n"/>
      <c r="AA135" s="4" t="n"/>
      <c r="AB135" s="4" t="n"/>
      <c r="AC135" s="4" t="n"/>
      <c r="AD135" s="4" t="n"/>
      <c r="AE135" s="4" t="n"/>
      <c r="AF135" s="4" t="n"/>
      <c r="AG135" t="inlineStr">
        <is>
          <t>concluido</t>
        </is>
      </c>
    </row>
    <row r="136">
      <c r="B136" s="3" t="inlineStr">
        <is>
          <t>CT LAGEADO MONTANTE</t>
        </is>
      </c>
      <c r="C136" t="n">
        <v>55</v>
      </c>
      <c r="D136" t="inlineStr">
        <is>
          <t>VCA</t>
        </is>
      </c>
      <c r="E136" t="n">
        <v>144.5</v>
      </c>
      <c r="F136" s="7" t="n">
        <v>37.89</v>
      </c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>
        <v>37.89</v>
      </c>
      <c r="U136" s="4" t="n"/>
      <c r="V136" s="4" t="n"/>
      <c r="W136" s="4" t="n"/>
      <c r="X136" s="4" t="n"/>
      <c r="Y136" s="4" t="n"/>
      <c r="Z136" s="9" t="n"/>
      <c r="AA136" s="4" t="n"/>
      <c r="AB136" s="4" t="n"/>
      <c r="AC136" s="4" t="n"/>
      <c r="AD136" s="4" t="n"/>
      <c r="AE136" s="4" t="n"/>
      <c r="AF136" s="4" t="n"/>
      <c r="AG136" t="inlineStr">
        <is>
          <t>concluido</t>
        </is>
      </c>
    </row>
    <row r="137">
      <c r="B137" s="3" t="inlineStr">
        <is>
          <t>CT LAGEADO MONTANTE</t>
        </is>
      </c>
      <c r="C137" t="n">
        <v>56</v>
      </c>
      <c r="D137" t="inlineStr">
        <is>
          <t>HDD</t>
        </is>
      </c>
      <c r="E137" t="n">
        <v>322</v>
      </c>
      <c r="F137" s="7" t="n">
        <v>108.02</v>
      </c>
      <c r="I137" t="n">
        <v>654</v>
      </c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>
        <v>108.02</v>
      </c>
      <c r="U137" s="4" t="n"/>
      <c r="V137" s="4" t="n"/>
      <c r="W137" s="4" t="n"/>
      <c r="X137" s="4" t="n"/>
      <c r="Y137" s="4" t="n"/>
      <c r="Z137" s="9" t="n"/>
      <c r="AA137" s="4" t="n"/>
      <c r="AB137" s="4" t="n"/>
      <c r="AC137" s="4" t="n"/>
      <c r="AD137" s="4" t="n"/>
      <c r="AE137" s="4" t="n"/>
      <c r="AF137" s="4" t="n"/>
      <c r="AG137" t="inlineStr">
        <is>
          <t>concluido</t>
        </is>
      </c>
    </row>
    <row r="138">
      <c r="B138" s="3" t="inlineStr">
        <is>
          <t>CT LAGEADO MONTANTE</t>
        </is>
      </c>
      <c r="C138" t="n">
        <v>56</v>
      </c>
      <c r="D138" t="inlineStr">
        <is>
          <t>VCA</t>
        </is>
      </c>
      <c r="E138" t="n">
        <v>100</v>
      </c>
      <c r="F138" s="7" t="n">
        <v>1.55</v>
      </c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>
        <v>1.55</v>
      </c>
      <c r="U138" s="4" t="n"/>
      <c r="V138" s="4" t="n"/>
      <c r="W138" s="4" t="n"/>
      <c r="X138" s="4" t="n"/>
      <c r="Y138" s="4" t="n"/>
      <c r="Z138" s="9" t="n"/>
      <c r="AA138" s="4" t="n"/>
      <c r="AB138" s="4" t="n"/>
      <c r="AC138" s="4" t="n"/>
      <c r="AD138" s="4" t="n"/>
      <c r="AE138" s="4" t="n"/>
      <c r="AF138" s="4" t="n"/>
      <c r="AG138" t="inlineStr">
        <is>
          <t>concluido</t>
        </is>
      </c>
    </row>
    <row r="139">
      <c r="B139" t="inlineStr">
        <is>
          <t>RCE AV. BARÃO L. ARARIBA</t>
        </is>
      </c>
      <c r="C139" t="n">
        <v>57</v>
      </c>
      <c r="D139" t="inlineStr">
        <is>
          <t>HDD</t>
        </is>
      </c>
      <c r="E139" t="n">
        <v>0</v>
      </c>
      <c r="F139" s="3" t="n">
        <v>296.6</v>
      </c>
      <c r="I139" t="n">
        <v>511</v>
      </c>
      <c r="J139" t="n">
        <v>393</v>
      </c>
      <c r="L139" s="4" t="n"/>
      <c r="M139" s="4" t="n"/>
      <c r="N139" s="4" t="n"/>
      <c r="O139" s="4" t="n"/>
      <c r="P139" s="4" t="n"/>
      <c r="Q139" s="4" t="n"/>
      <c r="R139" s="4" t="n">
        <v>296.6</v>
      </c>
      <c r="S139" s="4" t="n"/>
      <c r="T139" s="4" t="n"/>
      <c r="U139" s="4" t="n"/>
      <c r="V139" s="4" t="n"/>
      <c r="W139" s="4" t="n"/>
      <c r="X139" s="4" t="n"/>
      <c r="Y139" s="4" t="n"/>
      <c r="Z139" s="9" t="n"/>
      <c r="AA139" s="4" t="n"/>
      <c r="AB139" s="4" t="n"/>
      <c r="AC139" s="4" t="n"/>
      <c r="AD139" s="4" t="n"/>
      <c r="AE139" s="4" t="n"/>
      <c r="AF139" s="4" t="n"/>
      <c r="AG139" t="inlineStr">
        <is>
          <t>concluido</t>
        </is>
      </c>
    </row>
    <row r="140">
      <c r="B140" t="inlineStr">
        <is>
          <t>RCE AV. BARÃO L. ARARIBA</t>
        </is>
      </c>
      <c r="C140" t="n">
        <v>57</v>
      </c>
      <c r="D140" t="inlineStr">
        <is>
          <t>VCA</t>
        </is>
      </c>
      <c r="E140" t="n">
        <v>437</v>
      </c>
      <c r="F140" s="3" t="n">
        <v>0</v>
      </c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9" t="n"/>
      <c r="AA140" s="4" t="n"/>
      <c r="AB140" s="4" t="n"/>
      <c r="AC140" s="4" t="n"/>
      <c r="AD140" s="4" t="n"/>
      <c r="AE140" s="4" t="n"/>
      <c r="AF140" s="4" t="n"/>
      <c r="AG140" t="inlineStr">
        <is>
          <t>concluido</t>
        </is>
      </c>
    </row>
    <row r="141">
      <c r="B141" t="inlineStr">
        <is>
          <t>RCE AV. BARÃO L. ARARIBA</t>
        </is>
      </c>
      <c r="C141" t="n">
        <v>58</v>
      </c>
      <c r="D141" t="inlineStr">
        <is>
          <t>HDD</t>
        </is>
      </c>
      <c r="E141" t="n">
        <v>141.5</v>
      </c>
      <c r="F141" s="3" t="n">
        <v>204.3</v>
      </c>
      <c r="I141" t="n">
        <v>118</v>
      </c>
      <c r="L141" s="4" t="n"/>
      <c r="M141" s="4" t="n"/>
      <c r="N141" s="4" t="n"/>
      <c r="O141" s="4" t="n"/>
      <c r="P141" s="4" t="n"/>
      <c r="Q141" s="4" t="n"/>
      <c r="R141" s="4" t="n">
        <v>102.5</v>
      </c>
      <c r="S141" s="4" t="n"/>
      <c r="T141" s="4" t="n"/>
      <c r="U141" s="4" t="n">
        <v>28.8</v>
      </c>
      <c r="V141" s="4" t="n">
        <v>73</v>
      </c>
      <c r="W141" s="4" t="n"/>
      <c r="X141" s="4" t="n"/>
      <c r="Y141" s="4" t="n"/>
      <c r="Z141" s="9" t="n"/>
      <c r="AA141" s="4" t="n"/>
      <c r="AB141" s="4" t="n"/>
      <c r="AC141" s="4" t="n"/>
      <c r="AD141" s="4" t="n"/>
      <c r="AE141" s="4" t="n"/>
      <c r="AF141" s="4" t="n"/>
      <c r="AG141" t="inlineStr">
        <is>
          <t>concluido</t>
        </is>
      </c>
    </row>
    <row r="142">
      <c r="B142" t="inlineStr">
        <is>
          <t>RCE AV. BARÃO L. ARARIBA</t>
        </is>
      </c>
      <c r="C142" t="n">
        <v>58</v>
      </c>
      <c r="D142" t="inlineStr">
        <is>
          <t>VCA</t>
        </is>
      </c>
      <c r="E142" t="n">
        <v>70.5</v>
      </c>
      <c r="F142" s="3" t="n">
        <v>48</v>
      </c>
      <c r="L142" s="4" t="n"/>
      <c r="M142" s="4" t="n"/>
      <c r="N142" s="4" t="n"/>
      <c r="O142" s="4" t="n"/>
      <c r="P142" s="4" t="n"/>
      <c r="Q142" s="4" t="n"/>
      <c r="R142" s="4" t="n">
        <v>16</v>
      </c>
      <c r="S142" s="4" t="n"/>
      <c r="T142" s="4" t="n"/>
      <c r="U142" s="4" t="n"/>
      <c r="V142" s="4" t="n">
        <v>32</v>
      </c>
      <c r="W142" s="4" t="n"/>
      <c r="X142" s="4" t="n"/>
      <c r="Y142" s="4" t="n"/>
      <c r="Z142" s="9" t="n"/>
      <c r="AA142" s="4" t="n"/>
      <c r="AB142" s="4" t="n"/>
      <c r="AC142" s="4" t="n"/>
      <c r="AD142" s="4" t="n"/>
      <c r="AE142" s="4" t="n"/>
      <c r="AF142" s="4" t="n"/>
      <c r="AG142" t="inlineStr">
        <is>
          <t>concluido</t>
        </is>
      </c>
    </row>
    <row r="143">
      <c r="B143" s="3" t="inlineStr">
        <is>
          <t>RCE AV. FERNANDO PACHECO JORDÃO</t>
        </is>
      </c>
      <c r="C143" t="n">
        <v>59</v>
      </c>
      <c r="D143" t="inlineStr">
        <is>
          <t>HDD</t>
        </is>
      </c>
      <c r="E143" t="n">
        <v>75.5</v>
      </c>
      <c r="F143" s="3" t="n">
        <v>220.59</v>
      </c>
      <c r="I143" t="n">
        <v>2295</v>
      </c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5" t="n">
        <v>220.59</v>
      </c>
      <c r="Y143" s="4" t="n"/>
      <c r="Z143" s="9" t="n"/>
      <c r="AA143" s="4" t="n"/>
      <c r="AB143" s="4" t="n"/>
      <c r="AC143" s="4" t="n"/>
      <c r="AD143" s="4" t="n"/>
      <c r="AE143" s="4" t="n"/>
      <c r="AF143" s="4" t="n"/>
      <c r="AG143" t="inlineStr">
        <is>
          <t>concluido</t>
        </is>
      </c>
    </row>
    <row r="144">
      <c r="B144" s="3" t="inlineStr">
        <is>
          <t>RCE AV. FERNANDO PACHECO JORDÃO</t>
        </is>
      </c>
      <c r="C144" t="n">
        <v>59</v>
      </c>
      <c r="D144" t="inlineStr">
        <is>
          <t>VCA</t>
        </is>
      </c>
      <c r="E144" t="n">
        <v>130</v>
      </c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9" t="n"/>
      <c r="AA144" s="4" t="n"/>
      <c r="AB144" s="4" t="n"/>
      <c r="AC144" s="4" t="n"/>
      <c r="AD144" s="4" t="n"/>
      <c r="AE144" s="4" t="n"/>
      <c r="AF144" s="4" t="n"/>
      <c r="AG144" t="inlineStr">
        <is>
          <t>concluido</t>
        </is>
      </c>
    </row>
    <row r="145">
      <c r="B145" t="inlineStr">
        <is>
          <t xml:space="preserve">RCE AV. MARECHAL TITO </t>
        </is>
      </c>
      <c r="C145" t="n">
        <v>60</v>
      </c>
      <c r="D145" t="inlineStr">
        <is>
          <t>HDD</t>
        </is>
      </c>
      <c r="E145" t="n">
        <v>174</v>
      </c>
      <c r="I145" t="n">
        <v>220</v>
      </c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9" t="n"/>
      <c r="AA145" s="4" t="n"/>
      <c r="AB145" s="4" t="n"/>
      <c r="AC145" s="4" t="n"/>
      <c r="AD145" s="4" t="n"/>
      <c r="AE145" s="4" t="n"/>
      <c r="AF145" s="4" t="n"/>
    </row>
    <row r="146">
      <c r="B146" t="inlineStr">
        <is>
          <t xml:space="preserve">RCE AV. MARECHAL TITO </t>
        </is>
      </c>
      <c r="C146" t="n">
        <v>60</v>
      </c>
      <c r="D146" t="inlineStr">
        <is>
          <t>VCA</t>
        </is>
      </c>
      <c r="E146" t="n">
        <v>415.5</v>
      </c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9" t="n"/>
      <c r="AA146" s="4" t="n"/>
      <c r="AB146" s="4" t="n"/>
      <c r="AC146" s="4" t="n"/>
      <c r="AD146" s="4" t="n"/>
      <c r="AE146" s="4" t="n"/>
      <c r="AF146" s="4" t="n"/>
    </row>
    <row r="147">
      <c r="B147" t="inlineStr">
        <is>
          <t xml:space="preserve">RCE EUCLIDES DA FONSECA </t>
        </is>
      </c>
      <c r="C147" t="n">
        <v>60</v>
      </c>
      <c r="D147" t="inlineStr">
        <is>
          <t>HDD</t>
        </is>
      </c>
      <c r="E147" t="n">
        <v>28.85</v>
      </c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9" t="n"/>
      <c r="AA147" s="4" t="n"/>
      <c r="AB147" s="4" t="n"/>
      <c r="AC147" s="4" t="n"/>
      <c r="AD147" s="4" t="n"/>
      <c r="AE147" s="4" t="n"/>
      <c r="AF147" s="4" t="n"/>
    </row>
    <row r="148">
      <c r="B148" t="inlineStr">
        <is>
          <t xml:space="preserve">RCE EUCLIDES DA FONSECA </t>
        </is>
      </c>
      <c r="C148" t="n">
        <v>60</v>
      </c>
      <c r="D148" t="inlineStr">
        <is>
          <t>VCA</t>
        </is>
      </c>
      <c r="E148" t="n">
        <v>138.24</v>
      </c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9" t="n"/>
      <c r="AA148" s="4" t="n"/>
      <c r="AB148" s="4" t="n"/>
      <c r="AC148" s="4" t="n"/>
      <c r="AD148" s="4" t="n"/>
      <c r="AE148" s="4" t="n"/>
      <c r="AF148" s="4" t="n"/>
    </row>
    <row r="149">
      <c r="B149" t="inlineStr">
        <is>
          <t>RCE SÃO LUCAS</t>
        </is>
      </c>
      <c r="C149" t="n">
        <v>61</v>
      </c>
      <c r="D149" t="inlineStr">
        <is>
          <t>HDD</t>
        </is>
      </c>
      <c r="E149" t="n">
        <v>0</v>
      </c>
      <c r="F149" s="3" t="n">
        <v>0</v>
      </c>
      <c r="I149" t="n">
        <v>94</v>
      </c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9" t="n"/>
      <c r="AA149" s="4" t="n"/>
      <c r="AB149" s="4" t="n"/>
      <c r="AC149" s="4" t="n"/>
      <c r="AD149" s="4" t="n"/>
      <c r="AE149" s="4" t="n"/>
      <c r="AF149" s="4" t="n"/>
    </row>
    <row r="150">
      <c r="B150" t="inlineStr">
        <is>
          <t>RCE SÃO LUCAS</t>
        </is>
      </c>
      <c r="C150" t="n">
        <v>61</v>
      </c>
      <c r="D150" t="inlineStr">
        <is>
          <t>VCA</t>
        </is>
      </c>
      <c r="E150" t="n">
        <v>1799.2</v>
      </c>
      <c r="F150" s="3" t="n">
        <v>1432.2</v>
      </c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>
        <v>888</v>
      </c>
      <c r="Z150" s="9" t="n">
        <v>544.2</v>
      </c>
      <c r="AA150" s="4" t="n"/>
      <c r="AB150" s="4" t="n"/>
      <c r="AC150" s="4" t="n"/>
      <c r="AD150" s="4" t="n"/>
      <c r="AE150" s="4" t="n"/>
      <c r="AF150" s="4" t="n"/>
      <c r="AG150" t="inlineStr">
        <is>
          <t>em andamento</t>
        </is>
      </c>
    </row>
    <row r="151">
      <c r="B151" t="inlineStr">
        <is>
          <t xml:space="preserve">INTERL. CÓRREGO LEGEADO </t>
        </is>
      </c>
      <c r="C151" t="n">
        <v>61</v>
      </c>
      <c r="D151" t="inlineStr">
        <is>
          <t>HDD</t>
        </is>
      </c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9" t="n"/>
      <c r="AA151" s="4" t="n"/>
      <c r="AB151" s="4" t="n"/>
      <c r="AC151" s="4" t="n"/>
      <c r="AD151" s="4" t="n"/>
      <c r="AE151" s="4" t="n"/>
      <c r="AF151" s="4" t="n"/>
    </row>
    <row r="152">
      <c r="B152" t="inlineStr">
        <is>
          <t xml:space="preserve">INTERL. CÓRREGO LEGEADO </t>
        </is>
      </c>
      <c r="C152" t="n">
        <v>61</v>
      </c>
      <c r="D152" t="inlineStr">
        <is>
          <t>VCA</t>
        </is>
      </c>
      <c r="E152" t="n">
        <v>109.8</v>
      </c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9" t="n"/>
      <c r="AA152" s="4" t="n"/>
      <c r="AB152" s="4" t="n"/>
      <c r="AC152" s="4" t="n"/>
      <c r="AD152" s="4" t="n"/>
      <c r="AE152" s="4" t="n"/>
      <c r="AF152" s="4" t="n"/>
    </row>
    <row r="153">
      <c r="B153" t="inlineStr">
        <is>
          <t xml:space="preserve">INTERL. RUA AYRTON SENNA </t>
        </is>
      </c>
      <c r="C153" t="n">
        <v>62</v>
      </c>
      <c r="D153" t="inlineStr">
        <is>
          <t>HDD</t>
        </is>
      </c>
      <c r="I153" t="n">
        <v>32</v>
      </c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9" t="n"/>
      <c r="AA153" s="4" t="n"/>
      <c r="AB153" s="4" t="n"/>
      <c r="AC153" s="4" t="n"/>
      <c r="AD153" s="4" t="n"/>
      <c r="AE153" s="4" t="n"/>
      <c r="AF153" s="4" t="n"/>
    </row>
    <row r="154">
      <c r="B154" t="inlineStr">
        <is>
          <t xml:space="preserve">INTERL. RUA AYRTON SENNA </t>
        </is>
      </c>
      <c r="C154" t="n">
        <v>62</v>
      </c>
      <c r="D154" t="inlineStr">
        <is>
          <t>VCA</t>
        </is>
      </c>
      <c r="E154" t="n">
        <v>59.5</v>
      </c>
      <c r="F154" s="3" t="n">
        <v>68.2</v>
      </c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9" t="n">
        <v>68.2</v>
      </c>
      <c r="AA154" s="4" t="n"/>
      <c r="AB154" s="4" t="n"/>
      <c r="AC154" s="4" t="n"/>
      <c r="AD154" s="4" t="n"/>
      <c r="AE154" s="4" t="n"/>
      <c r="AF154" s="4" t="n"/>
    </row>
    <row r="155">
      <c r="B155" t="inlineStr">
        <is>
          <t xml:space="preserve">RCE TERRA PROMETIDA </t>
        </is>
      </c>
      <c r="C155" t="n">
        <v>63</v>
      </c>
      <c r="D155" t="inlineStr">
        <is>
          <t>HDD</t>
        </is>
      </c>
      <c r="I155" t="n">
        <v>1180</v>
      </c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9" t="n"/>
      <c r="AA155" s="4" t="n"/>
      <c r="AB155" s="4" t="n"/>
      <c r="AC155" s="4" t="n"/>
      <c r="AD155" s="4" t="n"/>
      <c r="AE155" s="4" t="n"/>
      <c r="AF155" s="4" t="n"/>
      <c r="AL155" t="n">
        <v>1746.61</v>
      </c>
    </row>
    <row r="156">
      <c r="B156" t="inlineStr">
        <is>
          <t xml:space="preserve">RCE TERRA PROMETIDA </t>
        </is>
      </c>
      <c r="C156" t="n">
        <v>63</v>
      </c>
      <c r="D156" t="inlineStr">
        <is>
          <t>VCA</t>
        </is>
      </c>
      <c r="E156" t="n">
        <v>382.5</v>
      </c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9" t="n"/>
      <c r="AA156" s="4" t="n"/>
      <c r="AB156" s="4" t="n"/>
      <c r="AC156" s="4" t="n"/>
      <c r="AD156" s="4" t="n"/>
      <c r="AE156" s="4" t="n"/>
      <c r="AF156" s="4" t="n"/>
      <c r="AL156" t="n">
        <v>1471.49</v>
      </c>
    </row>
    <row r="157">
      <c r="B157" t="inlineStr">
        <is>
          <t>REC/ INTERL. AV. RIO MIRAÍ</t>
        </is>
      </c>
      <c r="C157" t="n">
        <v>63</v>
      </c>
      <c r="D157" t="inlineStr">
        <is>
          <t>HDD</t>
        </is>
      </c>
      <c r="E157" t="n">
        <v>418.5</v>
      </c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9" t="n"/>
      <c r="AA157" s="4" t="n"/>
      <c r="AB157" s="4" t="n"/>
      <c r="AC157" s="4" t="n"/>
      <c r="AD157" s="4" t="n"/>
      <c r="AE157" s="4" t="n"/>
      <c r="AF157" s="4" t="n"/>
      <c r="AL157">
        <f>AL155-AL156</f>
        <v/>
      </c>
    </row>
    <row r="158">
      <c r="B158" t="inlineStr">
        <is>
          <t>REC/ INTERL. AV. RIO MIRAÍ</t>
        </is>
      </c>
      <c r="C158" t="n">
        <v>63</v>
      </c>
      <c r="D158" t="inlineStr">
        <is>
          <t>VCA</t>
        </is>
      </c>
      <c r="E158" t="n">
        <v>441.5</v>
      </c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9" t="n"/>
      <c r="AA158" s="4" t="n"/>
      <c r="AB158" s="4" t="n"/>
      <c r="AC158" s="4" t="n"/>
      <c r="AD158" s="4" t="n"/>
      <c r="AE158" s="4" t="n"/>
      <c r="AF158" s="4" t="n"/>
    </row>
    <row r="159">
      <c r="B159" s="3" t="inlineStr">
        <is>
          <t>CTS MAR DE CORAL</t>
        </is>
      </c>
      <c r="C159" t="n">
        <v>64</v>
      </c>
      <c r="D159" t="inlineStr">
        <is>
          <t>HDD</t>
        </is>
      </c>
      <c r="E159" t="n">
        <v>240.4</v>
      </c>
      <c r="F159" s="3" t="n">
        <v>766.044</v>
      </c>
      <c r="G159" t="n">
        <v>18</v>
      </c>
      <c r="H159" t="n">
        <v>61.47</v>
      </c>
      <c r="I159" t="n">
        <v>1989</v>
      </c>
      <c r="J159" t="n">
        <v>1901</v>
      </c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>
        <f>528.5-68.36+91.707</f>
        <v/>
      </c>
      <c r="V159" s="4">
        <f>52.4-0.15+91.707</f>
        <v/>
      </c>
      <c r="W159" s="4" t="n"/>
      <c r="X159" s="4" t="n">
        <v>70.23999999999999</v>
      </c>
      <c r="Y159" s="4" t="n"/>
      <c r="Z159" s="9" t="n"/>
      <c r="AA159" s="4" t="n"/>
      <c r="AB159" s="4" t="n"/>
      <c r="AC159" s="4" t="n"/>
      <c r="AD159" s="4" t="n"/>
      <c r="AE159" s="4" t="n"/>
      <c r="AF159" s="4" t="n"/>
      <c r="AG159" t="inlineStr">
        <is>
          <t>concuido</t>
        </is>
      </c>
    </row>
    <row r="160">
      <c r="B160" s="3" t="inlineStr">
        <is>
          <t>CTS MAR DE CORAL</t>
        </is>
      </c>
      <c r="C160" t="n">
        <v>64</v>
      </c>
      <c r="D160" t="inlineStr">
        <is>
          <t>VCA</t>
        </is>
      </c>
      <c r="E160" t="n">
        <v>976.24</v>
      </c>
      <c r="F160" s="3" t="n">
        <v>162.15</v>
      </c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>
        <v>42.7</v>
      </c>
      <c r="V160" s="4" t="n"/>
      <c r="W160" s="4" t="n">
        <v>39.8</v>
      </c>
      <c r="X160" s="4" t="n">
        <v>8.81</v>
      </c>
      <c r="Y160" s="4" t="n">
        <v>70.84</v>
      </c>
      <c r="Z160" s="9" t="n"/>
      <c r="AA160" s="4" t="n"/>
      <c r="AB160" s="4" t="n"/>
      <c r="AC160" s="4" t="n"/>
      <c r="AD160" s="4" t="n"/>
      <c r="AE160" s="4" t="n"/>
      <c r="AF160" s="4" t="n"/>
      <c r="AG160" t="inlineStr">
        <is>
          <t>concuido</t>
        </is>
      </c>
      <c r="AL160">
        <f>AL157/3</f>
        <v/>
      </c>
    </row>
    <row r="161">
      <c r="B161" s="3" t="inlineStr">
        <is>
          <t>CTS MAR DE CORAL</t>
        </is>
      </c>
      <c r="C161" t="n">
        <v>65</v>
      </c>
      <c r="D161" t="inlineStr">
        <is>
          <t>HDD</t>
        </is>
      </c>
      <c r="E161" t="n">
        <v>286</v>
      </c>
      <c r="F161" s="3" t="n">
        <v>466.407</v>
      </c>
      <c r="G161" t="n">
        <v>8</v>
      </c>
      <c r="H161" t="n">
        <v>28.55</v>
      </c>
      <c r="I161" t="n">
        <v>574</v>
      </c>
      <c r="J161" t="n">
        <v>822</v>
      </c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>
        <f>67.2+51</f>
        <v/>
      </c>
      <c r="V161" s="4">
        <f>256.5+91.707</f>
        <v/>
      </c>
      <c r="W161" s="4" t="n"/>
      <c r="X161" s="4" t="n"/>
      <c r="Y161" s="4" t="n"/>
      <c r="Z161" s="9" t="n"/>
      <c r="AA161" s="4" t="n"/>
      <c r="AB161" s="4" t="n"/>
      <c r="AC161" s="4" t="n"/>
      <c r="AD161" s="4" t="n"/>
      <c r="AE161" s="4" t="n"/>
      <c r="AF161" s="4" t="n"/>
      <c r="AG161" t="inlineStr">
        <is>
          <t>concuido</t>
        </is>
      </c>
    </row>
    <row r="162">
      <c r="B162" s="3" t="inlineStr">
        <is>
          <t>CTS MAR DE CORAL</t>
        </is>
      </c>
      <c r="C162" t="n">
        <v>65</v>
      </c>
      <c r="D162" t="inlineStr">
        <is>
          <t>VCA</t>
        </is>
      </c>
      <c r="E162" t="n">
        <v>566.3</v>
      </c>
      <c r="F162" s="3" t="n">
        <v>142.61</v>
      </c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>
        <v>65.59999999999999</v>
      </c>
      <c r="X162" s="4" t="n"/>
      <c r="Y162" s="4">
        <f>14.84+38.87+23.3</f>
        <v/>
      </c>
      <c r="Z162" s="9" t="n"/>
      <c r="AA162" s="4" t="n"/>
      <c r="AB162" s="4" t="n"/>
      <c r="AC162" s="4" t="n"/>
      <c r="AD162" s="4" t="n"/>
      <c r="AE162" s="4" t="n"/>
      <c r="AF162" s="4" t="n"/>
      <c r="AG162" t="inlineStr">
        <is>
          <t>concuido</t>
        </is>
      </c>
    </row>
    <row r="163">
      <c r="B163" s="3" t="inlineStr">
        <is>
          <t>CTS MAR DE CORAL</t>
        </is>
      </c>
      <c r="C163" t="n">
        <v>66</v>
      </c>
      <c r="D163" t="inlineStr">
        <is>
          <t>HDD</t>
        </is>
      </c>
      <c r="F163" s="3" t="n">
        <v>207.4</v>
      </c>
      <c r="G163" t="n">
        <v>7</v>
      </c>
      <c r="H163" t="n">
        <v>21.76</v>
      </c>
      <c r="I163" t="n">
        <v>597</v>
      </c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>
        <v>207.4</v>
      </c>
      <c r="W163" s="4" t="n"/>
      <c r="X163" s="4" t="n"/>
      <c r="Y163" s="4" t="n"/>
      <c r="Z163" s="9" t="n"/>
      <c r="AA163" s="4" t="n"/>
      <c r="AB163" s="4" t="n"/>
      <c r="AC163" s="4" t="n"/>
      <c r="AD163" s="4" t="n"/>
      <c r="AE163" s="4" t="n"/>
      <c r="AF163" s="4" t="n"/>
      <c r="AG163" t="inlineStr">
        <is>
          <t>concuido</t>
        </is>
      </c>
    </row>
    <row r="164">
      <c r="B164" s="3" t="inlineStr">
        <is>
          <t>CTS MAR DE CORAL</t>
        </is>
      </c>
      <c r="C164" t="n">
        <v>66</v>
      </c>
      <c r="D164" t="inlineStr">
        <is>
          <t>VCA</t>
        </is>
      </c>
      <c r="E164" t="n">
        <v>116.6</v>
      </c>
      <c r="F164" s="3" t="n">
        <v>2</v>
      </c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>
        <v>2</v>
      </c>
      <c r="X164" s="4" t="n"/>
      <c r="Y164" s="4" t="n"/>
      <c r="Z164" s="9" t="n"/>
      <c r="AA164" s="4" t="n"/>
      <c r="AB164" s="4" t="n"/>
      <c r="AC164" s="4" t="n"/>
      <c r="AD164" s="4" t="n"/>
      <c r="AE164" s="4" t="n"/>
      <c r="AF164" s="4" t="n"/>
      <c r="AG164" t="inlineStr">
        <is>
          <t>concuido</t>
        </is>
      </c>
    </row>
    <row r="165">
      <c r="B165" t="inlineStr">
        <is>
          <t xml:space="preserve">REC JD. SÃO MARTINHO </t>
        </is>
      </c>
      <c r="C165" t="n">
        <v>67</v>
      </c>
      <c r="D165" t="inlineStr">
        <is>
          <t>HDD</t>
        </is>
      </c>
      <c r="E165" t="n">
        <v>772.0700000000001</v>
      </c>
      <c r="I165" t="n">
        <v>785</v>
      </c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9" t="n"/>
      <c r="AA165" s="4" t="n"/>
      <c r="AB165" s="4" t="n"/>
      <c r="AC165" s="4" t="n"/>
      <c r="AD165" s="4" t="n"/>
      <c r="AE165" s="4" t="n"/>
      <c r="AF165" s="4" t="n"/>
    </row>
    <row r="166">
      <c r="B166" t="inlineStr">
        <is>
          <t xml:space="preserve">REC JD. SÃO MARTINHO </t>
        </is>
      </c>
      <c r="C166" t="n">
        <v>67</v>
      </c>
      <c r="D166" t="inlineStr">
        <is>
          <t>VCA</t>
        </is>
      </c>
      <c r="E166" t="n">
        <v>894.97</v>
      </c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9" t="n"/>
      <c r="AA166" s="4" t="n"/>
      <c r="AB166" s="4" t="n"/>
      <c r="AC166" s="4" t="n"/>
      <c r="AD166" s="4" t="n"/>
      <c r="AE166" s="4" t="n"/>
      <c r="AF166" s="4" t="n"/>
    </row>
    <row r="167">
      <c r="B167" t="inlineStr">
        <is>
          <t xml:space="preserve">RCE BORBOLETA AMARELA </t>
        </is>
      </c>
      <c r="C167" t="n">
        <v>68</v>
      </c>
      <c r="D167" t="inlineStr">
        <is>
          <t>HDD</t>
        </is>
      </c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9" t="n"/>
      <c r="AA167" s="4" t="n"/>
      <c r="AB167" s="4" t="n"/>
      <c r="AC167" s="4" t="n"/>
      <c r="AD167" s="4" t="n"/>
      <c r="AE167" s="4" t="n"/>
      <c r="AF167" s="4" t="n"/>
    </row>
    <row r="168">
      <c r="B168" t="inlineStr">
        <is>
          <t xml:space="preserve">RCE BORBOLETA AMARELA </t>
        </is>
      </c>
      <c r="C168" t="n">
        <v>68</v>
      </c>
      <c r="D168" t="inlineStr">
        <is>
          <t>VCA</t>
        </is>
      </c>
      <c r="E168" t="n">
        <v>747</v>
      </c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9" t="n"/>
      <c r="AA168" s="4" t="n"/>
      <c r="AB168" s="4" t="n"/>
      <c r="AC168" s="4" t="n"/>
      <c r="AD168" s="4" t="n"/>
      <c r="AE168" s="4" t="n"/>
      <c r="AF168" s="4" t="n"/>
    </row>
    <row r="169">
      <c r="B169" s="3" t="inlineStr">
        <is>
          <t xml:space="preserve">CTS LUIZ BOTELHO MOURÃO </t>
        </is>
      </c>
      <c r="C169" t="n">
        <v>69</v>
      </c>
      <c r="D169" t="inlineStr">
        <is>
          <t>HDD</t>
        </is>
      </c>
      <c r="E169" t="n">
        <v>205.65</v>
      </c>
      <c r="F169" s="3" t="n">
        <v>76.40000000000001</v>
      </c>
      <c r="I169" t="n">
        <v>288</v>
      </c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>
        <v>76.40000000000001</v>
      </c>
      <c r="Y169" s="4" t="n"/>
      <c r="Z169" s="9" t="n"/>
      <c r="AA169" s="4" t="n"/>
      <c r="AB169" s="4" t="n"/>
      <c r="AC169" s="4" t="n"/>
      <c r="AD169" s="4" t="n"/>
      <c r="AE169" s="4" t="n"/>
      <c r="AF169" s="4" t="n"/>
      <c r="AG169" t="inlineStr">
        <is>
          <t>concluido</t>
        </is>
      </c>
    </row>
    <row r="170">
      <c r="B170" s="3" t="inlineStr">
        <is>
          <t xml:space="preserve">CTS LUIZ BOTELHO MOURÃO </t>
        </is>
      </c>
      <c r="C170" t="n">
        <v>69</v>
      </c>
      <c r="D170" t="inlineStr">
        <is>
          <t>VCA</t>
        </is>
      </c>
      <c r="E170" t="n">
        <v>59.6</v>
      </c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9" t="n"/>
      <c r="AA170" s="4" t="n"/>
      <c r="AB170" s="4" t="n"/>
      <c r="AC170" s="4" t="n"/>
      <c r="AD170" s="4" t="n"/>
      <c r="AE170" s="4" t="n"/>
      <c r="AF170" s="4" t="n"/>
      <c r="AG170" t="inlineStr">
        <is>
          <t>concluido</t>
        </is>
      </c>
    </row>
    <row r="171">
      <c r="B171" s="3" t="inlineStr">
        <is>
          <t xml:space="preserve">CTS LUIZ BOTELHO MOURÃO </t>
        </is>
      </c>
      <c r="C171" t="n">
        <v>70</v>
      </c>
      <c r="D171" t="inlineStr">
        <is>
          <t>HDD</t>
        </is>
      </c>
      <c r="E171" t="n">
        <v>62.5</v>
      </c>
      <c r="F171" s="3" t="n">
        <v>344.13</v>
      </c>
      <c r="I171" t="n">
        <v>415</v>
      </c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>
        <v>81.8</v>
      </c>
      <c r="X171" s="4">
        <f>42+158.17+61.95+0.21</f>
        <v/>
      </c>
      <c r="Y171" s="4" t="n"/>
      <c r="Z171" s="9" t="n"/>
      <c r="AA171" s="4" t="n"/>
      <c r="AB171" s="4" t="n"/>
      <c r="AC171" s="4" t="n"/>
      <c r="AD171" s="4" t="n"/>
      <c r="AE171" s="4" t="n"/>
      <c r="AF171" s="4" t="n"/>
      <c r="AG171" t="inlineStr">
        <is>
          <t>concluido</t>
        </is>
      </c>
    </row>
    <row r="172">
      <c r="B172" s="3" t="inlineStr">
        <is>
          <t xml:space="preserve">CTS LUIZ BOTELHO MOURÃO </t>
        </is>
      </c>
      <c r="C172" t="n">
        <v>70</v>
      </c>
      <c r="D172" t="inlineStr">
        <is>
          <t>VCA</t>
        </is>
      </c>
      <c r="E172" t="n">
        <v>63</v>
      </c>
      <c r="F172" s="3" t="n">
        <v>47.56</v>
      </c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>
        <v>47.56</v>
      </c>
      <c r="Y172" s="4" t="n"/>
      <c r="Z172" s="9" t="n"/>
      <c r="AA172" s="4" t="n"/>
      <c r="AB172" s="4" t="n"/>
      <c r="AC172" s="4" t="n"/>
      <c r="AD172" s="4" t="n"/>
      <c r="AE172" s="4" t="n"/>
      <c r="AF172" s="4" t="n"/>
      <c r="AG172" t="inlineStr">
        <is>
          <t>concluido</t>
        </is>
      </c>
    </row>
    <row r="173">
      <c r="B173" t="inlineStr">
        <is>
          <t xml:space="preserve">RCE RUA ALTO JURUÁ </t>
        </is>
      </c>
      <c r="C173" t="n">
        <v>71</v>
      </c>
      <c r="D173" t="inlineStr">
        <is>
          <t>HDD</t>
        </is>
      </c>
      <c r="E173" t="n">
        <v>217</v>
      </c>
      <c r="I173" t="n">
        <v>141</v>
      </c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9" t="n"/>
      <c r="AA173" s="4" t="n"/>
      <c r="AB173" s="4" t="n"/>
      <c r="AC173" s="4" t="n"/>
      <c r="AD173" s="4" t="n"/>
      <c r="AE173" s="4" t="n"/>
      <c r="AF173" s="4" t="n"/>
    </row>
    <row r="174">
      <c r="B174" t="inlineStr">
        <is>
          <t xml:space="preserve">RCE RUA ALTO JURUÁ </t>
        </is>
      </c>
      <c r="C174" t="n">
        <v>71</v>
      </c>
      <c r="D174" t="inlineStr">
        <is>
          <t>VCA</t>
        </is>
      </c>
      <c r="E174" t="n">
        <v>28</v>
      </c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9" t="n"/>
      <c r="AA174" s="4" t="n"/>
      <c r="AB174" s="4" t="n"/>
      <c r="AC174" s="4" t="n"/>
      <c r="AD174" s="4" t="n"/>
      <c r="AE174" s="4" t="n"/>
      <c r="AF174" s="4" t="n"/>
    </row>
    <row r="175">
      <c r="B175" t="inlineStr">
        <is>
          <t>RCE AV. DOM JOÃO NERY</t>
        </is>
      </c>
      <c r="C175" t="n">
        <v>71</v>
      </c>
      <c r="D175" t="inlineStr">
        <is>
          <t>HDD</t>
        </is>
      </c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9" t="n"/>
      <c r="AA175" s="4" t="n"/>
      <c r="AB175" s="4" t="n"/>
      <c r="AC175" s="4" t="n"/>
      <c r="AD175" s="4" t="n"/>
      <c r="AE175" s="4" t="n"/>
      <c r="AF175" s="4" t="n"/>
    </row>
    <row r="176">
      <c r="B176" t="inlineStr">
        <is>
          <t>RCE AV. DOM JOÃO NERY</t>
        </is>
      </c>
      <c r="C176" t="n">
        <v>71</v>
      </c>
      <c r="D176" t="inlineStr">
        <is>
          <t>VCA</t>
        </is>
      </c>
      <c r="E176" t="n">
        <v>125</v>
      </c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9" t="n"/>
      <c r="AA176" s="4" t="n"/>
      <c r="AB176" s="4" t="n"/>
      <c r="AC176" s="4" t="n"/>
      <c r="AD176" s="4" t="n"/>
      <c r="AE176" s="4" t="n"/>
      <c r="AF176" s="4" t="n"/>
    </row>
    <row r="177">
      <c r="B177" t="inlineStr">
        <is>
          <t xml:space="preserve">INTERL. RUA JOÃO LIMA DA SILVA </t>
        </is>
      </c>
      <c r="C177" t="n">
        <v>73</v>
      </c>
      <c r="D177" t="inlineStr">
        <is>
          <t>HDD</t>
        </is>
      </c>
      <c r="E177" t="n">
        <v>131.3</v>
      </c>
      <c r="I177" t="n">
        <v>134</v>
      </c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9" t="n"/>
      <c r="AA177" s="4" t="n"/>
      <c r="AB177" s="4" t="n"/>
      <c r="AC177" s="4" t="n"/>
      <c r="AD177" s="4" t="n"/>
      <c r="AE177" s="4" t="n"/>
      <c r="AF177" s="4" t="n"/>
    </row>
    <row r="178">
      <c r="B178" t="inlineStr">
        <is>
          <t xml:space="preserve">INTERL. RUA JOÃO LIMA DA SILVA </t>
        </is>
      </c>
      <c r="C178" t="n">
        <v>73</v>
      </c>
      <c r="D178" t="inlineStr">
        <is>
          <t>VCA</t>
        </is>
      </c>
      <c r="E178" t="n">
        <v>15.2</v>
      </c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9" t="n"/>
      <c r="AA178" s="4" t="n"/>
      <c r="AB178" s="4" t="n"/>
      <c r="AC178" s="4" t="n"/>
      <c r="AD178" s="4" t="n"/>
      <c r="AE178" s="4" t="n"/>
      <c r="AF178" s="4" t="n"/>
    </row>
    <row r="179">
      <c r="B179" t="inlineStr">
        <is>
          <t>RCE  JD.HELOISA</t>
        </is>
      </c>
      <c r="C179" t="n">
        <v>74</v>
      </c>
      <c r="D179" t="inlineStr">
        <is>
          <t>HDD</t>
        </is>
      </c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9" t="n"/>
      <c r="AA179" s="4" t="n"/>
      <c r="AB179" s="4" t="n"/>
      <c r="AC179" s="4" t="n"/>
      <c r="AD179" s="4" t="n"/>
      <c r="AE179" s="4" t="n"/>
      <c r="AF179" s="4" t="n"/>
    </row>
    <row r="180">
      <c r="B180" t="inlineStr">
        <is>
          <t>RCE  JD.HELOISA</t>
        </is>
      </c>
      <c r="C180" t="n">
        <v>74</v>
      </c>
      <c r="D180" t="inlineStr">
        <is>
          <t>VCA</t>
        </is>
      </c>
      <c r="E180" t="n">
        <v>1021.03</v>
      </c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9" t="n"/>
      <c r="AA180" s="4" t="n"/>
      <c r="AB180" s="4" t="n"/>
      <c r="AC180" s="4" t="n"/>
      <c r="AD180" s="4" t="n"/>
      <c r="AE180" s="4" t="n"/>
      <c r="AF180" s="4" t="n"/>
    </row>
    <row r="181">
      <c r="B181" s="3" t="inlineStr">
        <is>
          <t xml:space="preserve">INTERL. RUA ÁGUA BOA E JOSÉ ELIAS </t>
        </is>
      </c>
      <c r="C181" t="n">
        <v>74</v>
      </c>
      <c r="D181" t="inlineStr">
        <is>
          <t>HDD</t>
        </is>
      </c>
      <c r="E181" t="n">
        <v>341.2</v>
      </c>
      <c r="F181" s="3" t="n">
        <v>145.88</v>
      </c>
      <c r="I181" t="n">
        <v>37</v>
      </c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>
        <v>78.18000000000001</v>
      </c>
      <c r="X181" s="4">
        <f>18.75+12+36.95</f>
        <v/>
      </c>
      <c r="Y181" s="4" t="n"/>
      <c r="Z181" s="9" t="n"/>
      <c r="AA181" s="4" t="n"/>
      <c r="AB181" s="4" t="n"/>
      <c r="AC181" s="4" t="n"/>
      <c r="AD181" s="4" t="n"/>
      <c r="AE181" s="4" t="n"/>
      <c r="AF181" s="4" t="n"/>
      <c r="AG181" t="inlineStr">
        <is>
          <t>concluido</t>
        </is>
      </c>
    </row>
    <row r="182">
      <c r="B182" s="3" t="inlineStr">
        <is>
          <t xml:space="preserve">INTERL. RUA ÁGUA BOA E JOSÉ ELIAS </t>
        </is>
      </c>
      <c r="C182" t="n">
        <v>74</v>
      </c>
      <c r="D182" t="inlineStr">
        <is>
          <t>VCA</t>
        </is>
      </c>
      <c r="E182" t="n">
        <v>83.8</v>
      </c>
      <c r="F182" s="3" t="n">
        <v>55.83</v>
      </c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>
        <f>34.75+6.11+14.97</f>
        <v/>
      </c>
      <c r="Y182" s="4" t="n"/>
      <c r="Z182" s="9" t="n"/>
      <c r="AA182" s="4" t="n"/>
      <c r="AB182" s="4" t="n"/>
      <c r="AC182" s="4" t="n"/>
      <c r="AD182" s="4" t="n"/>
      <c r="AE182" s="4" t="n"/>
      <c r="AF182" s="4" t="n"/>
      <c r="AG182" t="inlineStr">
        <is>
          <t>concluido</t>
        </is>
      </c>
    </row>
    <row r="183">
      <c r="B183" t="inlineStr">
        <is>
          <t xml:space="preserve">RCE COMUNIDADE JD. UNIÃO </t>
        </is>
      </c>
      <c r="C183" t="n">
        <v>75</v>
      </c>
      <c r="D183" t="inlineStr">
        <is>
          <t>HDD</t>
        </is>
      </c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9" t="n"/>
      <c r="AA183" s="4" t="n"/>
      <c r="AB183" s="4" t="n"/>
      <c r="AC183" s="4" t="n"/>
      <c r="AD183" s="4" t="n"/>
      <c r="AE183" s="4" t="n"/>
      <c r="AF183" s="4" t="n"/>
      <c r="AG183" t="inlineStr">
        <is>
          <t>em andamento</t>
        </is>
      </c>
    </row>
    <row r="184">
      <c r="B184" t="inlineStr">
        <is>
          <t xml:space="preserve">RCE COMUNIDADE JD. UNIÃO </t>
        </is>
      </c>
      <c r="C184" t="n">
        <v>75</v>
      </c>
      <c r="D184" t="inlineStr">
        <is>
          <t>VCA</t>
        </is>
      </c>
      <c r="E184" t="n">
        <v>226.5</v>
      </c>
      <c r="F184" s="3" t="n">
        <v>100.7</v>
      </c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9" t="n">
        <v>100.7</v>
      </c>
      <c r="AA184" s="4" t="n"/>
      <c r="AB184" s="4" t="n"/>
      <c r="AC184" s="4" t="n"/>
      <c r="AD184" s="4" t="n"/>
      <c r="AE184" s="4" t="n"/>
      <c r="AF184" s="4" t="n"/>
    </row>
    <row r="185">
      <c r="B185" t="inlineStr">
        <is>
          <t xml:space="preserve">RCE TRAV. DOS JESUITAS </t>
        </is>
      </c>
      <c r="C185" t="n">
        <v>75</v>
      </c>
      <c r="D185" t="inlineStr">
        <is>
          <t>HDD</t>
        </is>
      </c>
      <c r="E185" t="n">
        <v>375</v>
      </c>
      <c r="I185" t="n">
        <v>87</v>
      </c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9" t="n"/>
      <c r="AA185" s="4" t="n"/>
      <c r="AB185" s="4" t="n"/>
      <c r="AC185" s="4" t="n"/>
      <c r="AD185" s="4" t="n"/>
      <c r="AE185" s="4" t="n"/>
      <c r="AF185" s="4" t="n"/>
    </row>
    <row r="186">
      <c r="B186" t="inlineStr">
        <is>
          <t xml:space="preserve">RCE TRAV. DOS JESUITAS </t>
        </is>
      </c>
      <c r="C186" t="n">
        <v>75</v>
      </c>
      <c r="D186" t="inlineStr">
        <is>
          <t>VCA</t>
        </is>
      </c>
      <c r="E186" t="n">
        <v>244.5</v>
      </c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9" t="n"/>
      <c r="AA186" s="4" t="n"/>
      <c r="AB186" s="4" t="n"/>
      <c r="AC186" s="4" t="n"/>
      <c r="AD186" s="4" t="n"/>
      <c r="AE186" s="4" t="n"/>
      <c r="AF186" s="4" t="n"/>
    </row>
    <row r="187">
      <c r="B187" t="inlineStr">
        <is>
          <t>RCE COMPLEMENTAR RUA ELIAS SLEIMAN</t>
        </is>
      </c>
      <c r="C187" t="n">
        <v>75</v>
      </c>
      <c r="D187" t="inlineStr">
        <is>
          <t>HDD</t>
        </is>
      </c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9" t="n"/>
      <c r="AA187" s="4" t="n"/>
      <c r="AB187" s="4" t="n"/>
      <c r="AC187" s="4" t="n"/>
      <c r="AD187" s="4" t="n"/>
      <c r="AE187" s="4" t="n"/>
      <c r="AF187" s="4" t="n"/>
      <c r="AG187" t="inlineStr">
        <is>
          <t>em andamento</t>
        </is>
      </c>
    </row>
    <row r="188">
      <c r="B188" t="inlineStr">
        <is>
          <t>RCE COMPLEMENTAR RUA ELIAS SLEIMAN</t>
        </is>
      </c>
      <c r="C188" t="n">
        <v>75</v>
      </c>
      <c r="D188" t="inlineStr">
        <is>
          <t>VCA</t>
        </is>
      </c>
      <c r="E188" t="n">
        <v>338.5</v>
      </c>
      <c r="F188" s="3" t="n">
        <v>377.8</v>
      </c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9" t="n">
        <v>377.8</v>
      </c>
      <c r="AA188" s="4" t="n"/>
      <c r="AB188" s="4" t="n"/>
      <c r="AC188" s="4" t="n"/>
      <c r="AD188" s="4" t="n"/>
      <c r="AE188" s="4" t="n"/>
      <c r="AF188" s="4" t="n"/>
      <c r="AG188" t="inlineStr">
        <is>
          <t>em andamento</t>
        </is>
      </c>
    </row>
    <row r="189">
      <c r="B189" t="inlineStr">
        <is>
          <t>RCE AV. PRESIDENTE TANCREDO DE A. NEVES</t>
        </is>
      </c>
      <c r="C189" t="n">
        <v>75</v>
      </c>
      <c r="D189" t="inlineStr">
        <is>
          <t>HDD</t>
        </is>
      </c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9" t="n"/>
      <c r="AA189" s="4" t="n"/>
      <c r="AB189" s="4" t="n"/>
      <c r="AC189" s="4" t="n"/>
      <c r="AD189" s="4" t="n"/>
      <c r="AE189" s="4" t="n"/>
      <c r="AF189" s="4" t="n"/>
    </row>
    <row r="190">
      <c r="B190" t="inlineStr">
        <is>
          <t>RCE AV. PRESIDENTE TANCREDO DE A. NEVES</t>
        </is>
      </c>
      <c r="C190" t="n">
        <v>75</v>
      </c>
      <c r="D190" t="inlineStr">
        <is>
          <t>VCA</t>
        </is>
      </c>
      <c r="E190" t="n">
        <v>238</v>
      </c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9" t="n"/>
      <c r="AA190" s="4" t="n"/>
      <c r="AB190" s="4" t="n"/>
      <c r="AC190" s="4" t="n"/>
      <c r="AD190" s="4" t="n"/>
      <c r="AE190" s="4" t="n"/>
      <c r="AF190" s="4" t="n"/>
    </row>
    <row r="191">
      <c r="B191" t="inlineStr">
        <is>
          <t>RCE AV. PRESIDENTE TANCREDO DE A. NEVES 1</t>
        </is>
      </c>
      <c r="C191" t="n">
        <v>75</v>
      </c>
      <c r="D191" t="inlineStr">
        <is>
          <t>HDD</t>
        </is>
      </c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9" t="n"/>
      <c r="AA191" s="4" t="n"/>
      <c r="AB191" s="4" t="n"/>
      <c r="AC191" s="4" t="n"/>
      <c r="AD191" s="4" t="n"/>
      <c r="AE191" s="4" t="n"/>
      <c r="AF191" s="4" t="n"/>
    </row>
    <row r="192">
      <c r="B192" t="inlineStr">
        <is>
          <t>RCE AV. PRESIDENTE TANCREDO DE A. NEVES 1</t>
        </is>
      </c>
      <c r="C192" t="n">
        <v>75</v>
      </c>
      <c r="D192" t="inlineStr">
        <is>
          <t>VCA</t>
        </is>
      </c>
      <c r="E192" t="n">
        <v>69</v>
      </c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9" t="n"/>
      <c r="AA192" s="4" t="n"/>
      <c r="AB192" s="4" t="n"/>
      <c r="AC192" s="4" t="n"/>
      <c r="AD192" s="4" t="n"/>
      <c r="AE192" s="4" t="n"/>
      <c r="AF192" s="4" t="n"/>
    </row>
    <row r="193">
      <c r="B193" t="inlineStr">
        <is>
          <t>RCE AV. PRESIDENTE TANCREDO DE A. NEVES 2</t>
        </is>
      </c>
      <c r="C193" t="n">
        <v>75</v>
      </c>
      <c r="D193" t="inlineStr">
        <is>
          <t>HDD</t>
        </is>
      </c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9" t="n"/>
      <c r="AA193" s="4" t="n"/>
      <c r="AB193" s="4" t="n"/>
      <c r="AC193" s="4" t="n"/>
      <c r="AD193" s="4" t="n"/>
      <c r="AE193" s="4" t="n"/>
      <c r="AF193" s="4" t="n"/>
    </row>
    <row r="194">
      <c r="B194" t="inlineStr">
        <is>
          <t>RCE AV. PRESIDENTE TANCREDO DE A. NEVES 2</t>
        </is>
      </c>
      <c r="C194" t="n">
        <v>75</v>
      </c>
      <c r="D194" t="inlineStr">
        <is>
          <t>VCA</t>
        </is>
      </c>
      <c r="E194" t="n">
        <v>140</v>
      </c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9" t="n"/>
      <c r="AA194" s="4" t="n"/>
      <c r="AB194" s="4" t="n"/>
      <c r="AC194" s="4" t="n"/>
      <c r="AD194" s="4" t="n"/>
      <c r="AE194" s="4" t="n"/>
      <c r="AF194" s="4" t="n"/>
    </row>
    <row r="195">
      <c r="B195" t="inlineStr">
        <is>
          <t>CTS JOÃO CANZI</t>
        </is>
      </c>
      <c r="C195" t="n">
        <v>75</v>
      </c>
      <c r="D195" t="inlineStr">
        <is>
          <t>HDD</t>
        </is>
      </c>
      <c r="F195" s="3" t="n">
        <v>880.941</v>
      </c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>
        <f>592.21-43.66</f>
        <v/>
      </c>
      <c r="Z195" s="9">
        <f>64.57+79.57+66.725+63.68+57.846</f>
        <v/>
      </c>
      <c r="AA195" s="4" t="n"/>
      <c r="AB195" s="4" t="n"/>
      <c r="AC195" s="4" t="n"/>
      <c r="AD195" s="4" t="n"/>
      <c r="AE195" s="4" t="n"/>
      <c r="AF195" s="4" t="n"/>
      <c r="AG195" t="inlineStr">
        <is>
          <t>em andamento</t>
        </is>
      </c>
    </row>
    <row r="196">
      <c r="B196" t="inlineStr">
        <is>
          <t>CTS JOÃO CANZI</t>
        </is>
      </c>
      <c r="C196" t="n">
        <v>75</v>
      </c>
      <c r="D196" t="inlineStr">
        <is>
          <t>VCA</t>
        </is>
      </c>
      <c r="E196" t="n">
        <v>858.5</v>
      </c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9" t="n"/>
      <c r="AA196" s="4" t="n"/>
      <c r="AB196" s="4" t="n"/>
      <c r="AC196" s="4" t="n"/>
      <c r="AD196" s="4" t="n"/>
      <c r="AE196" s="4" t="n"/>
      <c r="AF196" s="4" t="n"/>
      <c r="AG196" t="inlineStr">
        <is>
          <t>em andamento</t>
        </is>
      </c>
    </row>
    <row r="197">
      <c r="B197" t="inlineStr">
        <is>
          <t>RCE JOÃO CANZI</t>
        </is>
      </c>
      <c r="C197" t="n">
        <v>75</v>
      </c>
      <c r="D197" t="inlineStr">
        <is>
          <t>HDD</t>
        </is>
      </c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9" t="n"/>
      <c r="AA197" s="4" t="n"/>
      <c r="AB197" s="4" t="n"/>
      <c r="AC197" s="4" t="n"/>
      <c r="AD197" s="4" t="n"/>
      <c r="AE197" s="4" t="n"/>
      <c r="AF197" s="4" t="n"/>
      <c r="AG197" t="inlineStr">
        <is>
          <t>em andamento</t>
        </is>
      </c>
    </row>
    <row r="198">
      <c r="B198" t="inlineStr">
        <is>
          <t>RCE JOÃO CANZI</t>
        </is>
      </c>
      <c r="C198" t="n">
        <v>75</v>
      </c>
      <c r="D198" t="inlineStr">
        <is>
          <t>VCA</t>
        </is>
      </c>
      <c r="E198" t="n">
        <v>168</v>
      </c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9" t="n"/>
      <c r="AA198" s="4" t="n"/>
      <c r="AB198" s="4" t="n"/>
      <c r="AC198" s="4" t="n"/>
      <c r="AD198" s="4" t="n"/>
      <c r="AE198" s="4" t="n"/>
      <c r="AF198" s="4" t="n"/>
      <c r="AG198" t="inlineStr">
        <is>
          <t>em andamento</t>
        </is>
      </c>
    </row>
    <row r="199">
      <c r="B199" t="inlineStr">
        <is>
          <t>RCE ELVIRA DE ARAUJO</t>
        </is>
      </c>
      <c r="C199" t="n">
        <v>75</v>
      </c>
      <c r="D199" t="inlineStr">
        <is>
          <t>HDD</t>
        </is>
      </c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9" t="n"/>
      <c r="AA199" s="4" t="n"/>
      <c r="AB199" s="4" t="n"/>
      <c r="AC199" s="4" t="n"/>
      <c r="AD199" s="4" t="n"/>
      <c r="AE199" s="4" t="n"/>
      <c r="AF199" s="4" t="n"/>
      <c r="AG199" t="inlineStr">
        <is>
          <t>em andamento</t>
        </is>
      </c>
    </row>
    <row r="200">
      <c r="B200" t="inlineStr">
        <is>
          <t>RCE ELVIRA DE ARAUJO</t>
        </is>
      </c>
      <c r="C200" t="n">
        <v>75</v>
      </c>
      <c r="D200" t="inlineStr">
        <is>
          <t>VCA</t>
        </is>
      </c>
      <c r="E200" t="n">
        <v>180</v>
      </c>
      <c r="F200" s="3" t="n">
        <v>160.86</v>
      </c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>
        <v>43.66</v>
      </c>
      <c r="Z200" s="9" t="n">
        <v>198.8</v>
      </c>
      <c r="AA200" s="4" t="n"/>
      <c r="AB200" s="4" t="n"/>
      <c r="AC200" s="4" t="n"/>
      <c r="AD200" s="4" t="n"/>
      <c r="AE200" s="4" t="n"/>
      <c r="AF200" s="4" t="n"/>
      <c r="AG200" t="inlineStr">
        <is>
          <t>em andamento</t>
        </is>
      </c>
    </row>
    <row r="201">
      <c r="B201" t="inlineStr">
        <is>
          <t xml:space="preserve">RCE RUA JOSÉ MILITÃO </t>
        </is>
      </c>
      <c r="C201" t="n">
        <v>76</v>
      </c>
      <c r="D201" t="inlineStr">
        <is>
          <t>HDD</t>
        </is>
      </c>
      <c r="I201" t="n">
        <v>182</v>
      </c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9" t="n"/>
      <c r="AA201" s="4" t="n"/>
      <c r="AB201" s="4" t="n"/>
      <c r="AC201" s="4" t="n"/>
      <c r="AD201" s="4" t="n"/>
      <c r="AE201" s="4" t="n"/>
      <c r="AF201" s="4" t="n"/>
      <c r="AG201" t="inlineStr">
        <is>
          <t>rede existente</t>
        </is>
      </c>
    </row>
    <row r="202">
      <c r="B202" t="inlineStr">
        <is>
          <t xml:space="preserve">RCE RUA JOSÉ MILITÃO </t>
        </is>
      </c>
      <c r="C202" t="n">
        <v>76</v>
      </c>
      <c r="D202" t="inlineStr">
        <is>
          <t>VCA</t>
        </is>
      </c>
      <c r="E202" t="n">
        <v>238.52</v>
      </c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9" t="n"/>
      <c r="AA202" s="4" t="n"/>
      <c r="AB202" s="4" t="n"/>
      <c r="AC202" s="4" t="n"/>
      <c r="AD202" s="4" t="n"/>
      <c r="AE202" s="4" t="n"/>
      <c r="AF202" s="4" t="n"/>
      <c r="AG202" t="inlineStr">
        <is>
          <t>rede existente</t>
        </is>
      </c>
    </row>
    <row r="203">
      <c r="B203" t="inlineStr">
        <is>
          <t>RCE VIELA DA RUA INÊS SABINO</t>
        </is>
      </c>
      <c r="C203" t="n">
        <v>76</v>
      </c>
      <c r="D203" t="inlineStr">
        <is>
          <t>HDD</t>
        </is>
      </c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9" t="n"/>
      <c r="AA203" s="4" t="n"/>
      <c r="AB203" s="4" t="n"/>
      <c r="AC203" s="4" t="n"/>
      <c r="AD203" s="4" t="n"/>
      <c r="AE203" s="4" t="n"/>
      <c r="AF203" s="4" t="n"/>
    </row>
    <row r="204">
      <c r="B204" t="inlineStr">
        <is>
          <t>RCE VIELA DA RUA INÊS SABINO</t>
        </is>
      </c>
      <c r="C204" t="n">
        <v>76</v>
      </c>
      <c r="D204" t="inlineStr">
        <is>
          <t>VCA</t>
        </is>
      </c>
      <c r="E204" t="n">
        <v>229.5</v>
      </c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9" t="n"/>
      <c r="AA204" s="4" t="n"/>
      <c r="AB204" s="4" t="n"/>
      <c r="AC204" s="4" t="n"/>
      <c r="AD204" s="4" t="n"/>
      <c r="AE204" s="4" t="n"/>
      <c r="AF204" s="4" t="n"/>
    </row>
    <row r="205">
      <c r="B205" t="inlineStr">
        <is>
          <t>RCE COMUNIDADE RAUZITO</t>
        </is>
      </c>
      <c r="C205" t="n">
        <v>76</v>
      </c>
      <c r="D205" t="inlineStr">
        <is>
          <t>HDD</t>
        </is>
      </c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9" t="n"/>
      <c r="AA205" s="4" t="n"/>
      <c r="AB205" s="4" t="n"/>
      <c r="AC205" s="4" t="n"/>
      <c r="AD205" s="4" t="n"/>
      <c r="AE205" s="4" t="n"/>
      <c r="AF205" s="4" t="n"/>
      <c r="AG205" t="inlineStr">
        <is>
          <t>em andamento</t>
        </is>
      </c>
    </row>
    <row r="206">
      <c r="B206" t="inlineStr">
        <is>
          <t>RCE COMUNIDADE RAUZITO</t>
        </is>
      </c>
      <c r="C206" t="n">
        <v>76</v>
      </c>
      <c r="D206" t="inlineStr">
        <is>
          <t>VCA</t>
        </is>
      </c>
      <c r="E206" t="n">
        <v>1566.27</v>
      </c>
      <c r="F206" s="3" t="n">
        <v>42</v>
      </c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9" t="n">
        <v>42</v>
      </c>
      <c r="AA206" s="4" t="n"/>
      <c r="AB206" s="4" t="n"/>
      <c r="AC206" s="4" t="n"/>
      <c r="AD206" s="4" t="n"/>
      <c r="AE206" s="4" t="n"/>
      <c r="AF206" s="4" t="n"/>
    </row>
    <row r="207">
      <c r="B207" t="inlineStr">
        <is>
          <t>RCE SÃO JOÃO</t>
        </is>
      </c>
      <c r="C207" t="n">
        <v>76</v>
      </c>
      <c r="D207" t="inlineStr">
        <is>
          <t>HDD</t>
        </is>
      </c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9" t="n"/>
      <c r="AA207" s="4" t="n"/>
      <c r="AB207" s="4" t="n"/>
      <c r="AC207" s="4" t="n"/>
      <c r="AD207" s="4" t="n"/>
      <c r="AE207" s="4" t="n"/>
      <c r="AF207" s="4" t="n"/>
      <c r="AG207" t="inlineStr">
        <is>
          <t>em andamento</t>
        </is>
      </c>
    </row>
    <row r="208">
      <c r="B208" t="inlineStr">
        <is>
          <t>RCE SÃO JOÃO</t>
        </is>
      </c>
      <c r="C208" t="n">
        <v>76</v>
      </c>
      <c r="D208" t="inlineStr">
        <is>
          <t>VCA</t>
        </is>
      </c>
      <c r="E208" t="n">
        <v>95</v>
      </c>
      <c r="F208" s="3" t="n">
        <v>93.2</v>
      </c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>
        <v>93.2</v>
      </c>
      <c r="Z208" s="9" t="n"/>
      <c r="AA208" s="4" t="n"/>
      <c r="AB208" s="4" t="n"/>
      <c r="AC208" s="4" t="n"/>
      <c r="AD208" s="4" t="n"/>
      <c r="AE208" s="4" t="n"/>
      <c r="AF208" s="4" t="n"/>
      <c r="AG208" t="inlineStr">
        <is>
          <t>em andamento</t>
        </is>
      </c>
    </row>
    <row r="209">
      <c r="B209" s="3" t="inlineStr">
        <is>
          <t>CTS ÁGUA VERMELHA - ME</t>
        </is>
      </c>
      <c r="C209" s="1" t="inlineStr">
        <is>
          <t xml:space="preserve"> 35/36</t>
        </is>
      </c>
      <c r="D209" t="inlineStr">
        <is>
          <t>HDD</t>
        </is>
      </c>
      <c r="E209" t="n">
        <v>0</v>
      </c>
      <c r="F209" s="3" t="n">
        <v>34.57</v>
      </c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>
        <v>34.57</v>
      </c>
      <c r="W209" s="4" t="n"/>
      <c r="X209" s="4" t="n"/>
      <c r="Y209" s="4" t="n"/>
      <c r="Z209" s="9" t="n"/>
      <c r="AA209" s="4" t="n"/>
      <c r="AB209" s="4" t="n"/>
      <c r="AC209" s="4" t="n"/>
      <c r="AD209" s="4" t="n"/>
      <c r="AE209" s="4" t="n"/>
      <c r="AF209" s="4" t="n"/>
      <c r="AG209" t="inlineStr">
        <is>
          <t>concluido</t>
        </is>
      </c>
    </row>
    <row r="210">
      <c r="B210" s="3" t="inlineStr">
        <is>
          <t>CTS ÁGUA VERMELHA - ME</t>
        </is>
      </c>
      <c r="C210" s="1" t="inlineStr">
        <is>
          <t xml:space="preserve"> 35/36</t>
        </is>
      </c>
      <c r="D210" t="inlineStr">
        <is>
          <t>VCA</t>
        </is>
      </c>
      <c r="E210" t="n">
        <v>158</v>
      </c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9" t="n"/>
      <c r="AA210" s="4" t="n"/>
      <c r="AB210" s="4" t="n"/>
      <c r="AC210" s="4" t="n"/>
      <c r="AD210" s="4" t="n"/>
      <c r="AE210" s="4" t="n"/>
      <c r="AF210" s="4" t="n"/>
      <c r="AG210" t="inlineStr">
        <is>
          <t>concluido</t>
        </is>
      </c>
    </row>
    <row r="211">
      <c r="B211" t="inlineStr">
        <is>
          <t>RCE F. SOUTOMAIOR</t>
        </is>
      </c>
      <c r="C211" s="1" t="inlineStr">
        <is>
          <t xml:space="preserve"> 72 A</t>
        </is>
      </c>
      <c r="D211" t="inlineStr">
        <is>
          <t>HDD</t>
        </is>
      </c>
      <c r="E211" t="n">
        <v>351</v>
      </c>
      <c r="F211" s="3" t="n">
        <v>300.68</v>
      </c>
      <c r="I211" t="n">
        <v>8</v>
      </c>
      <c r="J211" t="n">
        <v>27</v>
      </c>
      <c r="L211" s="4" t="n"/>
      <c r="M211" s="4" t="n"/>
      <c r="N211" s="4" t="n"/>
      <c r="O211" s="4" t="n"/>
      <c r="P211" s="4" t="n"/>
      <c r="Q211" s="4" t="n"/>
      <c r="R211" s="4" t="n"/>
      <c r="S211" s="4" t="n">
        <v>300.68</v>
      </c>
      <c r="T211" s="4" t="n"/>
      <c r="U211" s="4" t="n"/>
      <c r="V211" s="4" t="n"/>
      <c r="W211" s="4" t="n"/>
      <c r="X211" s="4" t="n"/>
      <c r="Y211" s="4" t="n"/>
      <c r="Z211" s="9" t="n"/>
      <c r="AA211" s="4" t="n"/>
      <c r="AB211" s="4" t="n"/>
      <c r="AC211" s="4" t="n"/>
      <c r="AD211" s="4" t="n"/>
      <c r="AE211" s="4" t="n"/>
      <c r="AF211" s="4" t="n"/>
    </row>
    <row r="212">
      <c r="B212" t="inlineStr">
        <is>
          <t>RCE F. SOUTOMAIOR</t>
        </is>
      </c>
      <c r="C212" s="1" t="inlineStr">
        <is>
          <t xml:space="preserve"> 72 A</t>
        </is>
      </c>
      <c r="D212" t="inlineStr">
        <is>
          <t>VCA</t>
        </is>
      </c>
      <c r="E212" t="n">
        <v>152</v>
      </c>
      <c r="F212" s="3" t="n">
        <v>337.46</v>
      </c>
      <c r="L212" s="4" t="n"/>
      <c r="M212" s="4" t="n"/>
      <c r="N212" s="4" t="n"/>
      <c r="O212" s="4" t="n"/>
      <c r="P212" s="4" t="n"/>
      <c r="Q212" s="4" t="n">
        <v>127.69</v>
      </c>
      <c r="R212" s="4" t="n"/>
      <c r="S212" s="4" t="n"/>
      <c r="T212" s="4" t="n"/>
      <c r="U212" s="4" t="n"/>
      <c r="V212" s="4" t="n"/>
      <c r="W212" s="4" t="n">
        <v>42</v>
      </c>
      <c r="X212" s="4" t="n">
        <v>167.77</v>
      </c>
      <c r="Y212" s="4" t="n"/>
      <c r="Z212" s="9" t="n"/>
      <c r="AA212" s="4" t="n"/>
      <c r="AB212" s="4" t="n"/>
      <c r="AC212" s="4" t="n"/>
      <c r="AD212" s="4" t="n"/>
      <c r="AE212" s="4" t="n"/>
      <c r="AF212" s="4" t="n"/>
    </row>
    <row r="213">
      <c r="B213" t="inlineStr">
        <is>
          <t>RCE F. SOUTOMAIOR B</t>
        </is>
      </c>
      <c r="C213" s="1" t="inlineStr">
        <is>
          <t xml:space="preserve"> 72 B</t>
        </is>
      </c>
      <c r="D213" t="inlineStr">
        <is>
          <t>HDD</t>
        </is>
      </c>
      <c r="E213" t="n">
        <v>100.2</v>
      </c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9" t="n"/>
      <c r="AA213" s="4" t="n"/>
      <c r="AB213" s="4" t="n"/>
      <c r="AC213" s="4" t="n"/>
      <c r="AD213" s="4" t="n"/>
      <c r="AE213" s="4" t="n"/>
      <c r="AF213" s="4" t="n"/>
    </row>
    <row r="214">
      <c r="B214" t="inlineStr">
        <is>
          <t>RCE F. SOUTOMAIOR B</t>
        </is>
      </c>
      <c r="C214" s="1" t="inlineStr">
        <is>
          <t xml:space="preserve"> 72 B</t>
        </is>
      </c>
      <c r="D214" t="inlineStr">
        <is>
          <t>VCA</t>
        </is>
      </c>
      <c r="E214" t="n">
        <v>253.5</v>
      </c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9" t="n"/>
      <c r="AA214" s="4" t="n"/>
      <c r="AB214" s="4" t="n"/>
      <c r="AC214" s="4" t="n"/>
      <c r="AD214" s="4" t="n"/>
      <c r="AE214" s="4" t="n"/>
      <c r="AF214" s="4" t="n"/>
    </row>
    <row r="215">
      <c r="B215" t="inlineStr">
        <is>
          <t>RCE F. SOUTOMAIOR C</t>
        </is>
      </c>
      <c r="C215" s="1" t="inlineStr">
        <is>
          <t xml:space="preserve"> 72 C</t>
        </is>
      </c>
      <c r="D215" t="inlineStr">
        <is>
          <t>HDD</t>
        </is>
      </c>
      <c r="E215" t="n">
        <v>89.90000000000001</v>
      </c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9" t="n"/>
      <c r="AA215" s="4" t="n"/>
      <c r="AB215" s="4" t="n"/>
      <c r="AC215" s="4" t="n"/>
      <c r="AD215" s="4" t="n"/>
      <c r="AE215" s="4" t="n"/>
      <c r="AF215" s="4" t="n"/>
    </row>
    <row r="216">
      <c r="B216" t="inlineStr">
        <is>
          <t>RCE F. SOUTOMAIOR C</t>
        </is>
      </c>
      <c r="C216" s="1" t="inlineStr">
        <is>
          <t xml:space="preserve"> 72 C</t>
        </is>
      </c>
      <c r="D216" t="inlineStr">
        <is>
          <t>VCA</t>
        </is>
      </c>
      <c r="E216" t="n">
        <v>322.2</v>
      </c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9" t="n"/>
      <c r="AA216" s="4" t="n"/>
      <c r="AB216" s="4" t="n"/>
      <c r="AC216" s="4" t="n"/>
      <c r="AD216" s="4" t="n"/>
      <c r="AE216" s="4" t="n"/>
      <c r="AF216" s="4" t="n"/>
    </row>
    <row r="217">
      <c r="B217" t="inlineStr">
        <is>
          <t>RCE F. SOUTOMAIOR D</t>
        </is>
      </c>
      <c r="C217" s="1" t="inlineStr">
        <is>
          <t xml:space="preserve"> 72 D</t>
        </is>
      </c>
      <c r="D217" t="inlineStr">
        <is>
          <t>HDD</t>
        </is>
      </c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9" t="n"/>
      <c r="AA217" s="4" t="n"/>
      <c r="AB217" s="4" t="n"/>
      <c r="AC217" s="4" t="n"/>
      <c r="AD217" s="4" t="n"/>
      <c r="AE217" s="4" t="n"/>
      <c r="AF217" s="4" t="n"/>
    </row>
    <row r="218">
      <c r="B218" t="inlineStr">
        <is>
          <t>RCE F. SOUTOMAIOR D</t>
        </is>
      </c>
      <c r="C218" s="1" t="inlineStr">
        <is>
          <t xml:space="preserve"> 72 D</t>
        </is>
      </c>
      <c r="D218" t="inlineStr">
        <is>
          <t>VCA</t>
        </is>
      </c>
      <c r="E218" t="n">
        <v>129.8</v>
      </c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9" t="n"/>
      <c r="AA218" s="4" t="n"/>
      <c r="AB218" s="4" t="n"/>
      <c r="AC218" s="4" t="n"/>
      <c r="AD218" s="4" t="n"/>
      <c r="AE218" s="4" t="n"/>
      <c r="AF218" s="4" t="n"/>
    </row>
  </sheetData>
  <autoFilter ref="AG1:AG218"/>
  <pageMargins left="0.75" right="0.75" top="1" bottom="1" header="0.5" footer="0.5"/>
  <pageSetup orientation="portrait" paperSize="9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34"/>
  <sheetViews>
    <sheetView workbookViewId="0">
      <selection activeCell="A1" sqref="A1"/>
    </sheetView>
  </sheetViews>
  <sheetFormatPr baseColWidth="8" defaultRowHeight="14.4"/>
  <cols>
    <col width="9.109375" customWidth="1" min="2" max="2"/>
    <col width="9.88671875" customWidth="1" min="3" max="3"/>
    <col width="12" customWidth="1" min="4" max="4"/>
    <col width="13.21875" customWidth="1" min="5" max="5"/>
    <col width="15.77734375" customWidth="1" min="6" max="6"/>
    <col width="19.5546875" customWidth="1" min="7" max="7"/>
    <col width="9.33203125" customWidth="1" min="9" max="9"/>
    <col width="9.33203125" customWidth="1" min="12" max="12"/>
  </cols>
  <sheetData>
    <row r="2">
      <c r="B2" t="inlineStr">
        <is>
          <t>Ano</t>
        </is>
      </c>
      <c r="C2" t="inlineStr">
        <is>
          <t>Mes</t>
        </is>
      </c>
      <c r="D2" t="inlineStr">
        <is>
          <t>EAP</t>
        </is>
      </c>
      <c r="E2" t="inlineStr">
        <is>
          <t>Produzido</t>
        </is>
      </c>
      <c r="F2" t="inlineStr">
        <is>
          <t>Economias EAP</t>
        </is>
      </c>
      <c r="G2" t="inlineStr">
        <is>
          <t>Economias Recebidas</t>
        </is>
      </c>
    </row>
    <row r="3">
      <c r="B3" t="n">
        <v>2025</v>
      </c>
      <c r="C3" t="inlineStr">
        <is>
          <t>Mar</t>
        </is>
      </c>
      <c r="D3" t="n">
        <v>159.15</v>
      </c>
      <c r="E3" t="n">
        <v>0</v>
      </c>
      <c r="F3" t="n">
        <v>0</v>
      </c>
      <c r="G3" t="n">
        <v>0</v>
      </c>
    </row>
    <row r="4">
      <c r="B4" t="n">
        <v>2025</v>
      </c>
      <c r="C4" t="inlineStr">
        <is>
          <t>Abr</t>
        </is>
      </c>
      <c r="D4" t="n">
        <v>723.7</v>
      </c>
      <c r="E4" t="n">
        <v>47.5</v>
      </c>
      <c r="F4" t="n">
        <v>0</v>
      </c>
      <c r="G4" t="n">
        <v>0</v>
      </c>
    </row>
    <row r="5">
      <c r="B5" t="n">
        <v>2025</v>
      </c>
      <c r="C5" t="inlineStr">
        <is>
          <t>Mai</t>
        </is>
      </c>
      <c r="D5" t="n">
        <v>905.99</v>
      </c>
      <c r="E5" t="n">
        <v>364.53</v>
      </c>
      <c r="F5" t="n">
        <v>0</v>
      </c>
      <c r="G5" t="n">
        <v>0</v>
      </c>
    </row>
    <row r="6">
      <c r="B6" t="n">
        <v>2025</v>
      </c>
      <c r="C6" t="inlineStr">
        <is>
          <t>Jun</t>
        </is>
      </c>
      <c r="D6" t="n">
        <v>1089.14</v>
      </c>
      <c r="E6" t="n">
        <v>340.32</v>
      </c>
      <c r="F6" t="n">
        <v>191</v>
      </c>
      <c r="G6" t="n">
        <v>2611</v>
      </c>
      <c r="I6">
        <f>D6-E6</f>
        <v/>
      </c>
    </row>
    <row r="7">
      <c r="B7" t="n">
        <v>2025</v>
      </c>
      <c r="C7" t="inlineStr">
        <is>
          <t>Jul</t>
        </is>
      </c>
      <c r="D7" t="n">
        <v>588.28</v>
      </c>
      <c r="E7" t="n">
        <v>1061.675</v>
      </c>
      <c r="F7" t="n">
        <v>489</v>
      </c>
      <c r="G7" t="n">
        <v>584</v>
      </c>
      <c r="I7">
        <f>D7-E7</f>
        <v/>
      </c>
    </row>
    <row r="8">
      <c r="B8" t="n">
        <v>2025</v>
      </c>
      <c r="C8" t="inlineStr">
        <is>
          <t>Ago</t>
        </is>
      </c>
      <c r="D8" t="n">
        <v>1227.24</v>
      </c>
      <c r="E8" t="n">
        <v>1750.96</v>
      </c>
      <c r="F8" t="n">
        <v>1635</v>
      </c>
      <c r="G8" t="n">
        <v>3598</v>
      </c>
      <c r="I8">
        <f>D8-E8</f>
        <v/>
      </c>
    </row>
    <row r="9">
      <c r="B9" t="n">
        <v>2025</v>
      </c>
      <c r="C9" t="inlineStr">
        <is>
          <t>Set</t>
        </is>
      </c>
      <c r="D9" t="n">
        <v>1914.65</v>
      </c>
      <c r="E9" t="n">
        <v>1517.22</v>
      </c>
      <c r="F9" t="n">
        <v>1110</v>
      </c>
      <c r="G9" t="n">
        <v>3229</v>
      </c>
      <c r="I9">
        <f>D9-E9</f>
        <v/>
      </c>
      <c r="L9">
        <f>SUM(I9:I15)</f>
        <v/>
      </c>
    </row>
    <row r="10">
      <c r="B10" t="n">
        <v>2025</v>
      </c>
      <c r="C10" t="inlineStr">
        <is>
          <t>Out</t>
        </is>
      </c>
      <c r="D10" t="n">
        <v>1749.47</v>
      </c>
      <c r="E10" t="n">
        <v>1342.07</v>
      </c>
      <c r="F10" t="n">
        <v>763</v>
      </c>
      <c r="G10" t="n">
        <v>1433</v>
      </c>
      <c r="I10">
        <f>D10-E10</f>
        <v/>
      </c>
      <c r="L10">
        <f>L9+I6</f>
        <v/>
      </c>
    </row>
    <row r="11">
      <c r="B11" t="n">
        <v>2025</v>
      </c>
      <c r="C11" t="inlineStr">
        <is>
          <t>Nov</t>
        </is>
      </c>
      <c r="D11" t="n">
        <v>1942.9</v>
      </c>
      <c r="E11" t="n">
        <v>1058.895</v>
      </c>
      <c r="F11" t="n">
        <v>4493</v>
      </c>
      <c r="G11" t="n">
        <v>2359</v>
      </c>
      <c r="I11">
        <f>D11-E11</f>
        <v/>
      </c>
      <c r="L11">
        <f>L10+I7+I8</f>
        <v/>
      </c>
    </row>
    <row r="12">
      <c r="B12" t="n">
        <v>2025</v>
      </c>
      <c r="C12" t="inlineStr">
        <is>
          <t>Dez</t>
        </is>
      </c>
      <c r="D12" t="n">
        <v>1588.61</v>
      </c>
      <c r="E12" t="n">
        <v>1502.325</v>
      </c>
      <c r="F12" t="n">
        <v>4252</v>
      </c>
      <c r="G12" t="n">
        <v>3356</v>
      </c>
      <c r="I12">
        <f>D12-E12</f>
        <v/>
      </c>
    </row>
    <row r="13">
      <c r="B13" t="n">
        <v>2026</v>
      </c>
      <c r="C13" t="inlineStr">
        <is>
          <t>Jan</t>
        </is>
      </c>
      <c r="D13" t="n">
        <v>2185.34</v>
      </c>
      <c r="E13" t="n">
        <v>1189.71</v>
      </c>
      <c r="F13" t="n">
        <v>1436</v>
      </c>
      <c r="G13" t="n">
        <v>1152</v>
      </c>
      <c r="I13">
        <f>D13-E13</f>
        <v/>
      </c>
    </row>
    <row r="14">
      <c r="B14" t="n">
        <v>2026</v>
      </c>
      <c r="C14" t="inlineStr">
        <is>
          <t>Fev</t>
        </is>
      </c>
      <c r="D14" t="n">
        <v>2340.4</v>
      </c>
      <c r="E14" t="n">
        <v>2108.04</v>
      </c>
      <c r="F14" t="n">
        <v>2834</v>
      </c>
      <c r="G14" t="n">
        <v>1928</v>
      </c>
      <c r="I14">
        <f>D14-E14</f>
        <v/>
      </c>
    </row>
    <row r="15">
      <c r="B15" t="n">
        <v>2026</v>
      </c>
      <c r="C15" t="inlineStr">
        <is>
          <t>Mar</t>
        </is>
      </c>
      <c r="D15" t="n">
        <v>2128.08</v>
      </c>
      <c r="E15" t="n">
        <v>1588.66</v>
      </c>
      <c r="F15" t="n">
        <v>2813</v>
      </c>
      <c r="G15" t="n">
        <v>1159</v>
      </c>
      <c r="I15">
        <f>D15-E15</f>
        <v/>
      </c>
      <c r="O15" t="inlineStr">
        <is>
          <t>mar de coral esta com o valor de as built</t>
        </is>
      </c>
    </row>
    <row r="16">
      <c r="B16" t="n">
        <v>2026</v>
      </c>
      <c r="C16" t="inlineStr">
        <is>
          <t>Abr</t>
        </is>
      </c>
      <c r="D16" t="n">
        <v>2426.84</v>
      </c>
      <c r="E16" t="n">
        <v>1460.1</v>
      </c>
      <c r="F16" t="n">
        <v>2735</v>
      </c>
      <c r="G16" t="n">
        <v>5246</v>
      </c>
      <c r="I16">
        <f>D16-E16</f>
        <v/>
      </c>
    </row>
    <row r="17">
      <c r="B17" t="n">
        <v>2026</v>
      </c>
      <c r="C17" t="inlineStr">
        <is>
          <t>Mai</t>
        </is>
      </c>
      <c r="D17" t="n">
        <v>2545.85</v>
      </c>
      <c r="E17">
        <f>487.87+84.32+43.66+62.701</f>
        <v/>
      </c>
      <c r="F17" t="n">
        <v>2361</v>
      </c>
      <c r="G17" t="n">
        <v>0</v>
      </c>
      <c r="I17">
        <f>D17-E17</f>
        <v/>
      </c>
    </row>
    <row r="18">
      <c r="B18" t="n">
        <v>2026</v>
      </c>
      <c r="C18" t="inlineStr">
        <is>
          <t>Jun</t>
        </is>
      </c>
      <c r="D18" t="n">
        <v>3108.25</v>
      </c>
      <c r="F18" t="n">
        <v>2874</v>
      </c>
      <c r="G18" t="n">
        <v>0</v>
      </c>
    </row>
    <row r="19">
      <c r="B19" t="n">
        <v>2026</v>
      </c>
      <c r="C19" t="inlineStr">
        <is>
          <t>Jul</t>
        </is>
      </c>
      <c r="D19" t="n">
        <v>3269.49</v>
      </c>
      <c r="F19" t="n">
        <v>4487</v>
      </c>
      <c r="G19" t="n">
        <v>0</v>
      </c>
    </row>
    <row r="20">
      <c r="B20" t="n">
        <v>2026</v>
      </c>
      <c r="C20" t="inlineStr">
        <is>
          <t>Ago</t>
        </is>
      </c>
      <c r="D20" t="n">
        <v>3305.21</v>
      </c>
      <c r="F20" t="n">
        <v>4543</v>
      </c>
      <c r="G20" t="n">
        <v>0</v>
      </c>
    </row>
    <row r="21">
      <c r="B21" t="n">
        <v>2026</v>
      </c>
      <c r="C21" t="inlineStr">
        <is>
          <t>Set</t>
        </is>
      </c>
      <c r="D21" t="n">
        <v>3138.09</v>
      </c>
      <c r="F21" t="n">
        <v>3432</v>
      </c>
      <c r="G21" t="n">
        <v>0</v>
      </c>
    </row>
    <row r="22">
      <c r="B22" t="n">
        <v>2026</v>
      </c>
      <c r="C22" t="inlineStr">
        <is>
          <t>Out</t>
        </is>
      </c>
      <c r="D22" t="n">
        <v>2251.28</v>
      </c>
      <c r="F22" t="n">
        <v>1923</v>
      </c>
      <c r="G22" t="n">
        <v>0</v>
      </c>
    </row>
    <row r="23">
      <c r="B23" t="n">
        <v>2026</v>
      </c>
      <c r="C23" t="inlineStr">
        <is>
          <t>Nov</t>
        </is>
      </c>
      <c r="D23" t="n">
        <v>1527.07</v>
      </c>
      <c r="F23" t="n">
        <v>713</v>
      </c>
      <c r="G23" t="n">
        <v>0</v>
      </c>
    </row>
    <row r="24">
      <c r="B24" t="n">
        <v>2026</v>
      </c>
      <c r="C24" t="inlineStr">
        <is>
          <t>Dez</t>
        </is>
      </c>
      <c r="D24" t="n">
        <v>542.46</v>
      </c>
      <c r="F24" t="n">
        <v>39</v>
      </c>
      <c r="G24" t="n">
        <v>0</v>
      </c>
    </row>
    <row r="27">
      <c r="P27">
        <f>SUM(E3:E16)</f>
        <v/>
      </c>
    </row>
    <row r="28">
      <c r="P28">
        <f>14468.56-P27</f>
        <v/>
      </c>
    </row>
    <row r="29">
      <c r="P29">
        <f>P28+2135.09</f>
        <v/>
      </c>
    </row>
    <row r="34">
      <c r="H34" t="inlineStr">
        <is>
          <t> 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2026-02-17T21:58:51Z</dcterms:created>
  <dcterms:modified xsi:type="dcterms:W3CDTF">2026-07-02T10:07:23Z</dcterms:modified>
  <cp:lastModifiedBy>Cleulton Marcio Goncalves Freire</cp:lastModifiedBy>
</cp:coreProperties>
</file>