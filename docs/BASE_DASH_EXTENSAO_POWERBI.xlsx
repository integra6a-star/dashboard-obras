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A6D93DF-D2A3-4536-BFA7-4CF39D87C8C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11" i="1"/>
  <c r="Y111" i="1"/>
  <c r="X132" i="1"/>
  <c r="X131" i="1"/>
  <c r="X115" i="1"/>
  <c r="Y120" i="1"/>
  <c r="V119" i="1"/>
  <c r="U119" i="1"/>
  <c r="V117" i="1"/>
  <c r="U117" i="1"/>
  <c r="AL157" i="1"/>
  <c r="AL160" i="1" s="1"/>
  <c r="V28" i="1"/>
  <c r="X67" i="1"/>
  <c r="E61" i="1"/>
  <c r="E60" i="1"/>
  <c r="Y100" i="1"/>
  <c r="P110" i="1"/>
  <c r="F110" i="1"/>
  <c r="P107" i="1"/>
  <c r="F107" i="1"/>
  <c r="P105" i="1"/>
  <c r="F105" i="1"/>
</calcChain>
</file>

<file path=xl/sharedStrings.xml><?xml version="1.0" encoding="utf-8"?>
<sst xmlns="http://schemas.openxmlformats.org/spreadsheetml/2006/main" count="658" uniqueCount="124">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</sst>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>
    <filterColumn colId="25">
      <customFilters>
        <customFilter operator="notEqual" val=" "/>
      </customFilters>
    </filterColumn>
  </autoFilter>
  <sortState xmlns:xlrd2="http://schemas.microsoft.com/office/spreadsheetml/2017/richdata2" ref="B2:AF218">
    <sortCondition ref="B1:B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C1" zoomScale="85" zoomScaleNormal="85" workbookViewId="0">
      <pane ySplit="1" topLeftCell="A144" activePane="bottomLeft" state="frozen"/>
      <selection pane="bottomLeft" activeCell="AA144" sqref="AA144:AA208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hidden="1" x14ac:dyDescent="0.3">
      <c r="B2" s="3" t="s">
        <v>64</v>
      </c>
      <c r="C2">
        <v>54</v>
      </c>
      <c r="D2" t="s">
        <v>34</v>
      </c>
      <c r="E2">
        <v>561.5</v>
      </c>
      <c r="F2" s="7">
        <v>445.49</v>
      </c>
      <c r="G2">
        <v>32</v>
      </c>
      <c r="H2">
        <v>186.84</v>
      </c>
      <c r="I2">
        <v>443</v>
      </c>
      <c r="J2">
        <v>2397</v>
      </c>
      <c r="L2" s="4"/>
      <c r="M2" s="4"/>
      <c r="N2" s="4"/>
      <c r="O2" s="4"/>
      <c r="P2" s="4"/>
      <c r="Q2" s="4"/>
      <c r="R2" s="4"/>
      <c r="S2" s="4">
        <v>162.16499999999999</v>
      </c>
      <c r="T2" s="4">
        <v>283.32499999999999</v>
      </c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hidden="1" x14ac:dyDescent="0.3">
      <c r="B3" s="3" t="s">
        <v>64</v>
      </c>
      <c r="C3">
        <v>54</v>
      </c>
      <c r="D3" t="s">
        <v>36</v>
      </c>
      <c r="E3">
        <v>144.5</v>
      </c>
      <c r="F3" s="7">
        <v>75.599999999999994</v>
      </c>
      <c r="L3" s="4"/>
      <c r="M3" s="4"/>
      <c r="N3" s="4"/>
      <c r="O3" s="4"/>
      <c r="P3" s="4"/>
      <c r="Q3" s="4"/>
      <c r="R3" s="4"/>
      <c r="S3" s="4"/>
      <c r="T3" s="4">
        <v>75.599999999999994</v>
      </c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hidden="1" x14ac:dyDescent="0.3">
      <c r="B4" s="3" t="s">
        <v>64</v>
      </c>
      <c r="C4">
        <v>55</v>
      </c>
      <c r="D4" t="s">
        <v>34</v>
      </c>
      <c r="E4">
        <v>451.5</v>
      </c>
      <c r="F4" s="7">
        <v>629.14</v>
      </c>
      <c r="I4">
        <v>788</v>
      </c>
      <c r="L4" s="4"/>
      <c r="M4" s="4"/>
      <c r="N4" s="4"/>
      <c r="O4" s="4"/>
      <c r="P4" s="4"/>
      <c r="Q4" s="4"/>
      <c r="R4" s="4"/>
      <c r="S4" s="4"/>
      <c r="T4" s="4">
        <v>629.14</v>
      </c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hidden="1" x14ac:dyDescent="0.3">
      <c r="B5" s="3" t="s">
        <v>64</v>
      </c>
      <c r="C5">
        <v>55</v>
      </c>
      <c r="D5" t="s">
        <v>36</v>
      </c>
      <c r="E5">
        <v>144.5</v>
      </c>
      <c r="F5" s="7">
        <v>37.89</v>
      </c>
      <c r="L5" s="4"/>
      <c r="M5" s="4"/>
      <c r="N5" s="4"/>
      <c r="O5" s="4"/>
      <c r="P5" s="4"/>
      <c r="Q5" s="4"/>
      <c r="R5" s="4"/>
      <c r="S5" s="4"/>
      <c r="T5" s="4">
        <v>37.89</v>
      </c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hidden="1" x14ac:dyDescent="0.3">
      <c r="B6" s="3" t="s">
        <v>64</v>
      </c>
      <c r="C6">
        <v>56</v>
      </c>
      <c r="D6" t="s">
        <v>34</v>
      </c>
      <c r="E6">
        <v>322</v>
      </c>
      <c r="F6" s="7">
        <v>108.02</v>
      </c>
      <c r="I6">
        <v>654</v>
      </c>
      <c r="L6" s="4"/>
      <c r="M6" s="4"/>
      <c r="N6" s="4"/>
      <c r="O6" s="4"/>
      <c r="P6" s="4"/>
      <c r="Q6" s="4"/>
      <c r="R6" s="4"/>
      <c r="S6" s="4"/>
      <c r="T6" s="4">
        <v>108.02</v>
      </c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hidden="1" x14ac:dyDescent="0.3">
      <c r="B7" s="3" t="s">
        <v>64</v>
      </c>
      <c r="C7">
        <v>56</v>
      </c>
      <c r="D7" t="s">
        <v>36</v>
      </c>
      <c r="E7">
        <v>100</v>
      </c>
      <c r="F7" s="7">
        <v>1.55</v>
      </c>
      <c r="L7" s="4"/>
      <c r="M7" s="4"/>
      <c r="N7" s="4"/>
      <c r="O7" s="4"/>
      <c r="P7" s="4"/>
      <c r="Q7" s="4"/>
      <c r="R7" s="4"/>
      <c r="S7" s="4"/>
      <c r="T7" s="4">
        <v>1.55</v>
      </c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hidden="1" x14ac:dyDescent="0.3">
      <c r="B8" s="3" t="s">
        <v>63</v>
      </c>
      <c r="C8">
        <v>45</v>
      </c>
      <c r="D8" t="s">
        <v>34</v>
      </c>
      <c r="E8">
        <v>298</v>
      </c>
      <c r="F8" s="3">
        <v>363.85</v>
      </c>
      <c r="I8">
        <v>223</v>
      </c>
      <c r="L8" s="4"/>
      <c r="M8" s="4"/>
      <c r="N8" s="4"/>
      <c r="O8" s="4"/>
      <c r="P8" s="4"/>
      <c r="Q8" s="4"/>
      <c r="R8" s="4"/>
      <c r="S8" s="4"/>
      <c r="T8" s="4"/>
      <c r="U8" s="4"/>
      <c r="V8" s="4">
        <v>329.56</v>
      </c>
      <c r="W8" s="4">
        <v>34.29</v>
      </c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hidden="1" x14ac:dyDescent="0.3">
      <c r="B9" s="3" t="s">
        <v>63</v>
      </c>
      <c r="C9">
        <v>45</v>
      </c>
      <c r="D9" t="s">
        <v>36</v>
      </c>
      <c r="E9">
        <v>113.5</v>
      </c>
      <c r="F9" s="3">
        <v>19.84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>
        <v>19.84</v>
      </c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hidden="1" x14ac:dyDescent="0.3">
      <c r="B10" s="3" t="s">
        <v>63</v>
      </c>
      <c r="C10">
        <v>46</v>
      </c>
      <c r="D10" t="s">
        <v>34</v>
      </c>
      <c r="E10">
        <v>88</v>
      </c>
      <c r="F10" s="3">
        <v>89.05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>
        <v>32.99</v>
      </c>
      <c r="W10" s="4">
        <v>56.06</v>
      </c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hidden="1" x14ac:dyDescent="0.3">
      <c r="B11" s="3" t="s">
        <v>63</v>
      </c>
      <c r="C11">
        <v>46</v>
      </c>
      <c r="D11" t="s">
        <v>36</v>
      </c>
      <c r="E11">
        <v>2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hidden="1" x14ac:dyDescent="0.3">
      <c r="B12" s="3" t="s">
        <v>63</v>
      </c>
      <c r="C12">
        <v>47</v>
      </c>
      <c r="D12" t="s">
        <v>34</v>
      </c>
      <c r="E12">
        <v>68.5</v>
      </c>
      <c r="F12" s="3">
        <v>35.479999999999997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>
        <v>35.479999999999997</v>
      </c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hidden="1" x14ac:dyDescent="0.3">
      <c r="B13" s="3" t="s">
        <v>63</v>
      </c>
      <c r="C13">
        <v>47</v>
      </c>
      <c r="D13" t="s">
        <v>36</v>
      </c>
      <c r="E13">
        <v>26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hidden="1" x14ac:dyDescent="0.3">
      <c r="B14" s="3" t="s">
        <v>63</v>
      </c>
      <c r="C14">
        <v>48</v>
      </c>
      <c r="D14" t="s">
        <v>34</v>
      </c>
      <c r="E14">
        <v>216.5</v>
      </c>
      <c r="F14" s="3">
        <v>206.17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>
        <v>129.66999999999999</v>
      </c>
      <c r="W14" s="4">
        <v>76.5</v>
      </c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hidden="1" x14ac:dyDescent="0.3">
      <c r="B15" s="3" t="s">
        <v>63</v>
      </c>
      <c r="C15">
        <v>48</v>
      </c>
      <c r="D15" t="s">
        <v>36</v>
      </c>
      <c r="E15">
        <v>86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hidden="1" x14ac:dyDescent="0.3">
      <c r="B16" s="3" t="s">
        <v>63</v>
      </c>
      <c r="C16">
        <v>49</v>
      </c>
      <c r="D16" t="s">
        <v>34</v>
      </c>
      <c r="E16">
        <v>68</v>
      </c>
      <c r="F16" s="3">
        <v>97.16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>
        <v>68.16</v>
      </c>
      <c r="W16" s="4">
        <v>29</v>
      </c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hidden="1" x14ac:dyDescent="0.3">
      <c r="B17" s="3" t="s">
        <v>63</v>
      </c>
      <c r="C17">
        <v>49</v>
      </c>
      <c r="D17" t="s">
        <v>36</v>
      </c>
      <c r="E17">
        <v>40.5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hidden="1" x14ac:dyDescent="0.3">
      <c r="B18" s="3" t="s">
        <v>63</v>
      </c>
      <c r="C18">
        <v>50</v>
      </c>
      <c r="D18" t="s">
        <v>34</v>
      </c>
      <c r="E18">
        <v>87.5</v>
      </c>
      <c r="F18" s="3">
        <v>35.42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35.42</v>
      </c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hidden="1" x14ac:dyDescent="0.3">
      <c r="B19" s="3" t="s">
        <v>63</v>
      </c>
      <c r="C19">
        <v>50</v>
      </c>
      <c r="D19" t="s">
        <v>36</v>
      </c>
      <c r="E19">
        <v>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hidden="1" x14ac:dyDescent="0.3">
      <c r="B20" s="3" t="s">
        <v>63</v>
      </c>
      <c r="C20">
        <v>51</v>
      </c>
      <c r="D20" t="s">
        <v>34</v>
      </c>
      <c r="E20">
        <v>84.5</v>
      </c>
      <c r="F20" s="3">
        <v>34.409999999999997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>
        <v>34.409999999999997</v>
      </c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hidden="1" x14ac:dyDescent="0.3">
      <c r="B21" s="3" t="s">
        <v>63</v>
      </c>
      <c r="C21">
        <v>51</v>
      </c>
      <c r="D21" t="s">
        <v>36</v>
      </c>
      <c r="E21">
        <v>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hidden="1" x14ac:dyDescent="0.3">
      <c r="B22" s="3" t="s">
        <v>63</v>
      </c>
      <c r="C22">
        <v>52</v>
      </c>
      <c r="D22" t="s">
        <v>34</v>
      </c>
      <c r="E22">
        <v>109</v>
      </c>
      <c r="F22" s="3">
        <v>47.44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>
        <v>47.44</v>
      </c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hidden="1" x14ac:dyDescent="0.3">
      <c r="B23" s="3" t="s">
        <v>63</v>
      </c>
      <c r="C23">
        <v>52</v>
      </c>
      <c r="D23" t="s">
        <v>36</v>
      </c>
      <c r="E23">
        <v>9.5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hidden="1" x14ac:dyDescent="0.3">
      <c r="B24" s="3" t="s">
        <v>63</v>
      </c>
      <c r="C24">
        <v>53</v>
      </c>
      <c r="D24" t="s">
        <v>34</v>
      </c>
      <c r="E24">
        <v>255</v>
      </c>
      <c r="F24" s="3">
        <v>255.86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67.05</v>
      </c>
      <c r="W24" s="4"/>
      <c r="X24" s="4">
        <v>188.81</v>
      </c>
      <c r="Y24" s="4"/>
      <c r="Z24" s="9"/>
      <c r="AA24" s="4"/>
      <c r="AB24" s="4"/>
      <c r="AC24" s="4"/>
      <c r="AD24" s="4"/>
      <c r="AE24" s="4"/>
      <c r="AF24" s="4"/>
      <c r="AG24" t="s">
        <v>35</v>
      </c>
    </row>
    <row r="25" spans="2:33" hidden="1" x14ac:dyDescent="0.3">
      <c r="B25" s="3" t="s">
        <v>63</v>
      </c>
      <c r="C25">
        <v>53</v>
      </c>
      <c r="D25" t="s">
        <v>36</v>
      </c>
      <c r="E25">
        <v>144</v>
      </c>
      <c r="F25" s="3"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35</v>
      </c>
    </row>
    <row r="26" spans="2:33" hidden="1" x14ac:dyDescent="0.3">
      <c r="B26" s="3" t="s">
        <v>62</v>
      </c>
      <c r="C26">
        <v>27</v>
      </c>
      <c r="D26" t="s">
        <v>34</v>
      </c>
      <c r="F26" s="3">
        <v>91.21</v>
      </c>
      <c r="I26">
        <v>2885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20.95</v>
      </c>
      <c r="W26" s="4"/>
      <c r="X26" s="4">
        <v>70.260000000000005</v>
      </c>
      <c r="Y26" s="4"/>
      <c r="Z26" s="9"/>
      <c r="AA26" s="4"/>
      <c r="AB26" s="4"/>
      <c r="AC26" s="4"/>
      <c r="AD26" s="4"/>
      <c r="AE26" s="4"/>
      <c r="AF26" s="4"/>
      <c r="AG26" t="s">
        <v>35</v>
      </c>
    </row>
    <row r="27" spans="2:33" hidden="1" x14ac:dyDescent="0.3">
      <c r="B27" s="3" t="s">
        <v>62</v>
      </c>
      <c r="C27">
        <v>27</v>
      </c>
      <c r="D27" t="s">
        <v>36</v>
      </c>
      <c r="E27">
        <v>100.5</v>
      </c>
      <c r="F27" s="3">
        <v>10.06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8.06</v>
      </c>
      <c r="W27" s="4"/>
      <c r="X27" s="4">
        <v>2</v>
      </c>
      <c r="Y27" s="4"/>
      <c r="Z27" s="9"/>
      <c r="AA27" s="4"/>
      <c r="AB27" s="4"/>
      <c r="AC27" s="4"/>
      <c r="AD27" s="4"/>
      <c r="AE27" s="4"/>
      <c r="AF27" s="4"/>
      <c r="AG27" t="s">
        <v>35</v>
      </c>
    </row>
    <row r="28" spans="2:33" hidden="1" x14ac:dyDescent="0.3">
      <c r="B28" s="3" t="s">
        <v>62</v>
      </c>
      <c r="C28">
        <v>28</v>
      </c>
      <c r="D28" t="s">
        <v>34</v>
      </c>
      <c r="F28" s="3">
        <v>230.72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>230.02-55.56</f>
        <v>174.46</v>
      </c>
      <c r="W28" s="4">
        <v>56.26</v>
      </c>
      <c r="X28" s="4"/>
      <c r="Y28" s="4"/>
      <c r="Z28" s="9"/>
      <c r="AA28" s="4"/>
      <c r="AB28" s="4"/>
      <c r="AC28" s="4"/>
      <c r="AD28" s="4"/>
      <c r="AE28" s="4"/>
      <c r="AF28" s="4"/>
      <c r="AG28" t="s">
        <v>35</v>
      </c>
    </row>
    <row r="29" spans="2:33" hidden="1" x14ac:dyDescent="0.3">
      <c r="B29" s="3" t="s">
        <v>62</v>
      </c>
      <c r="C29">
        <v>28</v>
      </c>
      <c r="D29" t="s">
        <v>36</v>
      </c>
      <c r="E29">
        <v>210.02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  <c r="AG29" t="s">
        <v>35</v>
      </c>
    </row>
    <row r="30" spans="2:33" hidden="1" x14ac:dyDescent="0.3">
      <c r="B30" s="3" t="s">
        <v>62</v>
      </c>
      <c r="C30">
        <v>29</v>
      </c>
      <c r="D30" t="s">
        <v>34</v>
      </c>
      <c r="F30" s="3">
        <v>35.5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>
        <v>35.5</v>
      </c>
      <c r="W30" s="4"/>
      <c r="X30" s="4"/>
      <c r="Y30" s="4"/>
      <c r="Z30" s="9"/>
      <c r="AA30" s="4"/>
      <c r="AB30" s="4"/>
      <c r="AC30" s="4"/>
      <c r="AD30" s="4"/>
      <c r="AE30" s="4"/>
      <c r="AF30" s="4"/>
      <c r="AG30" t="s">
        <v>35</v>
      </c>
    </row>
    <row r="31" spans="2:33" hidden="1" x14ac:dyDescent="0.3">
      <c r="B31" s="3" t="s">
        <v>62</v>
      </c>
      <c r="C31">
        <v>29</v>
      </c>
      <c r="D31" t="s">
        <v>36</v>
      </c>
      <c r="E31">
        <v>57.5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  <c r="AG31" t="s">
        <v>35</v>
      </c>
    </row>
    <row r="32" spans="2:33" hidden="1" x14ac:dyDescent="0.3">
      <c r="B32" s="3" t="s">
        <v>62</v>
      </c>
      <c r="C32">
        <v>30</v>
      </c>
      <c r="D32" t="s">
        <v>34</v>
      </c>
      <c r="F32" s="3">
        <v>36.979999999999997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>
        <v>36.979999999999997</v>
      </c>
      <c r="W32" s="4"/>
      <c r="X32" s="4"/>
      <c r="Y32" s="4"/>
      <c r="Z32" s="9"/>
      <c r="AA32" s="4"/>
      <c r="AB32" s="4"/>
      <c r="AC32" s="4"/>
      <c r="AD32" s="4"/>
      <c r="AE32" s="4"/>
      <c r="AF32" s="4"/>
      <c r="AG32" t="s">
        <v>35</v>
      </c>
    </row>
    <row r="33" spans="2:33" hidden="1" x14ac:dyDescent="0.3">
      <c r="B33" s="3" t="s">
        <v>62</v>
      </c>
      <c r="C33">
        <v>30</v>
      </c>
      <c r="D33" t="s">
        <v>36</v>
      </c>
      <c r="E33">
        <v>56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35</v>
      </c>
    </row>
    <row r="34" spans="2:33" hidden="1" x14ac:dyDescent="0.3">
      <c r="B34" s="3" t="s">
        <v>62</v>
      </c>
      <c r="C34">
        <v>31</v>
      </c>
      <c r="D34" t="s">
        <v>34</v>
      </c>
      <c r="F34" s="3">
        <v>39.04</v>
      </c>
      <c r="J34">
        <v>628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>
        <v>39.04</v>
      </c>
      <c r="W34" s="4"/>
      <c r="X34" s="4"/>
      <c r="Y34" s="4"/>
      <c r="Z34" s="9"/>
      <c r="AA34" s="4"/>
      <c r="AB34" s="4"/>
      <c r="AC34" s="4"/>
      <c r="AD34" s="4"/>
      <c r="AE34" s="4"/>
      <c r="AF34" s="4"/>
      <c r="AG34" t="s">
        <v>35</v>
      </c>
    </row>
    <row r="35" spans="2:33" hidden="1" x14ac:dyDescent="0.3">
      <c r="B35" s="3" t="s">
        <v>62</v>
      </c>
      <c r="C35">
        <v>31</v>
      </c>
      <c r="D35" t="s">
        <v>36</v>
      </c>
      <c r="E35">
        <v>39.5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  <c r="AG35" t="s">
        <v>35</v>
      </c>
    </row>
    <row r="36" spans="2:33" hidden="1" x14ac:dyDescent="0.3">
      <c r="B36" s="3" t="s">
        <v>62</v>
      </c>
      <c r="C36">
        <v>32</v>
      </c>
      <c r="D36" t="s">
        <v>34</v>
      </c>
      <c r="F36" s="3">
        <v>34.42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>
        <v>34.42</v>
      </c>
      <c r="W36" s="4"/>
      <c r="X36" s="4"/>
      <c r="Y36" s="4"/>
      <c r="Z36" s="9"/>
      <c r="AA36" s="4"/>
      <c r="AB36" s="4"/>
      <c r="AC36" s="4"/>
      <c r="AD36" s="4"/>
      <c r="AE36" s="4"/>
      <c r="AF36" s="4"/>
      <c r="AG36" t="s">
        <v>35</v>
      </c>
    </row>
    <row r="37" spans="2:33" hidden="1" x14ac:dyDescent="0.3">
      <c r="B37" s="3" t="s">
        <v>62</v>
      </c>
      <c r="C37">
        <v>32</v>
      </c>
      <c r="D37" t="s">
        <v>36</v>
      </c>
      <c r="E37">
        <v>63.5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  <c r="AG37" t="s">
        <v>35</v>
      </c>
    </row>
    <row r="38" spans="2:33" hidden="1" x14ac:dyDescent="0.3">
      <c r="B38" s="3" t="s">
        <v>62</v>
      </c>
      <c r="C38">
        <v>33</v>
      </c>
      <c r="D38" t="s">
        <v>34</v>
      </c>
      <c r="F38" s="3">
        <v>34.119999999999997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>
        <v>34.119999999999997</v>
      </c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35</v>
      </c>
    </row>
    <row r="39" spans="2:33" hidden="1" x14ac:dyDescent="0.3">
      <c r="B39" s="3" t="s">
        <v>62</v>
      </c>
      <c r="C39">
        <v>33</v>
      </c>
      <c r="D39" t="s">
        <v>36</v>
      </c>
      <c r="E39">
        <v>67.5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/>
      <c r="AA39" s="4"/>
      <c r="AB39" s="4"/>
      <c r="AC39" s="4"/>
      <c r="AD39" s="4"/>
      <c r="AE39" s="4"/>
      <c r="AF39" s="4"/>
      <c r="AG39" t="s">
        <v>35</v>
      </c>
    </row>
    <row r="40" spans="2:33" hidden="1" x14ac:dyDescent="0.3">
      <c r="B40" s="3" t="s">
        <v>62</v>
      </c>
      <c r="C40">
        <v>34</v>
      </c>
      <c r="D40" t="s">
        <v>34</v>
      </c>
      <c r="F40" s="3">
        <v>32.11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>
        <v>32.11</v>
      </c>
      <c r="W40" s="4"/>
      <c r="X40" s="4"/>
      <c r="Y40" s="4"/>
      <c r="Z40" s="9"/>
      <c r="AA40" s="4"/>
      <c r="AB40" s="4"/>
      <c r="AC40" s="4"/>
      <c r="AD40" s="4"/>
      <c r="AE40" s="4"/>
      <c r="AF40" s="4"/>
      <c r="AG40" t="s">
        <v>35</v>
      </c>
    </row>
    <row r="41" spans="2:33" hidden="1" x14ac:dyDescent="0.3">
      <c r="B41" s="3" t="s">
        <v>62</v>
      </c>
      <c r="C41">
        <v>34</v>
      </c>
      <c r="D41" t="s">
        <v>36</v>
      </c>
      <c r="E41">
        <v>67.5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  <c r="AG41" t="s">
        <v>35</v>
      </c>
    </row>
    <row r="42" spans="2:33" hidden="1" x14ac:dyDescent="0.3">
      <c r="B42" s="3" t="s">
        <v>62</v>
      </c>
      <c r="C42">
        <v>37</v>
      </c>
      <c r="D42" t="s">
        <v>34</v>
      </c>
      <c r="F42" s="3">
        <v>35.9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>
        <v>35.9</v>
      </c>
      <c r="W42" s="4"/>
      <c r="X42" s="4"/>
      <c r="Y42" s="4"/>
      <c r="Z42" s="9"/>
      <c r="AA42" s="4"/>
      <c r="AB42" s="4"/>
      <c r="AC42" s="4"/>
      <c r="AD42" s="4"/>
      <c r="AE42" s="4"/>
      <c r="AF42" s="4"/>
      <c r="AG42" t="s">
        <v>35</v>
      </c>
    </row>
    <row r="43" spans="2:33" hidden="1" x14ac:dyDescent="0.3">
      <c r="B43" s="3" t="s">
        <v>62</v>
      </c>
      <c r="C43">
        <v>37</v>
      </c>
      <c r="D43" t="s">
        <v>36</v>
      </c>
      <c r="E43">
        <v>84.5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  <c r="AG43" t="s">
        <v>35</v>
      </c>
    </row>
    <row r="44" spans="2:33" hidden="1" x14ac:dyDescent="0.3">
      <c r="B44" s="3" t="s">
        <v>62</v>
      </c>
      <c r="C44">
        <v>38</v>
      </c>
      <c r="D44" t="s">
        <v>34</v>
      </c>
      <c r="E44">
        <v>39</v>
      </c>
      <c r="F44" s="3">
        <v>32.19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>
        <v>32.19</v>
      </c>
      <c r="W44" s="4"/>
      <c r="X44" s="4"/>
      <c r="Y44" s="4"/>
      <c r="Z44" s="9"/>
      <c r="AA44" s="4"/>
      <c r="AB44" s="4"/>
      <c r="AC44" s="4"/>
      <c r="AD44" s="4"/>
      <c r="AE44" s="4"/>
      <c r="AF44" s="4"/>
      <c r="AG44" t="s">
        <v>35</v>
      </c>
    </row>
    <row r="45" spans="2:33" hidden="1" x14ac:dyDescent="0.3">
      <c r="B45" s="3" t="s">
        <v>62</v>
      </c>
      <c r="C45">
        <v>38</v>
      </c>
      <c r="D45" t="s">
        <v>36</v>
      </c>
      <c r="E45">
        <v>114.5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  <c r="AG45" t="s">
        <v>35</v>
      </c>
    </row>
    <row r="46" spans="2:33" hidden="1" x14ac:dyDescent="0.3">
      <c r="B46" s="3" t="s">
        <v>62</v>
      </c>
      <c r="C46">
        <v>39</v>
      </c>
      <c r="D46" t="s">
        <v>34</v>
      </c>
      <c r="E46">
        <v>35</v>
      </c>
      <c r="F46" s="3">
        <v>76.599999999999994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>
        <v>37.72</v>
      </c>
      <c r="W46" s="4">
        <v>38.880000000000003</v>
      </c>
      <c r="X46" s="4"/>
      <c r="Y46" s="4"/>
      <c r="Z46" s="9"/>
      <c r="AA46" s="4"/>
      <c r="AB46" s="4"/>
      <c r="AC46" s="4"/>
      <c r="AD46" s="4"/>
      <c r="AE46" s="4"/>
      <c r="AF46" s="4"/>
      <c r="AG46" t="s">
        <v>35</v>
      </c>
    </row>
    <row r="47" spans="2:33" hidden="1" x14ac:dyDescent="0.3">
      <c r="B47" s="3" t="s">
        <v>62</v>
      </c>
      <c r="C47">
        <v>39</v>
      </c>
      <c r="D47" t="s">
        <v>36</v>
      </c>
      <c r="E47">
        <v>58.5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  <c r="AG47" t="s">
        <v>35</v>
      </c>
    </row>
    <row r="48" spans="2:33" hidden="1" x14ac:dyDescent="0.3">
      <c r="B48" s="3" t="s">
        <v>62</v>
      </c>
      <c r="C48">
        <v>40</v>
      </c>
      <c r="D48" t="s">
        <v>34</v>
      </c>
      <c r="E48">
        <v>61.5</v>
      </c>
      <c r="F48" s="3">
        <v>84.62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>
        <v>36.840000000000003</v>
      </c>
      <c r="W48" s="4">
        <v>47.78</v>
      </c>
      <c r="X48" s="4"/>
      <c r="Y48" s="4"/>
      <c r="Z48" s="9"/>
      <c r="AA48" s="4"/>
      <c r="AB48" s="4"/>
      <c r="AC48" s="4"/>
      <c r="AD48" s="4"/>
      <c r="AE48" s="4"/>
      <c r="AF48" s="4"/>
      <c r="AG48" t="s">
        <v>35</v>
      </c>
    </row>
    <row r="49" spans="2:33" hidden="1" x14ac:dyDescent="0.3">
      <c r="B49" s="3" t="s">
        <v>62</v>
      </c>
      <c r="C49">
        <v>40</v>
      </c>
      <c r="D49" t="s">
        <v>36</v>
      </c>
      <c r="E49">
        <v>37.5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  <c r="AG49" t="s">
        <v>35</v>
      </c>
    </row>
    <row r="50" spans="2:33" hidden="1" x14ac:dyDescent="0.3">
      <c r="B50" s="3" t="s">
        <v>62</v>
      </c>
      <c r="C50">
        <v>41</v>
      </c>
      <c r="D50" t="s">
        <v>34</v>
      </c>
      <c r="E50">
        <v>65.5</v>
      </c>
      <c r="F50" s="3">
        <v>35.5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>
        <v>35.5</v>
      </c>
      <c r="W50" s="4"/>
      <c r="X50" s="4"/>
      <c r="Y50" s="4"/>
      <c r="Z50" s="9"/>
      <c r="AA50" s="4"/>
      <c r="AB50" s="4"/>
      <c r="AC50" s="4"/>
      <c r="AD50" s="4"/>
      <c r="AE50" s="4"/>
      <c r="AF50" s="4"/>
      <c r="AG50" t="s">
        <v>35</v>
      </c>
    </row>
    <row r="51" spans="2:33" hidden="1" x14ac:dyDescent="0.3">
      <c r="B51" s="3" t="s">
        <v>62</v>
      </c>
      <c r="C51">
        <v>41</v>
      </c>
      <c r="D51" t="s">
        <v>36</v>
      </c>
      <c r="E51">
        <v>32.5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  <c r="AG51" t="s">
        <v>35</v>
      </c>
    </row>
    <row r="52" spans="2:33" hidden="1" x14ac:dyDescent="0.3">
      <c r="B52" s="3" t="s">
        <v>62</v>
      </c>
      <c r="C52">
        <v>42</v>
      </c>
      <c r="D52" t="s">
        <v>34</v>
      </c>
      <c r="E52">
        <v>91.5</v>
      </c>
      <c r="F52" s="3">
        <v>34.380000000000003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>
        <v>34.380000000000003</v>
      </c>
      <c r="W52" s="4"/>
      <c r="X52" s="4"/>
      <c r="Y52" s="4"/>
      <c r="Z52" s="9"/>
      <c r="AA52" s="4"/>
      <c r="AB52" s="4"/>
      <c r="AC52" s="4"/>
      <c r="AD52" s="4"/>
      <c r="AE52" s="4"/>
      <c r="AF52" s="4"/>
      <c r="AG52" t="s">
        <v>35</v>
      </c>
    </row>
    <row r="53" spans="2:33" hidden="1" x14ac:dyDescent="0.3">
      <c r="B53" s="3" t="s">
        <v>62</v>
      </c>
      <c r="C53">
        <v>42</v>
      </c>
      <c r="D53" t="s">
        <v>36</v>
      </c>
      <c r="E53">
        <v>5.5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  <c r="AG53" t="s">
        <v>35</v>
      </c>
    </row>
    <row r="54" spans="2:33" hidden="1" x14ac:dyDescent="0.3">
      <c r="B54" s="3" t="s">
        <v>62</v>
      </c>
      <c r="C54">
        <v>43</v>
      </c>
      <c r="D54" t="s">
        <v>34</v>
      </c>
      <c r="E54">
        <v>198</v>
      </c>
      <c r="F54" s="3">
        <v>167.19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>
        <v>43.97</v>
      </c>
      <c r="W54" s="4">
        <v>123.22</v>
      </c>
      <c r="X54" s="4"/>
      <c r="Y54" s="4"/>
      <c r="Z54" s="9"/>
      <c r="AA54" s="4"/>
      <c r="AB54" s="4"/>
      <c r="AC54" s="4"/>
      <c r="AD54" s="4"/>
      <c r="AE54" s="4"/>
      <c r="AF54" s="4"/>
      <c r="AG54" t="s">
        <v>35</v>
      </c>
    </row>
    <row r="55" spans="2:33" hidden="1" x14ac:dyDescent="0.3">
      <c r="B55" s="3" t="s">
        <v>62</v>
      </c>
      <c r="C55">
        <v>43</v>
      </c>
      <c r="D55" t="s">
        <v>36</v>
      </c>
      <c r="E55">
        <v>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hidden="1" x14ac:dyDescent="0.3">
      <c r="B56" s="3" t="s">
        <v>62</v>
      </c>
      <c r="C56">
        <v>44</v>
      </c>
      <c r="D56" t="s">
        <v>34</v>
      </c>
      <c r="E56">
        <v>75</v>
      </c>
      <c r="F56" s="3">
        <v>189</v>
      </c>
      <c r="J56">
        <v>531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>
        <v>189</v>
      </c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hidden="1" x14ac:dyDescent="0.3">
      <c r="B57" s="3" t="s">
        <v>62</v>
      </c>
      <c r="C57">
        <v>44</v>
      </c>
      <c r="D57" t="s">
        <v>36</v>
      </c>
      <c r="E57">
        <v>48.5</v>
      </c>
      <c r="F57" s="3">
        <v>70.930000000000007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>
        <v>70.930000000000007</v>
      </c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hidden="1" x14ac:dyDescent="0.3">
      <c r="B58" s="3" t="s">
        <v>62</v>
      </c>
      <c r="C58" s="1" t="s">
        <v>96</v>
      </c>
      <c r="D58" t="s">
        <v>34</v>
      </c>
      <c r="E58">
        <v>0</v>
      </c>
      <c r="F58" s="3">
        <v>34.57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>
        <v>34.57</v>
      </c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hidden="1" x14ac:dyDescent="0.3">
      <c r="B59" s="3" t="s">
        <v>62</v>
      </c>
      <c r="C59" s="1" t="s">
        <v>96</v>
      </c>
      <c r="D59" t="s">
        <v>36</v>
      </c>
      <c r="E59">
        <v>158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hidden="1" x14ac:dyDescent="0.3">
      <c r="B60" s="3" t="s">
        <v>58</v>
      </c>
      <c r="C60">
        <v>21</v>
      </c>
      <c r="D60" t="s">
        <v>34</v>
      </c>
      <c r="E60">
        <f>475.4-8.8</f>
        <v>466.59999999999997</v>
      </c>
      <c r="F60" s="7">
        <v>1229.95</v>
      </c>
      <c r="G60">
        <v>19</v>
      </c>
      <c r="H60">
        <v>92.92</v>
      </c>
      <c r="I60">
        <v>78</v>
      </c>
      <c r="J60">
        <v>72</v>
      </c>
      <c r="K60" s="2"/>
      <c r="L60" s="4"/>
      <c r="M60" s="4"/>
      <c r="N60" s="4">
        <v>68</v>
      </c>
      <c r="O60" s="4">
        <v>621.84500000000003</v>
      </c>
      <c r="P60" s="4">
        <v>354.52499999999998</v>
      </c>
      <c r="Q60" s="4">
        <v>67.900000000000006</v>
      </c>
      <c r="R60" s="4">
        <v>117.68</v>
      </c>
      <c r="S60" s="4"/>
      <c r="T60" s="4"/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hidden="1" x14ac:dyDescent="0.3">
      <c r="B61" s="3" t="s">
        <v>58</v>
      </c>
      <c r="C61">
        <v>21</v>
      </c>
      <c r="D61" t="s">
        <v>36</v>
      </c>
      <c r="E61">
        <f>12.3+771.1</f>
        <v>783.4</v>
      </c>
      <c r="F61" s="3">
        <v>0</v>
      </c>
      <c r="K61" s="2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hidden="1" x14ac:dyDescent="0.3">
      <c r="B62" s="3" t="s">
        <v>58</v>
      </c>
      <c r="C62">
        <v>22</v>
      </c>
      <c r="D62" t="s">
        <v>34</v>
      </c>
      <c r="E62">
        <v>59.5</v>
      </c>
      <c r="F62" s="7">
        <v>328.75</v>
      </c>
      <c r="G62">
        <v>6</v>
      </c>
      <c r="H62">
        <v>16.16</v>
      </c>
      <c r="I62">
        <v>471</v>
      </c>
      <c r="J62">
        <v>338</v>
      </c>
      <c r="K62" s="2"/>
      <c r="L62" s="4"/>
      <c r="M62" s="4"/>
      <c r="N62" s="4"/>
      <c r="O62" s="4"/>
      <c r="P62" s="4">
        <v>328.75</v>
      </c>
      <c r="Q62" s="4"/>
      <c r="R62" s="4"/>
      <c r="S62" s="4"/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hidden="1" x14ac:dyDescent="0.3">
      <c r="B63" s="3" t="s">
        <v>58</v>
      </c>
      <c r="C63">
        <v>22</v>
      </c>
      <c r="D63" t="s">
        <v>36</v>
      </c>
      <c r="E63">
        <v>216</v>
      </c>
      <c r="F63" s="3">
        <v>0</v>
      </c>
      <c r="K63" s="2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hidden="1" x14ac:dyDescent="0.3">
      <c r="B64" s="3" t="s">
        <v>58</v>
      </c>
      <c r="C64">
        <v>23</v>
      </c>
      <c r="D64" t="s">
        <v>34</v>
      </c>
      <c r="E64">
        <v>352.8</v>
      </c>
      <c r="F64" s="7">
        <v>384.67</v>
      </c>
      <c r="G64">
        <v>7</v>
      </c>
      <c r="H64">
        <v>24.74</v>
      </c>
      <c r="I64">
        <v>987</v>
      </c>
      <c r="J64">
        <v>901</v>
      </c>
      <c r="K64" s="2"/>
      <c r="L64" s="4"/>
      <c r="M64" s="4"/>
      <c r="N64" s="4"/>
      <c r="O64" s="4"/>
      <c r="P64" s="4">
        <v>247.93</v>
      </c>
      <c r="Q64" s="4">
        <v>136.74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hidden="1" x14ac:dyDescent="0.3">
      <c r="B65" s="3" t="s">
        <v>58</v>
      </c>
      <c r="C65">
        <v>23</v>
      </c>
      <c r="D65" t="s">
        <v>36</v>
      </c>
      <c r="E65">
        <v>254.9</v>
      </c>
      <c r="F65" s="3">
        <v>20.32</v>
      </c>
      <c r="K65" s="2"/>
      <c r="L65" s="4"/>
      <c r="M65" s="4"/>
      <c r="N65" s="4"/>
      <c r="O65" s="4"/>
      <c r="P65" s="4"/>
      <c r="Q65" s="4">
        <v>20.32</v>
      </c>
      <c r="R65" s="4"/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hidden="1" x14ac:dyDescent="0.3">
      <c r="B66" s="3" t="s">
        <v>59</v>
      </c>
      <c r="C66">
        <v>24</v>
      </c>
      <c r="D66" t="s">
        <v>34</v>
      </c>
      <c r="E66">
        <v>207.5</v>
      </c>
      <c r="F66" s="3">
        <v>197.8</v>
      </c>
      <c r="I66">
        <v>1801</v>
      </c>
      <c r="K66" s="2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>
        <v>197.8</v>
      </c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hidden="1" x14ac:dyDescent="0.3">
      <c r="B67" s="3" t="s">
        <v>59</v>
      </c>
      <c r="C67">
        <v>24</v>
      </c>
      <c r="D67" t="s">
        <v>36</v>
      </c>
      <c r="E67">
        <v>95</v>
      </c>
      <c r="F67" s="3">
        <v>10.73</v>
      </c>
      <c r="K67" s="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>
        <f>6.22+4.51</f>
        <v>10.73</v>
      </c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hidden="1" x14ac:dyDescent="0.3">
      <c r="B68" s="3" t="s">
        <v>59</v>
      </c>
      <c r="C68">
        <v>25</v>
      </c>
      <c r="D68" t="s">
        <v>34</v>
      </c>
      <c r="E68">
        <v>315.5</v>
      </c>
      <c r="F68" s="3">
        <v>545.34</v>
      </c>
      <c r="I68">
        <v>168</v>
      </c>
      <c r="K68" s="2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>
        <v>545.34</v>
      </c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hidden="1" x14ac:dyDescent="0.3">
      <c r="B69" s="3" t="s">
        <v>59</v>
      </c>
      <c r="C69">
        <v>25</v>
      </c>
      <c r="D69" t="s">
        <v>36</v>
      </c>
      <c r="E69">
        <v>194.5</v>
      </c>
      <c r="F69" s="3">
        <v>12.02</v>
      </c>
      <c r="K69" s="2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>
        <v>12.02</v>
      </c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hidden="1" x14ac:dyDescent="0.3">
      <c r="B70" s="3" t="s">
        <v>33</v>
      </c>
      <c r="C70">
        <v>1</v>
      </c>
      <c r="D70" t="s">
        <v>34</v>
      </c>
      <c r="E70">
        <v>156.30000000000001</v>
      </c>
      <c r="F70" s="3">
        <v>150.44999999999999</v>
      </c>
      <c r="G70">
        <v>10</v>
      </c>
      <c r="L70" s="4"/>
      <c r="M70" s="6">
        <v>150.44999999999999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hidden="1" x14ac:dyDescent="0.3">
      <c r="B71" s="3" t="s">
        <v>33</v>
      </c>
      <c r="C71">
        <v>1</v>
      </c>
      <c r="D71" t="s">
        <v>36</v>
      </c>
      <c r="E71">
        <v>37.4</v>
      </c>
      <c r="F71" s="3">
        <v>27</v>
      </c>
      <c r="L71" s="4"/>
      <c r="M71" s="6">
        <v>27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hidden="1" x14ac:dyDescent="0.3">
      <c r="B72" s="3" t="s">
        <v>33</v>
      </c>
      <c r="C72">
        <v>2</v>
      </c>
      <c r="D72" t="s">
        <v>34</v>
      </c>
      <c r="F72" s="3">
        <v>59.64</v>
      </c>
      <c r="G72">
        <v>1</v>
      </c>
      <c r="L72" s="4"/>
      <c r="M72" s="6">
        <v>47.94</v>
      </c>
      <c r="N72" s="6">
        <v>11.7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hidden="1" x14ac:dyDescent="0.3">
      <c r="B73" s="3" t="s">
        <v>33</v>
      </c>
      <c r="C73">
        <v>2</v>
      </c>
      <c r="D73" t="s">
        <v>36</v>
      </c>
      <c r="E73">
        <v>108.9</v>
      </c>
      <c r="F73" s="3">
        <v>47.5</v>
      </c>
      <c r="L73" s="6">
        <v>47.5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hidden="1" x14ac:dyDescent="0.3">
      <c r="B74" s="3" t="s">
        <v>33</v>
      </c>
      <c r="C74">
        <v>3</v>
      </c>
      <c r="D74" t="s">
        <v>34</v>
      </c>
      <c r="F74" s="3">
        <v>105.6</v>
      </c>
      <c r="G74">
        <v>1</v>
      </c>
      <c r="L74" s="4"/>
      <c r="M74" s="6">
        <v>105.6</v>
      </c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hidden="1" x14ac:dyDescent="0.3">
      <c r="B75" s="3" t="s">
        <v>33</v>
      </c>
      <c r="C75">
        <v>3</v>
      </c>
      <c r="D75" t="s">
        <v>36</v>
      </c>
      <c r="E75">
        <v>112.7</v>
      </c>
      <c r="F75" s="3">
        <v>2.2999999999999998</v>
      </c>
      <c r="L75" s="4"/>
      <c r="M75" s="4"/>
      <c r="N75" s="6">
        <v>2.2999999999999998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hidden="1" x14ac:dyDescent="0.3">
      <c r="B76" s="3" t="s">
        <v>33</v>
      </c>
      <c r="C76">
        <v>4</v>
      </c>
      <c r="D76" t="s">
        <v>34</v>
      </c>
      <c r="E76">
        <v>109.9</v>
      </c>
      <c r="F76" s="3">
        <v>131.43</v>
      </c>
      <c r="G76">
        <v>2</v>
      </c>
      <c r="L76" s="4"/>
      <c r="M76" s="6">
        <v>66.83</v>
      </c>
      <c r="N76" s="6">
        <v>64.599999999999994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hidden="1" x14ac:dyDescent="0.3">
      <c r="B77" s="3" t="s">
        <v>33</v>
      </c>
      <c r="C77">
        <v>4</v>
      </c>
      <c r="D77" t="s">
        <v>36</v>
      </c>
      <c r="E77">
        <v>18.8</v>
      </c>
      <c r="I77">
        <v>2305</v>
      </c>
      <c r="J77">
        <v>2706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hidden="1" x14ac:dyDescent="0.3">
      <c r="B78" s="3" t="s">
        <v>38</v>
      </c>
      <c r="C78">
        <v>10</v>
      </c>
      <c r="D78" t="s">
        <v>34</v>
      </c>
      <c r="E78">
        <v>0</v>
      </c>
      <c r="F78" s="3">
        <v>192.04</v>
      </c>
      <c r="G78">
        <v>8</v>
      </c>
      <c r="H78">
        <v>26.74</v>
      </c>
      <c r="I78">
        <v>322</v>
      </c>
      <c r="J78">
        <v>661</v>
      </c>
      <c r="L78" s="4"/>
      <c r="M78" s="4"/>
      <c r="N78" s="4"/>
      <c r="O78" s="4"/>
      <c r="P78" s="4"/>
      <c r="Q78" s="4"/>
      <c r="R78" s="4">
        <v>192.04</v>
      </c>
      <c r="S78" s="4"/>
      <c r="T78" s="4"/>
      <c r="U78" s="4"/>
      <c r="V78" s="4"/>
      <c r="W78" s="4"/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hidden="1" x14ac:dyDescent="0.3">
      <c r="B79" s="3" t="s">
        <v>38</v>
      </c>
      <c r="C79">
        <v>10</v>
      </c>
      <c r="D79" t="s">
        <v>36</v>
      </c>
      <c r="E79">
        <v>44.2</v>
      </c>
      <c r="F79" s="3">
        <v>19.91</v>
      </c>
      <c r="L79" s="4"/>
      <c r="M79" s="4"/>
      <c r="N79" s="4"/>
      <c r="O79" s="4"/>
      <c r="P79" s="4"/>
      <c r="Q79" s="4"/>
      <c r="R79" s="4">
        <v>19.91</v>
      </c>
      <c r="S79" s="4"/>
      <c r="T79" s="4"/>
      <c r="U79" s="4"/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hidden="1" x14ac:dyDescent="0.3">
      <c r="B80" s="3" t="s">
        <v>38</v>
      </c>
      <c r="C80">
        <v>11</v>
      </c>
      <c r="D80" t="s">
        <v>34</v>
      </c>
      <c r="E80">
        <v>291.8</v>
      </c>
      <c r="F80" s="3">
        <v>259.3</v>
      </c>
      <c r="I80">
        <v>723</v>
      </c>
      <c r="J80">
        <v>270</v>
      </c>
      <c r="L80" s="4"/>
      <c r="M80" s="4"/>
      <c r="N80" s="4"/>
      <c r="O80" s="4"/>
      <c r="P80" s="4"/>
      <c r="Q80" s="4"/>
      <c r="R80" s="4">
        <v>259.3</v>
      </c>
      <c r="S80" s="4"/>
      <c r="T80" s="4"/>
      <c r="U80" s="4"/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hidden="1" x14ac:dyDescent="0.3">
      <c r="B81" s="3" t="s">
        <v>38</v>
      </c>
      <c r="C81">
        <v>11</v>
      </c>
      <c r="D81" t="s">
        <v>36</v>
      </c>
      <c r="E81">
        <v>208.6</v>
      </c>
      <c r="F81" s="3">
        <v>39.75</v>
      </c>
      <c r="L81" s="4"/>
      <c r="M81" s="4"/>
      <c r="N81" s="4"/>
      <c r="O81" s="4"/>
      <c r="P81" s="4"/>
      <c r="Q81" s="4"/>
      <c r="R81" s="4">
        <v>39.75</v>
      </c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hidden="1" x14ac:dyDescent="0.3">
      <c r="B82" s="3" t="s">
        <v>60</v>
      </c>
      <c r="C82">
        <v>26</v>
      </c>
      <c r="D82" t="s">
        <v>34</v>
      </c>
      <c r="E82">
        <v>31.9</v>
      </c>
      <c r="F82" s="3">
        <v>384.37</v>
      </c>
      <c r="I82">
        <v>1302</v>
      </c>
      <c r="J82">
        <v>1152</v>
      </c>
      <c r="L82" s="4"/>
      <c r="M82" s="4"/>
      <c r="N82" s="4"/>
      <c r="O82" s="4"/>
      <c r="P82" s="4"/>
      <c r="Q82" s="4"/>
      <c r="R82" s="4"/>
      <c r="S82" s="4"/>
      <c r="T82" s="4"/>
      <c r="U82" s="4">
        <v>384.37</v>
      </c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hidden="1" x14ac:dyDescent="0.3">
      <c r="B83" s="3" t="s">
        <v>60</v>
      </c>
      <c r="C83">
        <v>26</v>
      </c>
      <c r="D83" t="s">
        <v>36</v>
      </c>
      <c r="E83">
        <v>600.73</v>
      </c>
      <c r="F83" s="3">
        <v>23.8</v>
      </c>
      <c r="L83" s="4"/>
      <c r="M83" s="4"/>
      <c r="N83" s="4"/>
      <c r="O83" s="4"/>
      <c r="P83" s="4"/>
      <c r="Q83" s="4"/>
      <c r="R83" s="4"/>
      <c r="S83" s="4"/>
      <c r="T83" s="4"/>
      <c r="U83" s="4">
        <v>23.8</v>
      </c>
      <c r="V83" s="4"/>
      <c r="W83" s="4"/>
      <c r="X83" s="4"/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hidden="1" x14ac:dyDescent="0.3">
      <c r="B84" s="3" t="s">
        <v>57</v>
      </c>
      <c r="C84">
        <v>18</v>
      </c>
      <c r="D84" t="s">
        <v>34</v>
      </c>
      <c r="E84">
        <v>65.5</v>
      </c>
      <c r="F84" s="3">
        <v>288.26</v>
      </c>
      <c r="G84">
        <v>17</v>
      </c>
      <c r="H84">
        <v>51.09</v>
      </c>
      <c r="I84">
        <v>139</v>
      </c>
      <c r="J84">
        <v>109</v>
      </c>
      <c r="K84" s="2"/>
      <c r="L84" s="4"/>
      <c r="M84" s="4"/>
      <c r="N84" s="4"/>
      <c r="O84" s="4"/>
      <c r="P84" s="4"/>
      <c r="Q84" s="4">
        <v>288.26</v>
      </c>
      <c r="R84" s="4"/>
      <c r="S84" s="4"/>
      <c r="T84" s="4"/>
      <c r="U84" s="4"/>
      <c r="V84" s="4"/>
      <c r="W84" s="4"/>
      <c r="X84" s="4"/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hidden="1" x14ac:dyDescent="0.3">
      <c r="B85" s="3" t="s">
        <v>57</v>
      </c>
      <c r="C85">
        <v>18</v>
      </c>
      <c r="D85" t="s">
        <v>36</v>
      </c>
      <c r="E85">
        <v>226.5</v>
      </c>
      <c r="F85" s="3">
        <v>32.85</v>
      </c>
      <c r="K85" s="2"/>
      <c r="L85" s="4"/>
      <c r="M85" s="4"/>
      <c r="N85" s="4"/>
      <c r="O85" s="4"/>
      <c r="P85" s="4"/>
      <c r="Q85" s="4">
        <v>32.85</v>
      </c>
      <c r="R85" s="4"/>
      <c r="S85" s="4"/>
      <c r="T85" s="4"/>
      <c r="U85" s="4"/>
      <c r="V85" s="4"/>
      <c r="W85" s="4"/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hidden="1" x14ac:dyDescent="0.3">
      <c r="B86" s="3" t="s">
        <v>57</v>
      </c>
      <c r="C86">
        <v>19</v>
      </c>
      <c r="D86" t="s">
        <v>34</v>
      </c>
      <c r="E86">
        <v>366.4</v>
      </c>
      <c r="F86" s="3">
        <v>223.29</v>
      </c>
      <c r="I86">
        <v>219</v>
      </c>
      <c r="J86">
        <v>188</v>
      </c>
      <c r="K86" s="2"/>
      <c r="L86" s="4"/>
      <c r="M86" s="4"/>
      <c r="N86" s="4"/>
      <c r="O86" s="4"/>
      <c r="P86" s="4"/>
      <c r="Q86" s="4"/>
      <c r="R86" s="4">
        <v>223.29</v>
      </c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hidden="1" x14ac:dyDescent="0.3">
      <c r="B87" s="3" t="s">
        <v>57</v>
      </c>
      <c r="C87">
        <v>19</v>
      </c>
      <c r="D87" t="s">
        <v>36</v>
      </c>
      <c r="E87">
        <v>95.7</v>
      </c>
      <c r="F87" s="3">
        <v>26.66</v>
      </c>
      <c r="K87" s="2"/>
      <c r="L87" s="4"/>
      <c r="M87" s="4"/>
      <c r="N87" s="4"/>
      <c r="O87" s="4"/>
      <c r="P87" s="4"/>
      <c r="Q87" s="4">
        <v>26.66</v>
      </c>
      <c r="R87" s="4"/>
      <c r="S87" s="4"/>
      <c r="T87" s="4"/>
      <c r="U87" s="4"/>
      <c r="V87" s="4"/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hidden="1" x14ac:dyDescent="0.3">
      <c r="B88" s="3" t="s">
        <v>57</v>
      </c>
      <c r="C88">
        <v>20</v>
      </c>
      <c r="D88" t="s">
        <v>34</v>
      </c>
      <c r="E88">
        <v>163.4</v>
      </c>
      <c r="F88" s="3">
        <v>159.63</v>
      </c>
      <c r="I88">
        <v>848</v>
      </c>
      <c r="J88">
        <v>860</v>
      </c>
      <c r="K88" s="2"/>
      <c r="L88" s="4"/>
      <c r="M88" s="4"/>
      <c r="N88" s="4"/>
      <c r="O88" s="4"/>
      <c r="P88" s="4"/>
      <c r="Q88" s="4"/>
      <c r="R88" s="4"/>
      <c r="S88" s="4">
        <v>59.73</v>
      </c>
      <c r="T88" s="4">
        <v>99.9</v>
      </c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hidden="1" x14ac:dyDescent="0.3">
      <c r="B89" s="3" t="s">
        <v>57</v>
      </c>
      <c r="C89">
        <v>20</v>
      </c>
      <c r="D89" t="s">
        <v>36</v>
      </c>
      <c r="E89">
        <v>24</v>
      </c>
      <c r="F89" s="3">
        <v>31.4</v>
      </c>
      <c r="K89" s="2"/>
      <c r="L89" s="4"/>
      <c r="M89" s="4"/>
      <c r="N89" s="4"/>
      <c r="O89" s="4"/>
      <c r="P89" s="4"/>
      <c r="Q89" s="4">
        <v>31.4</v>
      </c>
      <c r="R89" s="4"/>
      <c r="S89" s="4"/>
      <c r="T89" s="4"/>
      <c r="U89" s="4"/>
      <c r="V89" s="4"/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hidden="1" x14ac:dyDescent="0.3">
      <c r="B90" t="s">
        <v>52</v>
      </c>
      <c r="C90">
        <v>13</v>
      </c>
      <c r="D90" t="s">
        <v>34</v>
      </c>
      <c r="E90">
        <v>820.2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</row>
    <row r="91" spans="2:33" hidden="1" x14ac:dyDescent="0.3">
      <c r="B91" t="s">
        <v>52</v>
      </c>
      <c r="C91">
        <v>13</v>
      </c>
      <c r="D91" t="s">
        <v>36</v>
      </c>
      <c r="E91">
        <v>191.4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9"/>
      <c r="AA91" s="4"/>
      <c r="AB91" s="4"/>
      <c r="AC91" s="4"/>
      <c r="AD91" s="4"/>
      <c r="AE91" s="4"/>
      <c r="AF91" s="4"/>
    </row>
    <row r="92" spans="2:33" hidden="1" x14ac:dyDescent="0.3">
      <c r="B92" s="3" t="s">
        <v>56</v>
      </c>
      <c r="C92">
        <v>14</v>
      </c>
      <c r="D92" t="s">
        <v>34</v>
      </c>
      <c r="E92">
        <v>267</v>
      </c>
      <c r="F92" s="3">
        <v>400</v>
      </c>
      <c r="I92">
        <v>41</v>
      </c>
      <c r="J92">
        <v>39</v>
      </c>
      <c r="K92" s="2"/>
      <c r="L92" s="4"/>
      <c r="M92" s="4"/>
      <c r="N92" s="4"/>
      <c r="O92" s="4"/>
      <c r="P92" s="4"/>
      <c r="Q92" s="4"/>
      <c r="R92" s="4">
        <v>75</v>
      </c>
      <c r="S92" s="4">
        <v>325</v>
      </c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hidden="1" x14ac:dyDescent="0.3">
      <c r="B93" s="3" t="s">
        <v>56</v>
      </c>
      <c r="C93">
        <v>14</v>
      </c>
      <c r="D93" t="s">
        <v>36</v>
      </c>
      <c r="E93">
        <v>233.1</v>
      </c>
      <c r="F93" s="3">
        <v>0</v>
      </c>
      <c r="K93" s="2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hidden="1" x14ac:dyDescent="0.3">
      <c r="B94" s="3" t="s">
        <v>56</v>
      </c>
      <c r="C94">
        <v>15</v>
      </c>
      <c r="D94" t="s">
        <v>34</v>
      </c>
      <c r="E94">
        <v>0</v>
      </c>
      <c r="F94" s="3">
        <v>157.69999999999999</v>
      </c>
      <c r="I94">
        <v>464</v>
      </c>
      <c r="J94">
        <v>523</v>
      </c>
      <c r="K94" s="2"/>
      <c r="L94" s="4"/>
      <c r="M94" s="4"/>
      <c r="N94" s="4"/>
      <c r="O94" s="4"/>
      <c r="P94" s="4"/>
      <c r="Q94" s="4"/>
      <c r="R94" s="4"/>
      <c r="S94" s="4"/>
      <c r="T94" s="4">
        <v>35</v>
      </c>
      <c r="U94" s="4">
        <v>122.7</v>
      </c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hidden="1" x14ac:dyDescent="0.3">
      <c r="B95" s="3" t="s">
        <v>56</v>
      </c>
      <c r="C95">
        <v>15</v>
      </c>
      <c r="D95" t="s">
        <v>36</v>
      </c>
      <c r="E95">
        <v>243.8</v>
      </c>
      <c r="F95" s="3">
        <v>0</v>
      </c>
      <c r="K95" s="2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hidden="1" x14ac:dyDescent="0.3">
      <c r="B96" s="3" t="s">
        <v>56</v>
      </c>
      <c r="C96">
        <v>16</v>
      </c>
      <c r="D96" t="s">
        <v>34</v>
      </c>
      <c r="E96">
        <v>0</v>
      </c>
      <c r="F96" s="3">
        <v>341.71499999999997</v>
      </c>
      <c r="I96">
        <v>2139</v>
      </c>
      <c r="J96">
        <v>2126</v>
      </c>
      <c r="K96" s="2"/>
      <c r="L96" s="4"/>
      <c r="M96" s="4"/>
      <c r="N96" s="4"/>
      <c r="O96" s="4"/>
      <c r="P96" s="4"/>
      <c r="Q96" s="4"/>
      <c r="R96" s="4"/>
      <c r="S96" s="4">
        <v>220</v>
      </c>
      <c r="T96" s="4">
        <v>121.715</v>
      </c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hidden="1" x14ac:dyDescent="0.3">
      <c r="B97" s="3" t="s">
        <v>56</v>
      </c>
      <c r="C97">
        <v>16</v>
      </c>
      <c r="D97" t="s">
        <v>36</v>
      </c>
      <c r="E97">
        <v>276.10000000000002</v>
      </c>
      <c r="F97" s="3">
        <v>13.17</v>
      </c>
      <c r="K97" s="2"/>
      <c r="L97" s="4"/>
      <c r="M97" s="4"/>
      <c r="N97" s="4"/>
      <c r="O97" s="4"/>
      <c r="P97" s="4"/>
      <c r="Q97" s="4"/>
      <c r="R97" s="4"/>
      <c r="S97" s="4"/>
      <c r="T97" s="4">
        <v>13.17</v>
      </c>
      <c r="U97" s="4"/>
      <c r="V97" s="4"/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hidden="1" x14ac:dyDescent="0.3">
      <c r="B98" s="3" t="s">
        <v>56</v>
      </c>
      <c r="C98">
        <v>17</v>
      </c>
      <c r="D98" t="s">
        <v>34</v>
      </c>
      <c r="F98" s="3">
        <v>43.02</v>
      </c>
      <c r="I98">
        <v>208</v>
      </c>
      <c r="J98">
        <v>191</v>
      </c>
      <c r="K98" s="2"/>
      <c r="L98" s="4"/>
      <c r="M98" s="4"/>
      <c r="N98" s="4"/>
      <c r="O98" s="4"/>
      <c r="P98" s="4"/>
      <c r="Q98" s="4"/>
      <c r="R98" s="4"/>
      <c r="S98" s="4"/>
      <c r="T98" s="4">
        <v>43.015000000000001</v>
      </c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hidden="1" x14ac:dyDescent="0.3">
      <c r="B99" s="3" t="s">
        <v>56</v>
      </c>
      <c r="C99">
        <v>17</v>
      </c>
      <c r="D99" t="s">
        <v>36</v>
      </c>
      <c r="E99">
        <v>83.2</v>
      </c>
      <c r="F99" s="3">
        <v>51.05</v>
      </c>
      <c r="K99" s="2"/>
      <c r="L99" s="4"/>
      <c r="M99" s="4"/>
      <c r="N99" s="4"/>
      <c r="O99" s="4"/>
      <c r="P99" s="4"/>
      <c r="Q99" s="4"/>
      <c r="R99" s="4"/>
      <c r="S99" s="4">
        <v>51.05</v>
      </c>
      <c r="T99" s="4"/>
      <c r="U99" s="4"/>
      <c r="V99" s="4"/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hidden="1" x14ac:dyDescent="0.3">
      <c r="B100" s="3" t="s">
        <v>55</v>
      </c>
      <c r="C100">
        <v>13</v>
      </c>
      <c r="D100" t="s">
        <v>34</v>
      </c>
      <c r="E100">
        <v>0</v>
      </c>
      <c r="F100" s="3">
        <v>320.31299999999999</v>
      </c>
      <c r="K100" s="2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>
        <f>78.58+84.32+66.57+78.843</f>
        <v>308.31299999999999</v>
      </c>
      <c r="Z100" s="9">
        <v>12</v>
      </c>
      <c r="AA100" s="4"/>
      <c r="AB100" s="4"/>
      <c r="AC100" s="4"/>
      <c r="AD100" s="4"/>
      <c r="AE100" s="4"/>
      <c r="AF100" s="4"/>
      <c r="AG100" t="s">
        <v>35</v>
      </c>
    </row>
    <row r="101" spans="2:33" hidden="1" x14ac:dyDescent="0.3">
      <c r="B101" s="3" t="s">
        <v>37</v>
      </c>
      <c r="C101">
        <v>5</v>
      </c>
      <c r="D101" t="s">
        <v>34</v>
      </c>
      <c r="E101">
        <v>0</v>
      </c>
      <c r="F101" s="3">
        <v>523.65499999999997</v>
      </c>
      <c r="G101">
        <v>47</v>
      </c>
      <c r="H101">
        <v>136.19</v>
      </c>
      <c r="I101">
        <v>797</v>
      </c>
      <c r="J101">
        <v>599</v>
      </c>
      <c r="L101" s="4"/>
      <c r="M101" s="4"/>
      <c r="N101" s="6">
        <v>217.93</v>
      </c>
      <c r="O101" s="6">
        <v>305.72500000000002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hidden="1" x14ac:dyDescent="0.3">
      <c r="B102" s="3" t="s">
        <v>37</v>
      </c>
      <c r="C102">
        <v>5</v>
      </c>
      <c r="D102" t="s">
        <v>36</v>
      </c>
      <c r="E102">
        <v>469.7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hidden="1" x14ac:dyDescent="0.3">
      <c r="B103" s="3" t="s">
        <v>37</v>
      </c>
      <c r="C103">
        <v>6</v>
      </c>
      <c r="D103" t="s">
        <v>34</v>
      </c>
      <c r="E103">
        <v>124.2</v>
      </c>
      <c r="F103" s="3">
        <v>342.71</v>
      </c>
      <c r="I103">
        <v>91</v>
      </c>
      <c r="J103">
        <v>595</v>
      </c>
      <c r="L103" s="4"/>
      <c r="M103" s="4"/>
      <c r="N103" s="4"/>
      <c r="O103" s="6">
        <v>134.10499999999999</v>
      </c>
      <c r="P103" s="6">
        <v>208.60499999999999</v>
      </c>
      <c r="Q103" s="4"/>
      <c r="R103" s="4"/>
      <c r="S103" s="4"/>
      <c r="T103" s="4"/>
      <c r="U103" s="4"/>
      <c r="V103" s="4"/>
      <c r="W103" s="4"/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hidden="1" x14ac:dyDescent="0.3">
      <c r="B104" s="3" t="s">
        <v>37</v>
      </c>
      <c r="C104">
        <v>6</v>
      </c>
      <c r="D104" t="s">
        <v>36</v>
      </c>
      <c r="E104">
        <v>83</v>
      </c>
      <c r="F104" s="3"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hidden="1" x14ac:dyDescent="0.3">
      <c r="B105" s="3" t="s">
        <v>37</v>
      </c>
      <c r="C105">
        <v>7</v>
      </c>
      <c r="D105" t="s">
        <v>34</v>
      </c>
      <c r="E105">
        <v>240.7</v>
      </c>
      <c r="F105" s="3">
        <f>tb_base_dash_extensao[[#This Row],[produção Agosto 2025]]</f>
        <v>159.47499999999999</v>
      </c>
      <c r="I105">
        <v>589</v>
      </c>
      <c r="J105">
        <v>109</v>
      </c>
      <c r="L105" s="4"/>
      <c r="M105" s="4"/>
      <c r="N105" s="4"/>
      <c r="O105" s="4"/>
      <c r="P105" s="6">
        <f>231.85-72.375</f>
        <v>159.47499999999999</v>
      </c>
      <c r="Q105" s="4"/>
      <c r="R105" s="4"/>
      <c r="S105" s="4"/>
      <c r="T105" s="4"/>
      <c r="U105" s="4"/>
      <c r="V105" s="4"/>
      <c r="W105" s="4"/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hidden="1" customHeight="1" x14ac:dyDescent="0.3">
      <c r="B106" s="3" t="s">
        <v>37</v>
      </c>
      <c r="C106">
        <v>7</v>
      </c>
      <c r="D106" t="s">
        <v>36</v>
      </c>
      <c r="E106">
        <v>118.5</v>
      </c>
      <c r="F106" s="3">
        <v>4.0599999999999996</v>
      </c>
      <c r="L106" s="4"/>
      <c r="M106" s="4"/>
      <c r="N106" s="4"/>
      <c r="O106" s="4"/>
      <c r="P106" s="6">
        <v>4.0599999999999996</v>
      </c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hidden="1" x14ac:dyDescent="0.3">
      <c r="B107" s="3" t="s">
        <v>37</v>
      </c>
      <c r="C107">
        <v>8</v>
      </c>
      <c r="D107" t="s">
        <v>34</v>
      </c>
      <c r="E107">
        <v>0</v>
      </c>
      <c r="F107" s="3">
        <f>tb_base_dash_extensao[[#This Row],[produção Agosto 2025]]+tb_base_dash_extensao[[#This Row],[produção Setembro 2025]]</f>
        <v>295.33500000000004</v>
      </c>
      <c r="I107">
        <v>614</v>
      </c>
      <c r="J107">
        <v>3229</v>
      </c>
      <c r="L107" s="4"/>
      <c r="M107" s="4"/>
      <c r="N107" s="4"/>
      <c r="O107" s="4"/>
      <c r="P107" s="6">
        <f>132.27-72.375</f>
        <v>59.89500000000001</v>
      </c>
      <c r="Q107" s="6">
        <v>235.44</v>
      </c>
      <c r="R107" s="4"/>
      <c r="S107" s="4"/>
      <c r="T107" s="4"/>
      <c r="U107" s="4"/>
      <c r="V107" s="4"/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hidden="1" x14ac:dyDescent="0.3">
      <c r="B108" s="3" t="s">
        <v>37</v>
      </c>
      <c r="C108">
        <v>8</v>
      </c>
      <c r="D108" t="s">
        <v>36</v>
      </c>
      <c r="E108">
        <v>232.1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hidden="1" x14ac:dyDescent="0.3">
      <c r="B109" s="3" t="s">
        <v>37</v>
      </c>
      <c r="C109">
        <v>9</v>
      </c>
      <c r="D109" t="s">
        <v>34</v>
      </c>
      <c r="E109">
        <v>70.5</v>
      </c>
      <c r="F109" s="3">
        <v>253.94</v>
      </c>
      <c r="I109">
        <v>2964</v>
      </c>
      <c r="J109">
        <v>42</v>
      </c>
      <c r="L109" s="4"/>
      <c r="M109" s="4"/>
      <c r="N109" s="4"/>
      <c r="O109" s="4"/>
      <c r="P109" s="4"/>
      <c r="Q109" s="4">
        <v>253.94</v>
      </c>
      <c r="R109" s="4"/>
      <c r="S109" s="4"/>
      <c r="T109" s="4"/>
      <c r="U109" s="4"/>
      <c r="V109" s="4"/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hidden="1" x14ac:dyDescent="0.3">
      <c r="B110" s="3" t="s">
        <v>37</v>
      </c>
      <c r="C110">
        <v>9</v>
      </c>
      <c r="D110" t="s">
        <v>36</v>
      </c>
      <c r="E110">
        <v>754</v>
      </c>
      <c r="F110" s="3">
        <f>tb_base_dash_extensao[[#This Row],[produção Agosto 2025]]+tb_base_dash_extensao[[#This Row],[produção Setembro 2025]]+tb_base_dash_extensao[[#This Row],[produção Dezembro 2025]]</f>
        <v>373.08500000000004</v>
      </c>
      <c r="L110" s="4"/>
      <c r="M110" s="4"/>
      <c r="N110" s="4"/>
      <c r="O110" s="4"/>
      <c r="P110" s="4">
        <f>242.97-72.375</f>
        <v>170.595</v>
      </c>
      <c r="Q110" s="4">
        <v>148.49</v>
      </c>
      <c r="R110" s="4"/>
      <c r="S110" s="4"/>
      <c r="T110" s="4">
        <v>54</v>
      </c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hidden="1" x14ac:dyDescent="0.3">
      <c r="B111" t="s">
        <v>89</v>
      </c>
      <c r="C111">
        <v>75</v>
      </c>
      <c r="D111" t="s">
        <v>34</v>
      </c>
      <c r="F111" s="3">
        <v>880.94100000000003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>
        <f>592.21-43.66</f>
        <v>548.55000000000007</v>
      </c>
      <c r="Z111" s="9">
        <f>64.57+79.57+66.725+63.68+57.846</f>
        <v>332.39099999999996</v>
      </c>
      <c r="AA111" s="4"/>
      <c r="AB111" s="4"/>
      <c r="AC111" s="4"/>
      <c r="AD111" s="4"/>
      <c r="AE111" s="4"/>
      <c r="AF111" s="4"/>
      <c r="AG111" t="s">
        <v>40</v>
      </c>
    </row>
    <row r="112" spans="2:33" hidden="1" x14ac:dyDescent="0.3">
      <c r="B112" t="s">
        <v>89</v>
      </c>
      <c r="C112">
        <v>75</v>
      </c>
      <c r="D112" t="s">
        <v>36</v>
      </c>
      <c r="E112">
        <v>858.5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40</v>
      </c>
    </row>
    <row r="113" spans="2:33" hidden="1" x14ac:dyDescent="0.3">
      <c r="B113" s="3" t="s">
        <v>77</v>
      </c>
      <c r="C113">
        <v>69</v>
      </c>
      <c r="D113" t="s">
        <v>34</v>
      </c>
      <c r="E113">
        <v>205.65</v>
      </c>
      <c r="F113" s="3">
        <v>76.400000000000006</v>
      </c>
      <c r="I113">
        <v>288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>
        <v>76.400000000000006</v>
      </c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hidden="1" x14ac:dyDescent="0.3">
      <c r="B114" s="3" t="s">
        <v>77</v>
      </c>
      <c r="C114">
        <v>69</v>
      </c>
      <c r="D114" t="s">
        <v>36</v>
      </c>
      <c r="E114">
        <v>59.6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hidden="1" x14ac:dyDescent="0.3">
      <c r="B115" s="3" t="s">
        <v>77</v>
      </c>
      <c r="C115">
        <v>70</v>
      </c>
      <c r="D115" t="s">
        <v>34</v>
      </c>
      <c r="E115">
        <v>62.5</v>
      </c>
      <c r="F115" s="3">
        <v>344.13</v>
      </c>
      <c r="I115">
        <v>415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>
        <v>81.8</v>
      </c>
      <c r="X115" s="4">
        <f>42+158.17+61.95+0.21</f>
        <v>262.33</v>
      </c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hidden="1" x14ac:dyDescent="0.3">
      <c r="B116" s="3" t="s">
        <v>77</v>
      </c>
      <c r="C116">
        <v>70</v>
      </c>
      <c r="D116" t="s">
        <v>36</v>
      </c>
      <c r="E116">
        <v>63</v>
      </c>
      <c r="F116" s="3">
        <v>47.56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47.56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hidden="1" x14ac:dyDescent="0.3">
      <c r="B117" s="3" t="s">
        <v>74</v>
      </c>
      <c r="C117">
        <v>64</v>
      </c>
      <c r="D117" t="s">
        <v>34</v>
      </c>
      <c r="E117">
        <v>240.4</v>
      </c>
      <c r="F117" s="3">
        <v>766.04399999999998</v>
      </c>
      <c r="G117">
        <v>18</v>
      </c>
      <c r="H117">
        <v>61.47</v>
      </c>
      <c r="I117">
        <v>1989</v>
      </c>
      <c r="J117">
        <v>1901</v>
      </c>
      <c r="L117" s="4"/>
      <c r="M117" s="4"/>
      <c r="N117" s="4"/>
      <c r="O117" s="4"/>
      <c r="P117" s="4"/>
      <c r="Q117" s="4"/>
      <c r="R117" s="4"/>
      <c r="S117" s="4"/>
      <c r="T117" s="4"/>
      <c r="U117" s="4">
        <f>528.5-68.36+91.707</f>
        <v>551.84699999999998</v>
      </c>
      <c r="V117" s="4">
        <f>52.4-0.15+91.707</f>
        <v>143.95699999999999</v>
      </c>
      <c r="W117" s="4"/>
      <c r="X117" s="4">
        <v>70.239999999999995</v>
      </c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hidden="1" x14ac:dyDescent="0.3">
      <c r="B118" s="3" t="s">
        <v>74</v>
      </c>
      <c r="C118">
        <v>64</v>
      </c>
      <c r="D118" t="s">
        <v>36</v>
      </c>
      <c r="E118">
        <v>976.24</v>
      </c>
      <c r="F118" s="3">
        <v>162.15</v>
      </c>
      <c r="L118" s="4"/>
      <c r="M118" s="4"/>
      <c r="N118" s="4"/>
      <c r="O118" s="4"/>
      <c r="P118" s="4"/>
      <c r="Q118" s="4"/>
      <c r="R118" s="4"/>
      <c r="S118" s="4"/>
      <c r="T118" s="4"/>
      <c r="U118" s="4">
        <v>42.7</v>
      </c>
      <c r="V118" s="4"/>
      <c r="W118" s="4">
        <v>39.799999999999997</v>
      </c>
      <c r="X118" s="4">
        <v>8.81</v>
      </c>
      <c r="Y118" s="4">
        <v>70.84</v>
      </c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hidden="1" x14ac:dyDescent="0.3">
      <c r="B119" s="3" t="s">
        <v>74</v>
      </c>
      <c r="C119">
        <v>65</v>
      </c>
      <c r="D119" t="s">
        <v>34</v>
      </c>
      <c r="E119">
        <v>286</v>
      </c>
      <c r="F119" s="3">
        <v>466.40699999999998</v>
      </c>
      <c r="G119">
        <v>8</v>
      </c>
      <c r="H119">
        <v>28.55</v>
      </c>
      <c r="I119">
        <v>574</v>
      </c>
      <c r="J119">
        <v>822</v>
      </c>
      <c r="L119" s="4"/>
      <c r="M119" s="4"/>
      <c r="N119" s="4"/>
      <c r="O119" s="4"/>
      <c r="P119" s="4"/>
      <c r="Q119" s="4"/>
      <c r="R119" s="4"/>
      <c r="S119" s="4"/>
      <c r="T119" s="4"/>
      <c r="U119" s="4">
        <f>67.2+51</f>
        <v>118.2</v>
      </c>
      <c r="V119" s="4">
        <f>256.5+91.707</f>
        <v>348.20699999999999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hidden="1" x14ac:dyDescent="0.3">
      <c r="B120" s="3" t="s">
        <v>74</v>
      </c>
      <c r="C120">
        <v>65</v>
      </c>
      <c r="D120" t="s">
        <v>36</v>
      </c>
      <c r="E120">
        <v>566.29999999999995</v>
      </c>
      <c r="F120" s="3">
        <v>142.61000000000001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>
        <v>65.599999999999994</v>
      </c>
      <c r="X120" s="4"/>
      <c r="Y120" s="4">
        <f>14.84+38.87+23.3</f>
        <v>77.009999999999991</v>
      </c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hidden="1" x14ac:dyDescent="0.3">
      <c r="B121" s="3" t="s">
        <v>74</v>
      </c>
      <c r="C121">
        <v>66</v>
      </c>
      <c r="D121" t="s">
        <v>34</v>
      </c>
      <c r="F121" s="3">
        <v>207.4</v>
      </c>
      <c r="G121">
        <v>7</v>
      </c>
      <c r="H121">
        <v>21.76</v>
      </c>
      <c r="I121">
        <v>597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207.4</v>
      </c>
      <c r="W121" s="4"/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hidden="1" x14ac:dyDescent="0.3">
      <c r="B122" s="3" t="s">
        <v>74</v>
      </c>
      <c r="C122">
        <v>66</v>
      </c>
      <c r="D122" t="s">
        <v>36</v>
      </c>
      <c r="E122">
        <v>116.6</v>
      </c>
      <c r="F122" s="3">
        <v>2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>
        <v>2</v>
      </c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hidden="1" x14ac:dyDescent="0.3">
      <c r="B123" t="s">
        <v>50</v>
      </c>
      <c r="C123">
        <v>13</v>
      </c>
      <c r="D123" t="s">
        <v>34</v>
      </c>
      <c r="E123">
        <v>1583.28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9"/>
      <c r="AA123" s="4"/>
      <c r="AB123" s="4"/>
      <c r="AC123" s="4"/>
      <c r="AD123" s="4"/>
      <c r="AE123" s="4"/>
      <c r="AF123" s="4"/>
    </row>
    <row r="124" spans="2:33" hidden="1" x14ac:dyDescent="0.3">
      <c r="B124" t="s">
        <v>50</v>
      </c>
      <c r="C124">
        <v>13</v>
      </c>
      <c r="D124" t="s">
        <v>36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</row>
    <row r="125" spans="2:33" hidden="1" x14ac:dyDescent="0.3">
      <c r="B125" t="s">
        <v>53</v>
      </c>
      <c r="C125">
        <v>13</v>
      </c>
      <c r="D125" t="s">
        <v>34</v>
      </c>
      <c r="E125">
        <v>165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9"/>
      <c r="AA125" s="4"/>
      <c r="AB125" s="4"/>
      <c r="AC125" s="4"/>
      <c r="AD125" s="4"/>
      <c r="AE125" s="4"/>
      <c r="AF125" s="4"/>
    </row>
    <row r="126" spans="2:33" hidden="1" x14ac:dyDescent="0.3">
      <c r="B126" t="s">
        <v>53</v>
      </c>
      <c r="C126">
        <v>13</v>
      </c>
      <c r="D126" t="s">
        <v>36</v>
      </c>
      <c r="E126">
        <v>43.5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</row>
    <row r="127" spans="2:33" hidden="1" x14ac:dyDescent="0.3">
      <c r="B127" t="s">
        <v>48</v>
      </c>
      <c r="C127">
        <v>13</v>
      </c>
      <c r="D127" t="s">
        <v>34</v>
      </c>
      <c r="I127">
        <v>11130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9"/>
      <c r="AA127" s="4"/>
      <c r="AB127" s="4"/>
      <c r="AC127" s="4"/>
      <c r="AD127" s="4"/>
      <c r="AE127" s="4"/>
      <c r="AF127" s="4"/>
    </row>
    <row r="128" spans="2:33" hidden="1" x14ac:dyDescent="0.3">
      <c r="B128" t="s">
        <v>48</v>
      </c>
      <c r="C128">
        <v>13</v>
      </c>
      <c r="D128" t="s">
        <v>36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</row>
    <row r="129" spans="2:33" hidden="1" x14ac:dyDescent="0.3">
      <c r="B129" t="s">
        <v>70</v>
      </c>
      <c r="C129">
        <v>61</v>
      </c>
      <c r="D129" t="s">
        <v>34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9"/>
      <c r="AA129" s="4"/>
      <c r="AB129" s="4"/>
      <c r="AC129" s="4"/>
      <c r="AD129" s="4"/>
      <c r="AE129" s="4"/>
      <c r="AF129" s="4"/>
    </row>
    <row r="130" spans="2:33" hidden="1" x14ac:dyDescent="0.3">
      <c r="B130" t="s">
        <v>70</v>
      </c>
      <c r="C130">
        <v>61</v>
      </c>
      <c r="D130" t="s">
        <v>36</v>
      </c>
      <c r="E130">
        <v>109.8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</row>
    <row r="131" spans="2:33" hidden="1" x14ac:dyDescent="0.3">
      <c r="B131" s="3" t="s">
        <v>82</v>
      </c>
      <c r="C131">
        <v>74</v>
      </c>
      <c r="D131" t="s">
        <v>34</v>
      </c>
      <c r="E131">
        <v>341.2</v>
      </c>
      <c r="F131" s="3">
        <v>145.88</v>
      </c>
      <c r="I131">
        <v>37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>
        <v>78.180000000000007</v>
      </c>
      <c r="X131" s="4">
        <f>18.75+12+36.95</f>
        <v>67.7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hidden="1" x14ac:dyDescent="0.3">
      <c r="B132" s="3" t="s">
        <v>82</v>
      </c>
      <c r="C132">
        <v>74</v>
      </c>
      <c r="D132" t="s">
        <v>36</v>
      </c>
      <c r="E132">
        <v>83.8</v>
      </c>
      <c r="F132" s="3">
        <v>55.83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>
        <f>34.75+6.11+14.97</f>
        <v>55.83</v>
      </c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hidden="1" x14ac:dyDescent="0.3">
      <c r="B133" s="3" t="s">
        <v>71</v>
      </c>
      <c r="C133">
        <v>62</v>
      </c>
      <c r="D133" t="s">
        <v>34</v>
      </c>
      <c r="I133">
        <v>32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hidden="1" x14ac:dyDescent="0.3">
      <c r="B134" s="3" t="s">
        <v>71</v>
      </c>
      <c r="C134">
        <v>62</v>
      </c>
      <c r="D134" t="s">
        <v>36</v>
      </c>
      <c r="E134">
        <v>59.5</v>
      </c>
      <c r="F134" s="3">
        <v>68.2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9">
        <v>68.2</v>
      </c>
      <c r="AA134" s="4"/>
      <c r="AB134" s="4"/>
      <c r="AC134" s="4"/>
      <c r="AD134" s="4"/>
      <c r="AE134" s="4"/>
      <c r="AF134" s="4"/>
      <c r="AG134" t="s">
        <v>35</v>
      </c>
    </row>
    <row r="135" spans="2:33" hidden="1" x14ac:dyDescent="0.3">
      <c r="B135" s="3" t="s">
        <v>80</v>
      </c>
      <c r="C135">
        <v>73</v>
      </c>
      <c r="D135" t="s">
        <v>34</v>
      </c>
      <c r="E135">
        <v>131.30000000000001</v>
      </c>
      <c r="I135">
        <v>134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hidden="1" x14ac:dyDescent="0.3">
      <c r="B136" s="3" t="s">
        <v>80</v>
      </c>
      <c r="C136">
        <v>73</v>
      </c>
      <c r="D136" t="s">
        <v>36</v>
      </c>
      <c r="E136">
        <v>15.2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hidden="1" x14ac:dyDescent="0.3">
      <c r="B137" s="3" t="s">
        <v>51</v>
      </c>
      <c r="C137">
        <v>13</v>
      </c>
      <c r="D137" t="s">
        <v>34</v>
      </c>
      <c r="E137">
        <v>699.23500000000001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</row>
    <row r="138" spans="2:33" hidden="1" x14ac:dyDescent="0.3">
      <c r="B138" s="3" t="s">
        <v>51</v>
      </c>
      <c r="C138">
        <v>13</v>
      </c>
      <c r="D138" t="s">
        <v>36</v>
      </c>
      <c r="E138">
        <v>166.2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</row>
    <row r="139" spans="2:33" hidden="1" x14ac:dyDescent="0.3">
      <c r="B139" s="3" t="s">
        <v>49</v>
      </c>
      <c r="C139">
        <v>13</v>
      </c>
      <c r="D139" t="s">
        <v>34</v>
      </c>
      <c r="E139">
        <v>1787.905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</row>
    <row r="140" spans="2:33" hidden="1" x14ac:dyDescent="0.3">
      <c r="B140" s="3" t="s">
        <v>49</v>
      </c>
      <c r="C140">
        <v>13</v>
      </c>
      <c r="D140" t="s">
        <v>36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</row>
    <row r="141" spans="2:33" hidden="1" x14ac:dyDescent="0.3">
      <c r="B141" s="3" t="s">
        <v>81</v>
      </c>
      <c r="C141">
        <v>74</v>
      </c>
      <c r="D141" t="s">
        <v>34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9"/>
      <c r="AA141" s="4"/>
      <c r="AB141" s="4"/>
      <c r="AC141" s="4"/>
      <c r="AD141" s="4"/>
      <c r="AE141" s="4"/>
      <c r="AF141" s="4"/>
    </row>
    <row r="142" spans="2:33" hidden="1" x14ac:dyDescent="0.3">
      <c r="B142" s="3" t="s">
        <v>81</v>
      </c>
      <c r="C142">
        <v>74</v>
      </c>
      <c r="D142" t="s">
        <v>36</v>
      </c>
      <c r="E142">
        <v>1021.03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9"/>
      <c r="AA142" s="4"/>
      <c r="AB142" s="4"/>
      <c r="AC142" s="4"/>
      <c r="AD142" s="4"/>
      <c r="AE142" s="4"/>
      <c r="AF142" s="4"/>
    </row>
    <row r="143" spans="2:33" hidden="1" x14ac:dyDescent="0.3">
      <c r="B143" s="3" t="s">
        <v>47</v>
      </c>
      <c r="C143" s="1">
        <v>12</v>
      </c>
      <c r="D143" t="s">
        <v>34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47</v>
      </c>
      <c r="C144" s="1">
        <v>12</v>
      </c>
      <c r="D144" t="s">
        <v>36</v>
      </c>
      <c r="E144">
        <v>205</v>
      </c>
      <c r="F144" s="3">
        <v>216.1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>
        <v>169.1</v>
      </c>
      <c r="AA144" s="4">
        <v>47</v>
      </c>
      <c r="AB144" s="4"/>
      <c r="AC144" s="4"/>
      <c r="AD144" s="4"/>
      <c r="AE144" s="4"/>
      <c r="AF144" s="4"/>
      <c r="AG144" t="s">
        <v>35</v>
      </c>
    </row>
    <row r="145" spans="2:38" hidden="1" x14ac:dyDescent="0.3">
      <c r="B145" s="3" t="s">
        <v>65</v>
      </c>
      <c r="C145">
        <v>57</v>
      </c>
      <c r="D145" t="s">
        <v>34</v>
      </c>
      <c r="E145">
        <v>0</v>
      </c>
      <c r="F145" s="3">
        <v>296.60000000000002</v>
      </c>
      <c r="I145">
        <v>511</v>
      </c>
      <c r="J145">
        <v>393</v>
      </c>
      <c r="L145" s="4"/>
      <c r="M145" s="4"/>
      <c r="N145" s="4"/>
      <c r="O145" s="4"/>
      <c r="P145" s="4"/>
      <c r="Q145" s="4"/>
      <c r="R145" s="4">
        <v>296.60000000000002</v>
      </c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  <c r="AG145" t="s">
        <v>35</v>
      </c>
    </row>
    <row r="146" spans="2:38" hidden="1" x14ac:dyDescent="0.3">
      <c r="B146" s="3" t="s">
        <v>65</v>
      </c>
      <c r="C146">
        <v>57</v>
      </c>
      <c r="D146" t="s">
        <v>36</v>
      </c>
      <c r="E146">
        <v>437</v>
      </c>
      <c r="F146" s="3">
        <v>0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  <c r="AG146" t="s">
        <v>35</v>
      </c>
    </row>
    <row r="147" spans="2:38" hidden="1" x14ac:dyDescent="0.3">
      <c r="B147" s="3" t="s">
        <v>65</v>
      </c>
      <c r="C147">
        <v>58</v>
      </c>
      <c r="D147" t="s">
        <v>34</v>
      </c>
      <c r="E147">
        <v>141.5</v>
      </c>
      <c r="F147" s="3">
        <v>204.3</v>
      </c>
      <c r="I147">
        <v>118</v>
      </c>
      <c r="L147" s="4"/>
      <c r="M147" s="4"/>
      <c r="N147" s="4"/>
      <c r="O147" s="4"/>
      <c r="P147" s="4"/>
      <c r="Q147" s="4"/>
      <c r="R147" s="4">
        <v>102.5</v>
      </c>
      <c r="S147" s="4"/>
      <c r="T147" s="4"/>
      <c r="U147" s="4">
        <v>28.8</v>
      </c>
      <c r="V147" s="4">
        <v>73</v>
      </c>
      <c r="W147" s="4"/>
      <c r="X147" s="4"/>
      <c r="Y147" s="4"/>
      <c r="Z147" s="9"/>
      <c r="AA147" s="4"/>
      <c r="AB147" s="4"/>
      <c r="AC147" s="4"/>
      <c r="AD147" s="4"/>
      <c r="AE147" s="4"/>
      <c r="AF147" s="4"/>
      <c r="AG147" t="s">
        <v>35</v>
      </c>
    </row>
    <row r="148" spans="2:38" hidden="1" x14ac:dyDescent="0.3">
      <c r="B148" s="3" t="s">
        <v>65</v>
      </c>
      <c r="C148">
        <v>58</v>
      </c>
      <c r="D148" t="s">
        <v>36</v>
      </c>
      <c r="E148">
        <v>70.5</v>
      </c>
      <c r="F148" s="3">
        <v>48</v>
      </c>
      <c r="L148" s="4"/>
      <c r="M148" s="4"/>
      <c r="N148" s="4"/>
      <c r="O148" s="4"/>
      <c r="P148" s="4"/>
      <c r="Q148" s="4"/>
      <c r="R148" s="4">
        <v>16</v>
      </c>
      <c r="S148" s="4"/>
      <c r="T148" s="4"/>
      <c r="U148" s="4"/>
      <c r="V148" s="4">
        <v>32</v>
      </c>
      <c r="W148" s="4"/>
      <c r="X148" s="4"/>
      <c r="Y148" s="4"/>
      <c r="Z148" s="9"/>
      <c r="AA148" s="4"/>
      <c r="AB148" s="4"/>
      <c r="AC148" s="4"/>
      <c r="AD148" s="4"/>
      <c r="AE148" s="4"/>
      <c r="AF148" s="4"/>
      <c r="AG148" t="s">
        <v>35</v>
      </c>
    </row>
    <row r="149" spans="2:38" hidden="1" x14ac:dyDescent="0.3">
      <c r="B149" s="3" t="s">
        <v>79</v>
      </c>
      <c r="C149">
        <v>71</v>
      </c>
      <c r="D149" t="s">
        <v>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hidden="1" x14ac:dyDescent="0.3">
      <c r="B150" s="3" t="s">
        <v>79</v>
      </c>
      <c r="C150">
        <v>71</v>
      </c>
      <c r="D150" t="s">
        <v>36</v>
      </c>
      <c r="E150">
        <v>125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9"/>
      <c r="AA150" s="4"/>
      <c r="AB150" s="4"/>
      <c r="AC150" s="4"/>
      <c r="AD150" s="4"/>
      <c r="AE150" s="4"/>
      <c r="AF150" s="4"/>
    </row>
    <row r="151" spans="2:38" hidden="1" x14ac:dyDescent="0.3">
      <c r="B151" s="3" t="s">
        <v>66</v>
      </c>
      <c r="C151">
        <v>59</v>
      </c>
      <c r="D151" t="s">
        <v>34</v>
      </c>
      <c r="E151">
        <v>75.5</v>
      </c>
      <c r="F151" s="3">
        <v>220.59</v>
      </c>
      <c r="I151">
        <v>2295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>
        <v>220.59</v>
      </c>
      <c r="Y151" s="4"/>
      <c r="Z151" s="9"/>
      <c r="AA151" s="4"/>
      <c r="AB151" s="4"/>
      <c r="AC151" s="4"/>
      <c r="AD151" s="4"/>
      <c r="AE151" s="4"/>
      <c r="AF151" s="4"/>
    </row>
    <row r="152" spans="2:38" hidden="1" x14ac:dyDescent="0.3">
      <c r="B152" s="3" t="s">
        <v>66</v>
      </c>
      <c r="C152">
        <v>59</v>
      </c>
      <c r="D152" t="s">
        <v>36</v>
      </c>
      <c r="E152">
        <v>130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hidden="1" x14ac:dyDescent="0.3">
      <c r="B153" s="3" t="s">
        <v>67</v>
      </c>
      <c r="C153">
        <v>60</v>
      </c>
      <c r="D153" t="s">
        <v>34</v>
      </c>
      <c r="E153">
        <v>174</v>
      </c>
      <c r="I153">
        <v>220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hidden="1" x14ac:dyDescent="0.3">
      <c r="B154" s="3" t="s">
        <v>67</v>
      </c>
      <c r="C154">
        <v>60</v>
      </c>
      <c r="D154" t="s">
        <v>36</v>
      </c>
      <c r="E154">
        <v>415.5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/>
      <c r="AA154" s="4"/>
      <c r="AB154" s="4"/>
      <c r="AC154" s="4"/>
      <c r="AD154" s="4"/>
      <c r="AE154" s="4"/>
      <c r="AF154" s="4"/>
    </row>
    <row r="155" spans="2:38" hidden="1" x14ac:dyDescent="0.3">
      <c r="B155" s="3" t="s">
        <v>86</v>
      </c>
      <c r="C155">
        <v>75</v>
      </c>
      <c r="D155" t="s">
        <v>34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hidden="1" x14ac:dyDescent="0.3">
      <c r="B156" s="3" t="s">
        <v>86</v>
      </c>
      <c r="C156">
        <v>75</v>
      </c>
      <c r="D156" t="s">
        <v>36</v>
      </c>
      <c r="E156">
        <v>238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hidden="1" x14ac:dyDescent="0.3">
      <c r="B157" s="3" t="s">
        <v>87</v>
      </c>
      <c r="C157">
        <v>75</v>
      </c>
      <c r="D157" t="s">
        <v>34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hidden="1" x14ac:dyDescent="0.3">
      <c r="B158" s="3" t="s">
        <v>87</v>
      </c>
      <c r="C158">
        <v>75</v>
      </c>
      <c r="D158" t="s">
        <v>36</v>
      </c>
      <c r="E158">
        <v>69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hidden="1" x14ac:dyDescent="0.3">
      <c r="B159" s="3" t="s">
        <v>88</v>
      </c>
      <c r="C159">
        <v>75</v>
      </c>
      <c r="D159" t="s">
        <v>34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9"/>
      <c r="AA159" s="4"/>
      <c r="AB159" s="4"/>
      <c r="AC159" s="4"/>
      <c r="AD159" s="4"/>
      <c r="AE159" s="4"/>
      <c r="AF159" s="4"/>
    </row>
    <row r="160" spans="2:38" hidden="1" x14ac:dyDescent="0.3">
      <c r="B160" s="3" t="s">
        <v>88</v>
      </c>
      <c r="C160">
        <v>75</v>
      </c>
      <c r="D160" t="s">
        <v>36</v>
      </c>
      <c r="E160">
        <v>140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9"/>
      <c r="AA160" s="4"/>
      <c r="AB160" s="4"/>
      <c r="AC160" s="4"/>
      <c r="AD160" s="4"/>
      <c r="AE160" s="4"/>
      <c r="AF160" s="4"/>
      <c r="AL160">
        <f>AL157/3</f>
        <v>91.706666666666635</v>
      </c>
    </row>
    <row r="161" spans="2:33" hidden="1" x14ac:dyDescent="0.3">
      <c r="B161" s="3" t="s">
        <v>76</v>
      </c>
      <c r="C161">
        <v>68</v>
      </c>
      <c r="D161" t="s">
        <v>34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9"/>
      <c r="AA161" s="4"/>
      <c r="AB161" s="4"/>
      <c r="AC161" s="4"/>
      <c r="AD161" s="4"/>
      <c r="AE161" s="4"/>
      <c r="AF161" s="4"/>
    </row>
    <row r="162" spans="2:33" hidden="1" x14ac:dyDescent="0.3">
      <c r="B162" s="3" t="s">
        <v>76</v>
      </c>
      <c r="C162">
        <v>68</v>
      </c>
      <c r="D162" t="s">
        <v>36</v>
      </c>
      <c r="E162">
        <v>747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9"/>
      <c r="AA162" s="4"/>
      <c r="AB162" s="4"/>
      <c r="AC162" s="4"/>
      <c r="AD162" s="4"/>
      <c r="AE162" s="4"/>
      <c r="AF162" s="4"/>
    </row>
    <row r="163" spans="2:33" hidden="1" x14ac:dyDescent="0.3">
      <c r="B163" s="3" t="s">
        <v>85</v>
      </c>
      <c r="C163">
        <v>75</v>
      </c>
      <c r="D163" t="s">
        <v>34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35</v>
      </c>
    </row>
    <row r="164" spans="2:33" hidden="1" x14ac:dyDescent="0.3">
      <c r="B164" s="3" t="s">
        <v>85</v>
      </c>
      <c r="C164">
        <v>75</v>
      </c>
      <c r="D164" t="s">
        <v>36</v>
      </c>
      <c r="E164">
        <v>338.5</v>
      </c>
      <c r="F164" s="3">
        <v>377.8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9">
        <v>377.8</v>
      </c>
      <c r="AA164" s="4"/>
      <c r="AB164" s="4"/>
      <c r="AC164" s="4"/>
      <c r="AD164" s="4"/>
      <c r="AE164" s="4"/>
      <c r="AF164" s="4"/>
      <c r="AG164" t="s">
        <v>35</v>
      </c>
    </row>
    <row r="165" spans="2:33" hidden="1" x14ac:dyDescent="0.3">
      <c r="B165" s="3" t="s">
        <v>83</v>
      </c>
      <c r="C165">
        <v>75</v>
      </c>
      <c r="D165" t="s">
        <v>34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  <c r="AG165" t="s">
        <v>35</v>
      </c>
    </row>
    <row r="166" spans="2:33" x14ac:dyDescent="0.3">
      <c r="B166" s="3" t="s">
        <v>83</v>
      </c>
      <c r="C166">
        <v>75</v>
      </c>
      <c r="D166" t="s">
        <v>36</v>
      </c>
      <c r="E166">
        <v>226.5</v>
      </c>
      <c r="F166" s="3">
        <v>210.7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>
        <v>100.7</v>
      </c>
      <c r="AA166" s="4">
        <v>110</v>
      </c>
      <c r="AB166" s="4"/>
      <c r="AC166" s="4"/>
      <c r="AD166" s="4"/>
      <c r="AE166" s="4"/>
      <c r="AF166" s="4"/>
      <c r="AG166" t="s">
        <v>35</v>
      </c>
    </row>
    <row r="167" spans="2:33" hidden="1" x14ac:dyDescent="0.3">
      <c r="B167" s="3" t="s">
        <v>94</v>
      </c>
      <c r="C167">
        <v>76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  <c r="AG167" t="s">
        <v>40</v>
      </c>
    </row>
    <row r="168" spans="2:33" x14ac:dyDescent="0.3">
      <c r="B168" s="3" t="s">
        <v>94</v>
      </c>
      <c r="C168">
        <v>76</v>
      </c>
      <c r="D168" t="s">
        <v>36</v>
      </c>
      <c r="E168">
        <v>1566.27</v>
      </c>
      <c r="F168" s="3">
        <v>531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>
        <v>42</v>
      </c>
      <c r="AA168" s="4">
        <v>489</v>
      </c>
      <c r="AB168" s="4"/>
      <c r="AC168" s="4"/>
      <c r="AD168" s="4"/>
      <c r="AE168" s="4"/>
      <c r="AF168" s="4"/>
      <c r="AG168" t="s">
        <v>40</v>
      </c>
    </row>
    <row r="169" spans="2:33" hidden="1" x14ac:dyDescent="0.3">
      <c r="B169" s="3" t="s">
        <v>91</v>
      </c>
      <c r="C169">
        <v>75</v>
      </c>
      <c r="D169" t="s">
        <v>34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91</v>
      </c>
      <c r="C170">
        <v>75</v>
      </c>
      <c r="D170" t="s">
        <v>36</v>
      </c>
      <c r="E170">
        <v>180</v>
      </c>
      <c r="F170" s="3">
        <v>167.96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>
        <v>43.66</v>
      </c>
      <c r="Z170" s="9">
        <v>89.8</v>
      </c>
      <c r="AA170" s="4">
        <v>34.5</v>
      </c>
      <c r="AB170" s="4"/>
      <c r="AC170" s="4"/>
      <c r="AD170" s="4"/>
      <c r="AE170" s="4"/>
      <c r="AF170" s="4"/>
      <c r="AG170" t="s">
        <v>35</v>
      </c>
    </row>
    <row r="171" spans="2:33" hidden="1" x14ac:dyDescent="0.3">
      <c r="B171" s="3" t="s">
        <v>42</v>
      </c>
      <c r="C171">
        <v>12</v>
      </c>
      <c r="D171" t="s">
        <v>34</v>
      </c>
      <c r="E171">
        <v>20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9"/>
      <c r="AA171" s="4"/>
      <c r="AB171" s="4"/>
      <c r="AC171" s="4"/>
      <c r="AD171" s="4"/>
      <c r="AE171" s="4"/>
      <c r="AF171" s="4"/>
    </row>
    <row r="172" spans="2:33" hidden="1" x14ac:dyDescent="0.3">
      <c r="B172" s="3" t="s">
        <v>42</v>
      </c>
      <c r="C172">
        <v>12</v>
      </c>
      <c r="D172" t="s">
        <v>36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9"/>
      <c r="AA172" s="4"/>
      <c r="AB172" s="4"/>
      <c r="AC172" s="4"/>
      <c r="AD172" s="4"/>
      <c r="AE172" s="4"/>
      <c r="AF172" s="4"/>
    </row>
    <row r="173" spans="2:33" hidden="1" x14ac:dyDescent="0.3">
      <c r="B173" s="3" t="s">
        <v>68</v>
      </c>
      <c r="C173">
        <v>60</v>
      </c>
      <c r="D173" t="s">
        <v>34</v>
      </c>
      <c r="E173">
        <v>28.85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hidden="1" x14ac:dyDescent="0.3">
      <c r="B174" s="3" t="s">
        <v>68</v>
      </c>
      <c r="C174">
        <v>60</v>
      </c>
      <c r="D174" t="s">
        <v>36</v>
      </c>
      <c r="E174">
        <v>138.24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hidden="1" x14ac:dyDescent="0.3">
      <c r="B175" s="3" t="s">
        <v>97</v>
      </c>
      <c r="C175" s="1" t="s">
        <v>98</v>
      </c>
      <c r="D175" t="s">
        <v>34</v>
      </c>
      <c r="E175">
        <v>351</v>
      </c>
      <c r="F175" s="3">
        <v>300.68</v>
      </c>
      <c r="I175">
        <v>8</v>
      </c>
      <c r="J175">
        <v>27</v>
      </c>
      <c r="L175" s="4"/>
      <c r="M175" s="4"/>
      <c r="N175" s="4"/>
      <c r="O175" s="4"/>
      <c r="P175" s="4"/>
      <c r="Q175" s="4"/>
      <c r="R175" s="4"/>
      <c r="S175" s="4">
        <v>300.68</v>
      </c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hidden="1" x14ac:dyDescent="0.3">
      <c r="B176" s="3" t="s">
        <v>97</v>
      </c>
      <c r="C176" s="1" t="s">
        <v>98</v>
      </c>
      <c r="D176" t="s">
        <v>36</v>
      </c>
      <c r="E176">
        <v>152</v>
      </c>
      <c r="F176" s="3">
        <v>337.46</v>
      </c>
      <c r="L176" s="4"/>
      <c r="M176" s="4"/>
      <c r="N176" s="4"/>
      <c r="O176" s="4"/>
      <c r="P176" s="4"/>
      <c r="Q176" s="4">
        <v>127.69</v>
      </c>
      <c r="R176" s="4"/>
      <c r="S176" s="4"/>
      <c r="T176" s="4"/>
      <c r="U176" s="4"/>
      <c r="V176" s="4"/>
      <c r="W176" s="4">
        <v>42</v>
      </c>
      <c r="X176" s="4">
        <v>167.77</v>
      </c>
      <c r="Y176" s="4"/>
      <c r="Z176" s="9"/>
      <c r="AA176" s="4"/>
      <c r="AB176" s="4"/>
      <c r="AC176" s="4"/>
      <c r="AD176" s="4"/>
      <c r="AE176" s="4"/>
      <c r="AF176" s="4"/>
    </row>
    <row r="177" spans="2:33" hidden="1" x14ac:dyDescent="0.3">
      <c r="B177" s="3" t="s">
        <v>99</v>
      </c>
      <c r="C177" s="1" t="s">
        <v>100</v>
      </c>
      <c r="D177" t="s">
        <v>34</v>
      </c>
      <c r="E177">
        <v>100.2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hidden="1" x14ac:dyDescent="0.3">
      <c r="B178" s="3" t="s">
        <v>99</v>
      </c>
      <c r="C178" s="1" t="s">
        <v>100</v>
      </c>
      <c r="D178" t="s">
        <v>36</v>
      </c>
      <c r="E178">
        <v>253.5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hidden="1" x14ac:dyDescent="0.3">
      <c r="B179" s="3" t="s">
        <v>101</v>
      </c>
      <c r="C179" s="1" t="s">
        <v>102</v>
      </c>
      <c r="D179" t="s">
        <v>34</v>
      </c>
      <c r="E179">
        <v>89.9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hidden="1" x14ac:dyDescent="0.3">
      <c r="B180" s="3" t="s">
        <v>101</v>
      </c>
      <c r="C180" s="1" t="s">
        <v>102</v>
      </c>
      <c r="D180" t="s">
        <v>36</v>
      </c>
      <c r="E180">
        <v>322.2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hidden="1" x14ac:dyDescent="0.3">
      <c r="B181" s="3" t="s">
        <v>103</v>
      </c>
      <c r="C181" s="1" t="s">
        <v>104</v>
      </c>
      <c r="D181" t="s">
        <v>34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9"/>
      <c r="AA181" s="4"/>
      <c r="AB181" s="4"/>
      <c r="AC181" s="4"/>
      <c r="AD181" s="4"/>
      <c r="AE181" s="4"/>
      <c r="AF181" s="4"/>
    </row>
    <row r="182" spans="2:33" hidden="1" x14ac:dyDescent="0.3">
      <c r="B182" s="3" t="s">
        <v>103</v>
      </c>
      <c r="C182" s="1" t="s">
        <v>104</v>
      </c>
      <c r="D182" t="s">
        <v>36</v>
      </c>
      <c r="E182">
        <v>129.80000000000001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9"/>
      <c r="AA182" s="4"/>
      <c r="AB182" s="4"/>
      <c r="AC182" s="4"/>
      <c r="AD182" s="4"/>
      <c r="AE182" s="4"/>
      <c r="AF182" s="4"/>
    </row>
    <row r="183" spans="2:33" hidden="1" x14ac:dyDescent="0.3">
      <c r="B183" s="3" t="s">
        <v>90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hidden="1" x14ac:dyDescent="0.3">
      <c r="B184" s="3" t="s">
        <v>90</v>
      </c>
      <c r="C184">
        <v>75</v>
      </c>
      <c r="D184" t="s">
        <v>36</v>
      </c>
      <c r="E184">
        <v>168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/>
      <c r="AA184" s="4"/>
      <c r="AB184" s="4"/>
      <c r="AC184" s="4"/>
      <c r="AD184" s="4"/>
      <c r="AE184" s="4"/>
      <c r="AF184" s="4"/>
      <c r="AG184" t="s">
        <v>40</v>
      </c>
    </row>
    <row r="185" spans="2:33" hidden="1" x14ac:dyDescent="0.3">
      <c r="B185" s="3" t="s">
        <v>78</v>
      </c>
      <c r="C185">
        <v>71</v>
      </c>
      <c r="D185" t="s">
        <v>34</v>
      </c>
      <c r="E185">
        <v>217</v>
      </c>
      <c r="I185">
        <v>141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hidden="1" x14ac:dyDescent="0.3">
      <c r="B186" s="3" t="s">
        <v>78</v>
      </c>
      <c r="C186">
        <v>71</v>
      </c>
      <c r="D186" t="s">
        <v>36</v>
      </c>
      <c r="E186">
        <v>28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hidden="1" x14ac:dyDescent="0.3">
      <c r="B187" s="3" t="s">
        <v>44</v>
      </c>
      <c r="C187">
        <v>12</v>
      </c>
      <c r="D187" t="s">
        <v>34</v>
      </c>
      <c r="F187" s="3">
        <v>38.299999999999997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>
        <v>38.299999999999997</v>
      </c>
      <c r="AA187" s="4"/>
      <c r="AB187" s="4"/>
      <c r="AC187" s="4"/>
      <c r="AD187" s="4"/>
      <c r="AE187" s="4"/>
      <c r="AF187" s="4"/>
      <c r="AG187" t="s">
        <v>35</v>
      </c>
    </row>
    <row r="188" spans="2:33" hidden="1" x14ac:dyDescent="0.3">
      <c r="B188" s="3" t="s">
        <v>44</v>
      </c>
      <c r="C188">
        <v>12</v>
      </c>
      <c r="D188" t="s">
        <v>36</v>
      </c>
      <c r="E188">
        <v>55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/>
      <c r="AA188" s="4"/>
      <c r="AB188" s="4"/>
      <c r="AC188" s="4"/>
      <c r="AD188" s="4"/>
      <c r="AE188" s="4"/>
      <c r="AF188" s="4"/>
      <c r="AG188" t="s">
        <v>35</v>
      </c>
    </row>
    <row r="189" spans="2:33" hidden="1" x14ac:dyDescent="0.3">
      <c r="B189" s="3" t="s">
        <v>45</v>
      </c>
      <c r="C189">
        <v>12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hidden="1" x14ac:dyDescent="0.3">
      <c r="B190" s="3" t="s">
        <v>45</v>
      </c>
      <c r="C190">
        <v>12</v>
      </c>
      <c r="D190" t="s">
        <v>36</v>
      </c>
      <c r="E190">
        <v>34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hidden="1" x14ac:dyDescent="0.3">
      <c r="B191" s="3" t="s">
        <v>54</v>
      </c>
      <c r="C191">
        <v>13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hidden="1" x14ac:dyDescent="0.3">
      <c r="B192" s="3" t="s">
        <v>54</v>
      </c>
      <c r="C192">
        <v>13</v>
      </c>
      <c r="D192" t="s">
        <v>36</v>
      </c>
      <c r="E192">
        <v>201.5</v>
      </c>
      <c r="K192" s="2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hidden="1" x14ac:dyDescent="0.3">
      <c r="B193" s="3" t="s">
        <v>43</v>
      </c>
      <c r="C193">
        <v>12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  <c r="AG193" t="s">
        <v>40</v>
      </c>
    </row>
    <row r="194" spans="2:33" hidden="1" x14ac:dyDescent="0.3">
      <c r="B194" s="3" t="s">
        <v>43</v>
      </c>
      <c r="C194">
        <v>12</v>
      </c>
      <c r="D194" t="s">
        <v>36</v>
      </c>
      <c r="E194">
        <v>110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  <c r="AG194" t="s">
        <v>40</v>
      </c>
    </row>
    <row r="195" spans="2:33" hidden="1" x14ac:dyDescent="0.3">
      <c r="B195" s="3" t="s">
        <v>92</v>
      </c>
      <c r="C195">
        <v>76</v>
      </c>
      <c r="D195" t="s">
        <v>34</v>
      </c>
      <c r="I195">
        <v>182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9"/>
      <c r="AA195" s="4"/>
      <c r="AB195" s="4"/>
      <c r="AC195" s="4"/>
      <c r="AD195" s="4"/>
      <c r="AE195" s="4"/>
      <c r="AF195" s="4"/>
    </row>
    <row r="196" spans="2:33" hidden="1" x14ac:dyDescent="0.3">
      <c r="B196" s="3" t="s">
        <v>92</v>
      </c>
      <c r="C196">
        <v>76</v>
      </c>
      <c r="D196" t="s">
        <v>36</v>
      </c>
      <c r="E196">
        <v>238.52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</row>
    <row r="197" spans="2:33" hidden="1" x14ac:dyDescent="0.3">
      <c r="B197" s="3" t="s">
        <v>46</v>
      </c>
      <c r="C197">
        <v>12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</row>
    <row r="198" spans="2:33" hidden="1" x14ac:dyDescent="0.3">
      <c r="B198" s="3" t="s">
        <v>46</v>
      </c>
      <c r="C198">
        <v>12</v>
      </c>
      <c r="D198" t="s">
        <v>36</v>
      </c>
      <c r="E198">
        <v>17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</row>
    <row r="199" spans="2:33" hidden="1" x14ac:dyDescent="0.3">
      <c r="B199" s="3" t="s">
        <v>41</v>
      </c>
      <c r="C199">
        <v>12</v>
      </c>
      <c r="D199" t="s">
        <v>34</v>
      </c>
      <c r="E199">
        <v>137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</row>
    <row r="200" spans="2:33" hidden="1" x14ac:dyDescent="0.3">
      <c r="B200" s="3" t="s">
        <v>41</v>
      </c>
      <c r="C200">
        <v>12</v>
      </c>
      <c r="D200" t="s">
        <v>36</v>
      </c>
      <c r="E200">
        <v>636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9"/>
      <c r="AA200" s="4"/>
      <c r="AB200" s="4"/>
      <c r="AC200" s="4"/>
      <c r="AD200" s="4"/>
      <c r="AE200" s="4"/>
      <c r="AF200" s="4"/>
    </row>
    <row r="201" spans="2:33" hidden="1" x14ac:dyDescent="0.3">
      <c r="B201" s="3" t="s">
        <v>61</v>
      </c>
      <c r="C201">
        <v>26</v>
      </c>
      <c r="D201" t="s">
        <v>34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</row>
    <row r="202" spans="2:33" hidden="1" x14ac:dyDescent="0.3">
      <c r="B202" s="3" t="s">
        <v>61</v>
      </c>
      <c r="C202">
        <v>26</v>
      </c>
      <c r="D202" t="s">
        <v>36</v>
      </c>
      <c r="E202">
        <v>220.48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</row>
    <row r="203" spans="2:33" hidden="1" x14ac:dyDescent="0.3">
      <c r="B203" s="3" t="s">
        <v>95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  <c r="AG203" t="s">
        <v>35</v>
      </c>
    </row>
    <row r="204" spans="2:33" hidden="1" x14ac:dyDescent="0.3">
      <c r="B204" s="3" t="s">
        <v>95</v>
      </c>
      <c r="C204">
        <v>76</v>
      </c>
      <c r="D204" t="s">
        <v>36</v>
      </c>
      <c r="E204">
        <v>95</v>
      </c>
      <c r="F204" s="3">
        <v>93.2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>
        <v>93.2</v>
      </c>
      <c r="Z204" s="9"/>
      <c r="AA204" s="4"/>
      <c r="AB204" s="4"/>
      <c r="AC204" s="4"/>
      <c r="AD204" s="4"/>
      <c r="AE204" s="4"/>
      <c r="AF204" s="4"/>
      <c r="AG204" t="s">
        <v>35</v>
      </c>
    </row>
    <row r="205" spans="2:33" hidden="1" x14ac:dyDescent="0.3">
      <c r="B205" s="3" t="s">
        <v>69</v>
      </c>
      <c r="C205">
        <v>61</v>
      </c>
      <c r="D205" t="s">
        <v>34</v>
      </c>
      <c r="E205">
        <v>0</v>
      </c>
      <c r="F205" s="3">
        <v>0</v>
      </c>
      <c r="I205">
        <v>94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35</v>
      </c>
    </row>
    <row r="206" spans="2:33" x14ac:dyDescent="0.3">
      <c r="B206" s="3" t="s">
        <v>69</v>
      </c>
      <c r="C206">
        <v>61</v>
      </c>
      <c r="D206" t="s">
        <v>36</v>
      </c>
      <c r="E206">
        <v>1799.2</v>
      </c>
      <c r="F206" s="3">
        <v>1716.2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>
        <v>930</v>
      </c>
      <c r="Z206" s="9">
        <v>584.20000000000005</v>
      </c>
      <c r="AA206" s="4">
        <v>202</v>
      </c>
      <c r="AB206" s="4"/>
      <c r="AC206" s="4"/>
      <c r="AD206" s="4"/>
      <c r="AE206" s="4"/>
      <c r="AF206" s="4"/>
      <c r="AG206" t="s">
        <v>35</v>
      </c>
    </row>
    <row r="207" spans="2:33" hidden="1" x14ac:dyDescent="0.3">
      <c r="B207" t="s">
        <v>72</v>
      </c>
      <c r="C207">
        <v>63</v>
      </c>
      <c r="D207" t="s">
        <v>34</v>
      </c>
      <c r="I207">
        <v>1180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</row>
    <row r="208" spans="2:33" x14ac:dyDescent="0.3">
      <c r="B208" t="s">
        <v>72</v>
      </c>
      <c r="C208">
        <v>63</v>
      </c>
      <c r="D208" t="s">
        <v>36</v>
      </c>
      <c r="E208">
        <v>382.5</v>
      </c>
      <c r="F208" s="3">
        <v>126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9"/>
      <c r="AA208" s="4">
        <v>126</v>
      </c>
      <c r="AB208" s="4"/>
      <c r="AC208" s="4"/>
      <c r="AD208" s="4"/>
      <c r="AE208" s="4"/>
      <c r="AF208" s="4"/>
    </row>
    <row r="209" spans="2:33" hidden="1" x14ac:dyDescent="0.3">
      <c r="B209" t="s">
        <v>84</v>
      </c>
      <c r="C209">
        <v>75</v>
      </c>
      <c r="D209" t="s">
        <v>34</v>
      </c>
      <c r="E209">
        <v>375</v>
      </c>
      <c r="I209">
        <v>87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9"/>
      <c r="AA209" s="4"/>
      <c r="AB209" s="4"/>
      <c r="AC209" s="4"/>
      <c r="AD209" s="4"/>
      <c r="AE209" s="4"/>
      <c r="AF209" s="4"/>
    </row>
    <row r="210" spans="2:33" hidden="1" x14ac:dyDescent="0.3">
      <c r="B210" t="s">
        <v>84</v>
      </c>
      <c r="C210">
        <v>75</v>
      </c>
      <c r="D210" t="s">
        <v>36</v>
      </c>
      <c r="E210">
        <v>244.5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</row>
    <row r="211" spans="2:33" hidden="1" x14ac:dyDescent="0.3">
      <c r="B211" t="s">
        <v>93</v>
      </c>
      <c r="C211">
        <v>76</v>
      </c>
      <c r="D211" t="s">
        <v>34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</row>
    <row r="212" spans="2:33" hidden="1" x14ac:dyDescent="0.3">
      <c r="B212" t="s">
        <v>93</v>
      </c>
      <c r="C212">
        <v>76</v>
      </c>
      <c r="D212" t="s">
        <v>36</v>
      </c>
      <c r="E212">
        <v>229.5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9"/>
      <c r="AA212" s="4"/>
      <c r="AB212" s="4"/>
      <c r="AC212" s="4"/>
      <c r="AD212" s="4"/>
      <c r="AE212" s="4"/>
      <c r="AF212" s="4"/>
    </row>
    <row r="213" spans="2:33" hidden="1" x14ac:dyDescent="0.3">
      <c r="B213" t="s">
        <v>75</v>
      </c>
      <c r="C213">
        <v>67</v>
      </c>
      <c r="D213" t="s">
        <v>34</v>
      </c>
      <c r="E213">
        <v>772.07</v>
      </c>
      <c r="I213">
        <v>785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</row>
    <row r="214" spans="2:33" hidden="1" x14ac:dyDescent="0.3">
      <c r="B214" t="s">
        <v>75</v>
      </c>
      <c r="C214">
        <v>67</v>
      </c>
      <c r="D214" t="s">
        <v>36</v>
      </c>
      <c r="E214">
        <v>894.97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</row>
    <row r="215" spans="2:33" hidden="1" x14ac:dyDescent="0.3">
      <c r="B215" t="s">
        <v>73</v>
      </c>
      <c r="C215">
        <v>63</v>
      </c>
      <c r="D215" t="s">
        <v>34</v>
      </c>
      <c r="E215">
        <v>418.5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</row>
    <row r="216" spans="2:33" hidden="1" x14ac:dyDescent="0.3">
      <c r="B216" t="s">
        <v>73</v>
      </c>
      <c r="C216">
        <v>63</v>
      </c>
      <c r="D216" t="s">
        <v>36</v>
      </c>
      <c r="E216">
        <v>441.5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</row>
    <row r="217" spans="2:33" hidden="1" x14ac:dyDescent="0.3">
      <c r="B217" t="s">
        <v>39</v>
      </c>
      <c r="C217">
        <v>12</v>
      </c>
      <c r="D217" t="s">
        <v>34</v>
      </c>
      <c r="E217">
        <v>457</v>
      </c>
      <c r="I217">
        <v>43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  <c r="AG217" t="s">
        <v>40</v>
      </c>
    </row>
    <row r="218" spans="2:33" hidden="1" x14ac:dyDescent="0.3">
      <c r="B218" t="s">
        <v>39</v>
      </c>
      <c r="C218">
        <v>12</v>
      </c>
      <c r="D218" t="s">
        <v>36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  <c r="AG218" t="s">
        <v>40</v>
      </c>
    </row>
  </sheetData>
  <autoFilter ref="AG1:AG218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105</v>
      </c>
      <c r="C2" t="s">
        <v>106</v>
      </c>
      <c r="D2" t="s">
        <v>107</v>
      </c>
      <c r="E2" t="s">
        <v>108</v>
      </c>
      <c r="F2" t="s">
        <v>109</v>
      </c>
      <c r="G2" t="s">
        <v>9</v>
      </c>
    </row>
    <row r="3" spans="2:15" x14ac:dyDescent="0.3">
      <c r="B3">
        <v>2025</v>
      </c>
      <c r="C3" t="s">
        <v>110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111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112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113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114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115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116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117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118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119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120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121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110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122</v>
      </c>
    </row>
    <row r="16" spans="2:15" x14ac:dyDescent="0.3">
      <c r="B16">
        <v>2026</v>
      </c>
      <c r="C16" t="s">
        <v>111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112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113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114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115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116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117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118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119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2026-07-21T10:44:11Z</dcterms:modified>
</cp:coreProperties>
</file>