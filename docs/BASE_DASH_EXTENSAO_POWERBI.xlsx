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9FFBE20F-9C81-4ABA-8E0B-45582CC3C91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Z195" i="1"/>
  <c r="Y195" i="1"/>
  <c r="X182" i="1"/>
  <c r="X181" i="1"/>
  <c r="X171" i="1"/>
  <c r="Y162" i="1"/>
  <c r="V161" i="1"/>
  <c r="U161" i="1"/>
  <c r="V159" i="1"/>
  <c r="U159" i="1"/>
  <c r="AL157" i="1"/>
  <c r="AL160" i="1" s="1"/>
  <c r="V85" i="1"/>
  <c r="X76" i="1"/>
  <c r="E70" i="1"/>
  <c r="E69" i="1"/>
  <c r="Y54" i="1"/>
  <c r="P19" i="1"/>
  <c r="F19" i="1"/>
  <c r="P16" i="1"/>
  <c r="F16" i="1"/>
  <c r="P14" i="1"/>
  <c r="F14" i="1"/>
</calcChain>
</file>

<file path=xl/sharedStrings.xml><?xml version="1.0" encoding="utf-8"?>
<sst xmlns="http://schemas.openxmlformats.org/spreadsheetml/2006/main" count="654" uniqueCount="126">
  <si>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</si>
  <si>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</si>
  <si>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</si>
  <si>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</si>
  <si>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</si>
  <si>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</si>
  <si>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</si>
  <si>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</si>
  <si>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</si>
  <si>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</si>
  <si>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</si>
  <si>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</si>
  <si>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</si>
  <si>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</si>
  <si>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</si>
  <si>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</si>
  <si>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</si>
  <si>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</si>
  <si>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</si>
  <si>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</si>
  <si>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</si>
  <si>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</si>
  <si>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</si>
  <si>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</si>
  <si>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</si>
  <si>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</si>
  <si>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</si>
  <si>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</si>
  <si>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</si>
  <si>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</si>
  <si>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</si>
  <si>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</si>
  <si>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</si>
  <si>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</si>
  <si>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</si>
  <si>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</si>
  <si>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</si>
  <si>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</si>
  <si>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</si>
  <si>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</si>
  <si>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</si>
  <si>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</si>
  <si>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</si>
  <si>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</si>
  <si>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</si>
  <si>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</si>
  <si>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</si>
  <si>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</si>
  <si>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</si>
  <si>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</si>
  <si>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</si>
  <si>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</si>
  <si>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</si>
  <si>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</si>
  <si>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</si>
  <si>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</si>
  <si>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</si>
  <si>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</si>
  <si>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</si>
  <si>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</si>
  <si>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</si>
  <si>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</si>
  <si>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</si>
  <si>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</si>
  <si>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</si>
  <si>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</si>
  <si>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</si>
  <si>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</si>
  <si>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</si>
  <si>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</si>
  <si>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</si>
  <si>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</si>
  <si>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</si>
  <si>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</si>
  <si>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CTS MAR DE CORAL</t>
  </si>
  <si>
    <t>concuido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</si>
  <si>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</si>
  <si>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</si>
  <si>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</si>
  <si>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</si>
  <si>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</si>
  <si>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</si>
  <si>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</si>
  <si>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</si>
  <si>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</si>
  <si>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</si>
  <si>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</si>
  <si>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</si>
  <si>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</si>
  <si>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</si>
  <si>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</si>
  <si>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</si>
  <si>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</si>
  <si>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</si>
  <si>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rede existente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</si>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</sst>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topLeftCell="J1" zoomScale="85" zoomScaleNormal="85" workbookViewId="0">
      <pane ySplit="1" topLeftCell="A166" activePane="bottomLeft" state="frozen"/>
      <selection pane="bottomLeft" activeCell="AD178" sqref="AD178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20.33203125" customWidth="1"/>
    <col min="23" max="23" width="7.6640625" customWidth="1"/>
    <col min="24" max="24" width="9.88671875" customWidth="1"/>
    <col min="25" max="25" width="7.6640625" customWidth="1"/>
    <col min="26" max="26" width="7.6640625" style="8" customWidth="1"/>
    <col min="27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s="8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9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9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9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9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9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9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9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9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9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9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9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9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9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9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9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9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9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9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9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9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9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9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9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9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9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9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9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9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9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9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F32" s="3">
        <v>38.299999999999997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9">
        <v>38.299999999999997</v>
      </c>
      <c r="AA32" s="4"/>
      <c r="AB32" s="4"/>
      <c r="AC32" s="4"/>
      <c r="AD32" s="4"/>
      <c r="AE32" s="4"/>
      <c r="AF32" s="4"/>
      <c r="AG32" t="s">
        <v>35</v>
      </c>
    </row>
    <row r="33" spans="2:33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9"/>
      <c r="AA33" s="4"/>
      <c r="AB33" s="4"/>
      <c r="AC33" s="4"/>
      <c r="AD33" s="4"/>
      <c r="AE33" s="4"/>
      <c r="AF33" s="4"/>
      <c r="AG33" t="s">
        <v>40</v>
      </c>
    </row>
    <row r="34" spans="2:33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9"/>
      <c r="AA34" s="4"/>
      <c r="AB34" s="4"/>
      <c r="AC34" s="4"/>
      <c r="AD34" s="4"/>
      <c r="AE34" s="4"/>
      <c r="AF34" s="4"/>
    </row>
    <row r="35" spans="2:33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9"/>
      <c r="AA35" s="4"/>
      <c r="AB35" s="4"/>
      <c r="AC35" s="4"/>
      <c r="AD35" s="4"/>
      <c r="AE35" s="4"/>
      <c r="AF35" s="4"/>
    </row>
    <row r="36" spans="2:33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9"/>
      <c r="AA36" s="4"/>
      <c r="AB36" s="4"/>
      <c r="AC36" s="4"/>
      <c r="AD36" s="4"/>
      <c r="AE36" s="4"/>
      <c r="AF36" s="4"/>
    </row>
    <row r="37" spans="2:33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9"/>
      <c r="AA37" s="4"/>
      <c r="AB37" s="4"/>
      <c r="AC37" s="4"/>
      <c r="AD37" s="4"/>
      <c r="AE37" s="4"/>
      <c r="AF37" s="4"/>
    </row>
    <row r="38" spans="2:33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9"/>
      <c r="AA38" s="4"/>
      <c r="AB38" s="4"/>
      <c r="AC38" s="4"/>
      <c r="AD38" s="4"/>
      <c r="AE38" s="4"/>
      <c r="AF38" s="4"/>
      <c r="AG38" t="s">
        <v>40</v>
      </c>
    </row>
    <row r="39" spans="2:33" x14ac:dyDescent="0.3">
      <c r="B39" t="s">
        <v>47</v>
      </c>
      <c r="C39" s="1">
        <v>12</v>
      </c>
      <c r="D39" t="s">
        <v>36</v>
      </c>
      <c r="E39">
        <v>205</v>
      </c>
      <c r="F39" s="3">
        <v>169.1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9">
        <v>169.1</v>
      </c>
      <c r="AA39" s="4"/>
      <c r="AB39" s="4"/>
      <c r="AC39" s="4"/>
      <c r="AD39" s="4"/>
      <c r="AE39" s="4"/>
      <c r="AF39" s="4"/>
    </row>
    <row r="40" spans="2:33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9"/>
      <c r="AA40" s="4"/>
      <c r="AB40" s="4"/>
      <c r="AC40" s="4"/>
      <c r="AD40" s="4"/>
      <c r="AE40" s="4"/>
      <c r="AF40" s="4"/>
    </row>
    <row r="41" spans="2:33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9"/>
      <c r="AA41" s="4"/>
      <c r="AB41" s="4"/>
      <c r="AC41" s="4"/>
      <c r="AD41" s="4"/>
      <c r="AE41" s="4"/>
      <c r="AF41" s="4"/>
    </row>
    <row r="42" spans="2:33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9"/>
      <c r="AA42" s="4"/>
      <c r="AB42" s="4"/>
      <c r="AC42" s="4"/>
      <c r="AD42" s="4"/>
      <c r="AE42" s="4"/>
      <c r="AF42" s="4"/>
    </row>
    <row r="43" spans="2:33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9"/>
      <c r="AA43" s="4"/>
      <c r="AB43" s="4"/>
      <c r="AC43" s="4"/>
      <c r="AD43" s="4"/>
      <c r="AE43" s="4"/>
      <c r="AF43" s="4"/>
    </row>
    <row r="44" spans="2:33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9"/>
      <c r="AA44" s="4"/>
      <c r="AB44" s="4"/>
      <c r="AC44" s="4"/>
      <c r="AD44" s="4"/>
      <c r="AE44" s="4"/>
      <c r="AF44" s="4"/>
    </row>
    <row r="45" spans="2:33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9"/>
      <c r="AA45" s="4"/>
      <c r="AB45" s="4"/>
      <c r="AC45" s="4"/>
      <c r="AD45" s="4"/>
      <c r="AE45" s="4"/>
      <c r="AF45" s="4"/>
    </row>
    <row r="46" spans="2:33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9"/>
      <c r="AA46" s="4"/>
      <c r="AB46" s="4"/>
      <c r="AC46" s="4"/>
      <c r="AD46" s="4"/>
      <c r="AE46" s="4"/>
      <c r="AF46" s="4"/>
    </row>
    <row r="47" spans="2:33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9"/>
      <c r="AA47" s="4"/>
      <c r="AB47" s="4"/>
      <c r="AC47" s="4"/>
      <c r="AD47" s="4"/>
      <c r="AE47" s="4"/>
      <c r="AF47" s="4"/>
    </row>
    <row r="48" spans="2:33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9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9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9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9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9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9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320.31299999999999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9">
        <v>12</v>
      </c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9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9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9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9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9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9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9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9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9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9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9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9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9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9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9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9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9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9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9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9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9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9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9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9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9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9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9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9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9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9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9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9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9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9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9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9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9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9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9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9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9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9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9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9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9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9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9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9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9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9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9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9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9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9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9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9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9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9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9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9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9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9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9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9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9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9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9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9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9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9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9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9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9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9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9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9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9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9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9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9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9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9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9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9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9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9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9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9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9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9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9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9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9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9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9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1696.2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930</v>
      </c>
      <c r="Z150" s="9">
        <v>584.20000000000005</v>
      </c>
      <c r="AA150" s="4">
        <v>182</v>
      </c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9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9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9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F154" s="3">
        <v>68.2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9">
        <v>68.2</v>
      </c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9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9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9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9"/>
      <c r="AA158" s="4"/>
      <c r="AB158" s="4"/>
      <c r="AC158" s="4"/>
      <c r="AD158" s="4"/>
      <c r="AE158" s="4"/>
      <c r="AF158" s="4"/>
    </row>
    <row r="159" spans="2:38" x14ac:dyDescent="0.3">
      <c r="B159" s="3" t="s">
        <v>74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9"/>
      <c r="AA159" s="4"/>
      <c r="AB159" s="4"/>
      <c r="AC159" s="4"/>
      <c r="AD159" s="4"/>
      <c r="AE159" s="4"/>
      <c r="AF159" s="4"/>
      <c r="AG159" t="s">
        <v>75</v>
      </c>
    </row>
    <row r="160" spans="2:38" x14ac:dyDescent="0.3">
      <c r="B160" s="3" t="s">
        <v>74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9"/>
      <c r="AA160" s="4"/>
      <c r="AB160" s="4"/>
      <c r="AC160" s="4"/>
      <c r="AD160" s="4"/>
      <c r="AE160" s="4"/>
      <c r="AF160" s="4"/>
      <c r="AG160" t="s">
        <v>75</v>
      </c>
      <c r="AL160">
        <f>AL157/3</f>
        <v>91.706666666666635</v>
      </c>
    </row>
    <row r="161" spans="2:33" x14ac:dyDescent="0.3">
      <c r="B161" s="3" t="s">
        <v>74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9"/>
      <c r="AA161" s="4"/>
      <c r="AB161" s="4"/>
      <c r="AC161" s="4"/>
      <c r="AD161" s="4"/>
      <c r="AE161" s="4"/>
      <c r="AF161" s="4"/>
      <c r="AG161" t="s">
        <v>75</v>
      </c>
    </row>
    <row r="162" spans="2:33" x14ac:dyDescent="0.3">
      <c r="B162" s="3" t="s">
        <v>74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9"/>
      <c r="AA162" s="4"/>
      <c r="AB162" s="4"/>
      <c r="AC162" s="4"/>
      <c r="AD162" s="4"/>
      <c r="AE162" s="4"/>
      <c r="AF162" s="4"/>
      <c r="AG162" t="s">
        <v>75</v>
      </c>
    </row>
    <row r="163" spans="2:33" x14ac:dyDescent="0.3">
      <c r="B163" s="3" t="s">
        <v>74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9"/>
      <c r="AA163" s="4"/>
      <c r="AB163" s="4"/>
      <c r="AC163" s="4"/>
      <c r="AD163" s="4"/>
      <c r="AE163" s="4"/>
      <c r="AF163" s="4"/>
      <c r="AG163" t="s">
        <v>75</v>
      </c>
    </row>
    <row r="164" spans="2:33" x14ac:dyDescent="0.3">
      <c r="B164" s="3" t="s">
        <v>74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9"/>
      <c r="AA164" s="4"/>
      <c r="AB164" s="4"/>
      <c r="AC164" s="4"/>
      <c r="AD164" s="4"/>
      <c r="AE164" s="4"/>
      <c r="AF164" s="4"/>
      <c r="AG164" t="s">
        <v>75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9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9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9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9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9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9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9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9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9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9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9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9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9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9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9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9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9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9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9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F184" s="3">
        <v>189.9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9">
        <v>100.7</v>
      </c>
      <c r="AA184" s="4">
        <v>89.2</v>
      </c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9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9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9"/>
      <c r="AA187" s="4"/>
      <c r="AB187" s="4"/>
      <c r="AC187" s="4"/>
      <c r="AD187" s="4"/>
      <c r="AE187" s="4"/>
      <c r="AF187" s="4"/>
      <c r="AG187" t="s">
        <v>40</v>
      </c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F188" s="3">
        <v>377.8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9">
        <v>377.8</v>
      </c>
      <c r="AA188" s="4"/>
      <c r="AB188" s="4"/>
      <c r="AC188" s="4"/>
      <c r="AD188" s="4"/>
      <c r="AE188" s="4"/>
      <c r="AF188" s="4"/>
      <c r="AG188" t="s">
        <v>40</v>
      </c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9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9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9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9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9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9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880.94100000000003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f>592.21-43.66</f>
        <v>548.55000000000007</v>
      </c>
      <c r="Z195" s="9">
        <f>64.57+79.57+66.725+63.68+57.846</f>
        <v>332.39099999999996</v>
      </c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9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9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9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9"/>
      <c r="AA199" s="4"/>
      <c r="AB199" s="4"/>
      <c r="AC199" s="4"/>
      <c r="AD199" s="4"/>
      <c r="AE199" s="4"/>
      <c r="AF199" s="4"/>
      <c r="AG199" t="s">
        <v>40</v>
      </c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F200" s="3">
        <v>160.86000000000001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>
        <v>43.66</v>
      </c>
      <c r="Z200" s="9">
        <v>198.8</v>
      </c>
      <c r="AA200" s="4"/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9"/>
      <c r="AA201" s="4"/>
      <c r="AB201" s="4"/>
      <c r="AC201" s="4"/>
      <c r="AD201" s="4"/>
      <c r="AE201" s="4"/>
      <c r="AF201" s="4"/>
      <c r="AG201" t="s">
        <v>94</v>
      </c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9"/>
      <c r="AA202" s="4"/>
      <c r="AB202" s="4"/>
      <c r="AC202" s="4"/>
      <c r="AD202" s="4"/>
      <c r="AE202" s="4"/>
      <c r="AF202" s="4"/>
      <c r="AG202" t="s">
        <v>94</v>
      </c>
    </row>
    <row r="203" spans="2:33" x14ac:dyDescent="0.3">
      <c r="B203" t="s">
        <v>95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9"/>
      <c r="AA203" s="4"/>
      <c r="AB203" s="4"/>
      <c r="AC203" s="4"/>
      <c r="AD203" s="4"/>
      <c r="AE203" s="4"/>
      <c r="AF203" s="4"/>
    </row>
    <row r="204" spans="2:33" x14ac:dyDescent="0.3">
      <c r="B204" t="s">
        <v>95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9"/>
      <c r="AA204" s="4"/>
      <c r="AB204" s="4"/>
      <c r="AC204" s="4"/>
      <c r="AD204" s="4"/>
      <c r="AE204" s="4"/>
      <c r="AF204" s="4"/>
    </row>
    <row r="205" spans="2:33" x14ac:dyDescent="0.3">
      <c r="B205" t="s">
        <v>96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9"/>
      <c r="AA205" s="4"/>
      <c r="AB205" s="4"/>
      <c r="AC205" s="4"/>
      <c r="AD205" s="4"/>
      <c r="AE205" s="4"/>
      <c r="AF205" s="4"/>
      <c r="AG205" t="s">
        <v>40</v>
      </c>
    </row>
    <row r="206" spans="2:33" x14ac:dyDescent="0.3">
      <c r="B206" t="s">
        <v>96</v>
      </c>
      <c r="C206">
        <v>76</v>
      </c>
      <c r="D206" t="s">
        <v>36</v>
      </c>
      <c r="E206">
        <v>1566.27</v>
      </c>
      <c r="F206" s="3">
        <v>176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9">
        <v>42</v>
      </c>
      <c r="AA206" s="4">
        <v>134</v>
      </c>
      <c r="AB206" s="4"/>
      <c r="AC206" s="4"/>
      <c r="AD206" s="4"/>
      <c r="AE206" s="4"/>
      <c r="AF206" s="4"/>
    </row>
    <row r="207" spans="2:33" x14ac:dyDescent="0.3">
      <c r="B207" t="s">
        <v>97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9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97</v>
      </c>
      <c r="C208">
        <v>76</v>
      </c>
      <c r="D208" t="s">
        <v>36</v>
      </c>
      <c r="E208">
        <v>95</v>
      </c>
      <c r="F208" s="3">
        <v>93.2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93.2</v>
      </c>
      <c r="Z208" s="9"/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98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9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98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9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99</v>
      </c>
      <c r="C211" s="1" t="s">
        <v>100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9"/>
      <c r="AA211" s="4"/>
      <c r="AB211" s="4"/>
      <c r="AC211" s="4"/>
      <c r="AD211" s="4"/>
      <c r="AE211" s="4"/>
      <c r="AF211" s="4"/>
    </row>
    <row r="212" spans="2:33" x14ac:dyDescent="0.3">
      <c r="B212" t="s">
        <v>99</v>
      </c>
      <c r="C212" s="1" t="s">
        <v>100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9"/>
      <c r="AA212" s="4"/>
      <c r="AB212" s="4"/>
      <c r="AC212" s="4"/>
      <c r="AD212" s="4"/>
      <c r="AE212" s="4"/>
      <c r="AF212" s="4"/>
    </row>
    <row r="213" spans="2:33" x14ac:dyDescent="0.3">
      <c r="B213" t="s">
        <v>101</v>
      </c>
      <c r="C213" s="1" t="s">
        <v>102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9"/>
      <c r="AA213" s="4"/>
      <c r="AB213" s="4"/>
      <c r="AC213" s="4"/>
      <c r="AD213" s="4"/>
      <c r="AE213" s="4"/>
      <c r="AF213" s="4"/>
    </row>
    <row r="214" spans="2:33" x14ac:dyDescent="0.3">
      <c r="B214" t="s">
        <v>101</v>
      </c>
      <c r="C214" s="1" t="s">
        <v>102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9"/>
      <c r="AA214" s="4"/>
      <c r="AB214" s="4"/>
      <c r="AC214" s="4"/>
      <c r="AD214" s="4"/>
      <c r="AE214" s="4"/>
      <c r="AF214" s="4"/>
    </row>
    <row r="215" spans="2:33" x14ac:dyDescent="0.3">
      <c r="B215" t="s">
        <v>103</v>
      </c>
      <c r="C215" s="1" t="s">
        <v>104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9"/>
      <c r="AA215" s="4"/>
      <c r="AB215" s="4"/>
      <c r="AC215" s="4"/>
      <c r="AD215" s="4"/>
      <c r="AE215" s="4"/>
      <c r="AF215" s="4"/>
    </row>
    <row r="216" spans="2:33" x14ac:dyDescent="0.3">
      <c r="B216" t="s">
        <v>103</v>
      </c>
      <c r="C216" s="1" t="s">
        <v>104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9"/>
      <c r="AA216" s="4"/>
      <c r="AB216" s="4"/>
      <c r="AC216" s="4"/>
      <c r="AD216" s="4"/>
      <c r="AE216" s="4"/>
      <c r="AF216" s="4"/>
    </row>
    <row r="217" spans="2:33" x14ac:dyDescent="0.3">
      <c r="B217" t="s">
        <v>105</v>
      </c>
      <c r="C217" s="1" t="s">
        <v>106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9"/>
      <c r="AA217" s="4"/>
      <c r="AB217" s="4"/>
      <c r="AC217" s="4"/>
      <c r="AD217" s="4"/>
      <c r="AE217" s="4"/>
      <c r="AF217" s="4"/>
    </row>
    <row r="218" spans="2:33" x14ac:dyDescent="0.3">
      <c r="B218" t="s">
        <v>105</v>
      </c>
      <c r="C218" s="1" t="s">
        <v>106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9"/>
      <c r="AA218" s="4"/>
      <c r="AB218" s="4"/>
      <c r="AC218" s="4"/>
      <c r="AD218" s="4"/>
      <c r="AE218" s="4"/>
      <c r="AF218" s="4"/>
    </row>
  </sheetData>
  <autoFilter ref="AG1:AG218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107</v>
      </c>
      <c r="C2" t="s">
        <v>108</v>
      </c>
      <c r="D2" t="s">
        <v>109</v>
      </c>
      <c r="E2" t="s">
        <v>110</v>
      </c>
      <c r="F2" t="s">
        <v>111</v>
      </c>
      <c r="G2" t="s">
        <v>9</v>
      </c>
    </row>
    <row r="3" spans="2:15" x14ac:dyDescent="0.3">
      <c r="B3">
        <v>2025</v>
      </c>
      <c r="C3" t="s">
        <v>112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113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114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115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116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117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118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119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120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121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122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123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112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124</v>
      </c>
    </row>
    <row r="16" spans="2:15" x14ac:dyDescent="0.3">
      <c r="B16">
        <v>2026</v>
      </c>
      <c r="C16" t="s">
        <v>113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114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115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116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117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118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119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120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121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2026-07-08T13:39:38Z</dcterms:modified>
</cp:coreProperties>
</file>