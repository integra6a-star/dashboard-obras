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6B45A76C-F162-4F5E-B80E-C9CA5A87EAF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2" i="1" l="1"/>
  <c r="X138" i="1"/>
  <c r="X168" i="1"/>
  <c r="U158" i="1"/>
</calcChain>
</file>

<file path=xl/sharedStrings.xml><?xml version="1.0" encoding="utf-8"?>
<sst xmlns="http://schemas.openxmlformats.org/spreadsheetml/2006/main" count="631" uniqueCount="120">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</sst>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1"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0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/>
    <tableColumn id="12" xr3:uid="{2CC935E5-AE57-401D-B0B9-16AA7CE547C9}" name="produção Maio 2025"/>
    <tableColumn id="13" xr3:uid="{D4A32E48-58F4-4347-A22F-3EC617F115ED}" name="produção Junho 2025"/>
    <tableColumn id="14" xr3:uid="{FD08EE1C-24D6-435D-BFB5-DE8525365C0B}" name="produção Julho 2025"/>
    <tableColumn id="15" xr3:uid="{0E3143BC-7DD4-42C2-9632-F4C84435B02B}" name="produção Agosto 2025"/>
    <tableColumn id="16" xr3:uid="{1A595E00-BFE2-4CB2-88ED-7BAD72BCDC1D}" name="produção Setembro 2025"/>
    <tableColumn id="17" xr3:uid="{8A59EA87-2170-4E3A-8757-7A5746B89A12}" name="produção Outubro 2025"/>
    <tableColumn id="18" xr3:uid="{E9DBE3BD-B4AB-4971-9574-0FF7FA5803DD}" name="produção Novembro 2025"/>
    <tableColumn id="19" xr3:uid="{1D73A10C-A301-48D5-96BD-32A1DB452BFA}" name="produção Dezembro 2025"/>
    <tableColumn id="20" xr3:uid="{D518955F-FB3C-479D-B0A0-C858B4EE0CF2}" name="produção Janeiro 2026"/>
    <tableColumn id="21" xr3:uid="{2643BDE6-67AE-4701-982B-BBA15C7E24D7}" name="produção Fevereiro 2026"/>
    <tableColumn id="22" xr3:uid="{25EDB414-06AF-467B-BEAF-CBFA34B0E3FE}" name="produção Março 2026"/>
    <tableColumn id="23" xr3:uid="{ACC94B2B-3C05-4E69-BC1D-31E6BC6BF41F}" name="produção Abril 2026"/>
    <tableColumn id="24" xr3:uid="{434478D3-9DE1-40FA-BAE2-5B310B23261F}" name="produção Maio 2026"/>
    <tableColumn id="25" xr3:uid="{F969BF45-8403-448D-ADFE-D1E4B359F4FC}" name="produção Junho 2026"/>
    <tableColumn id="26" xr3:uid="{3190B8C0-F461-4D5F-9042-D3DA4392D852}" name="produção Julho 2026"/>
    <tableColumn id="27" xr3:uid="{1296E3F8-3AB4-4A3B-8378-6F3E29C9E2CA}" name="produção Agosto 2026"/>
    <tableColumn id="28" xr3:uid="{8DDEDC24-3476-4DA6-AF25-63FF4B848894}" name="produção Setembro 2026"/>
    <tableColumn id="29" xr3:uid="{CCF3E2AD-2E1F-42BE-8A16-B57AE967B62C}" name="produção Outubro 2026"/>
    <tableColumn id="30" xr3:uid="{AEDAF9C8-4CB3-46E6-9E05-502560E49621}" name="produção Novembro 2026"/>
    <tableColumn id="31" xr3:uid="{224F4735-9E51-4718-AB11-1FC679A00B87}" name="produção Dezembro 202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Normal="100" workbookViewId="0">
      <pane ySplit="1" topLeftCell="A55" activePane="bottomLeft" state="frozen"/>
      <selection pane="bottomLeft" activeCell="N76" sqref="N76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5546875" customWidth="1"/>
    <col min="9" max="9" width="26.5546875" customWidth="1"/>
    <col min="10" max="10" width="10.44140625" customWidth="1"/>
    <col min="11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4"/>
      <c r="M2" s="4">
        <v>162.59</v>
      </c>
      <c r="N2" s="4"/>
      <c r="O2" s="4"/>
      <c r="P2" s="4"/>
      <c r="Q2" s="4"/>
      <c r="R2" s="4"/>
      <c r="S2" s="4"/>
      <c r="T2" s="4"/>
      <c r="AG2" t="s">
        <v>114</v>
      </c>
    </row>
    <row r="3" spans="1:33" x14ac:dyDescent="0.3">
      <c r="B3" t="s">
        <v>24</v>
      </c>
      <c r="C3">
        <v>1</v>
      </c>
      <c r="D3" t="s">
        <v>7</v>
      </c>
      <c r="E3">
        <v>37.4</v>
      </c>
      <c r="F3" s="5">
        <v>6.19</v>
      </c>
      <c r="L3" s="4"/>
      <c r="M3" s="4">
        <v>6.19</v>
      </c>
      <c r="N3" s="4"/>
      <c r="O3" s="4"/>
      <c r="P3" s="4"/>
      <c r="Q3" s="4"/>
      <c r="R3" s="4"/>
      <c r="S3" s="4"/>
      <c r="T3" s="4"/>
      <c r="AG3" t="s">
        <v>114</v>
      </c>
    </row>
    <row r="4" spans="1:33" x14ac:dyDescent="0.3">
      <c r="B4" t="s">
        <v>24</v>
      </c>
      <c r="C4">
        <v>2</v>
      </c>
      <c r="D4" t="s">
        <v>6</v>
      </c>
      <c r="F4" s="5">
        <v>59.64</v>
      </c>
      <c r="G4">
        <v>1</v>
      </c>
      <c r="L4" s="4"/>
      <c r="M4" s="4">
        <v>47.94</v>
      </c>
      <c r="N4" s="4">
        <v>11.7</v>
      </c>
      <c r="O4" s="4"/>
      <c r="P4" s="4"/>
      <c r="Q4" s="4"/>
      <c r="R4" s="4"/>
      <c r="S4" s="4"/>
      <c r="T4" s="4"/>
      <c r="AG4" t="s">
        <v>114</v>
      </c>
    </row>
    <row r="5" spans="1:33" x14ac:dyDescent="0.3">
      <c r="B5" t="s">
        <v>24</v>
      </c>
      <c r="C5">
        <v>2</v>
      </c>
      <c r="D5" t="s">
        <v>7</v>
      </c>
      <c r="E5">
        <v>108.9</v>
      </c>
      <c r="F5" s="5">
        <v>47.5</v>
      </c>
      <c r="L5" s="4">
        <v>47.5</v>
      </c>
      <c r="M5" s="4"/>
      <c r="N5" s="4"/>
      <c r="O5" s="4"/>
      <c r="P5" s="4"/>
      <c r="Q5" s="4"/>
      <c r="R5" s="4"/>
      <c r="S5" s="4"/>
      <c r="T5" s="4"/>
      <c r="AG5" t="s">
        <v>114</v>
      </c>
    </row>
    <row r="6" spans="1:33" x14ac:dyDescent="0.3">
      <c r="B6" t="s">
        <v>24</v>
      </c>
      <c r="C6">
        <v>3</v>
      </c>
      <c r="D6" t="s">
        <v>6</v>
      </c>
      <c r="F6" s="5">
        <v>105.6</v>
      </c>
      <c r="G6">
        <v>1</v>
      </c>
      <c r="L6" s="4"/>
      <c r="M6" s="4">
        <v>105.6</v>
      </c>
      <c r="N6" s="4"/>
      <c r="O6" s="4"/>
      <c r="P6" s="4"/>
      <c r="Q6" s="4"/>
      <c r="R6" s="4"/>
      <c r="S6" s="4"/>
      <c r="T6" s="4"/>
      <c r="AG6" t="s">
        <v>114</v>
      </c>
    </row>
    <row r="7" spans="1:33" x14ac:dyDescent="0.3">
      <c r="B7" t="s">
        <v>24</v>
      </c>
      <c r="C7">
        <v>3</v>
      </c>
      <c r="D7" t="s">
        <v>7</v>
      </c>
      <c r="E7">
        <v>112.7</v>
      </c>
      <c r="F7" s="5">
        <v>2.2999999999999998</v>
      </c>
      <c r="L7" s="4"/>
      <c r="M7" s="4"/>
      <c r="N7" s="4">
        <v>2.2999999999999998</v>
      </c>
      <c r="O7" s="4"/>
      <c r="P7" s="4"/>
      <c r="Q7" s="4"/>
      <c r="R7" s="4"/>
      <c r="S7" s="4"/>
      <c r="T7" s="4"/>
      <c r="AG7" t="s">
        <v>114</v>
      </c>
    </row>
    <row r="8" spans="1:33" x14ac:dyDescent="0.3">
      <c r="B8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4"/>
      <c r="M8" s="4">
        <v>66.83</v>
      </c>
      <c r="N8" s="4">
        <v>64.599999999999994</v>
      </c>
      <c r="O8" s="4"/>
      <c r="P8" s="4"/>
      <c r="Q8" s="4"/>
      <c r="R8" s="4"/>
      <c r="S8" s="4"/>
      <c r="T8" s="4"/>
      <c r="AG8" t="s">
        <v>114</v>
      </c>
    </row>
    <row r="9" spans="1:33" x14ac:dyDescent="0.3">
      <c r="B9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AG9" t="s">
        <v>114</v>
      </c>
    </row>
    <row r="10" spans="1:33" x14ac:dyDescent="0.3">
      <c r="B10" t="s">
        <v>8</v>
      </c>
      <c r="C10">
        <v>5</v>
      </c>
      <c r="D10" t="s">
        <v>6</v>
      </c>
      <c r="E10">
        <v>0</v>
      </c>
      <c r="F10" s="5">
        <v>507.45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4">
        <v>201.72499999999999</v>
      </c>
      <c r="O10" s="4">
        <v>305.72500000000002</v>
      </c>
      <c r="P10" s="4"/>
      <c r="Q10" s="4"/>
      <c r="R10" s="4"/>
      <c r="S10" s="4"/>
      <c r="T10" s="4"/>
      <c r="AG10" t="s">
        <v>114</v>
      </c>
    </row>
    <row r="11" spans="1:33" x14ac:dyDescent="0.3">
      <c r="B11" t="s">
        <v>8</v>
      </c>
      <c r="C11">
        <v>5</v>
      </c>
      <c r="D11" t="s">
        <v>7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AG11" t="s">
        <v>114</v>
      </c>
    </row>
    <row r="12" spans="1:33" x14ac:dyDescent="0.3">
      <c r="B12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4"/>
      <c r="M12" s="4"/>
      <c r="N12" s="4"/>
      <c r="O12" s="4">
        <v>134.10499999999999</v>
      </c>
      <c r="P12" s="4">
        <v>208.60499999999999</v>
      </c>
      <c r="Q12" s="4"/>
      <c r="R12" s="4"/>
      <c r="S12" s="4"/>
      <c r="T12" s="4"/>
      <c r="AG12" t="s">
        <v>114</v>
      </c>
    </row>
    <row r="13" spans="1:33" x14ac:dyDescent="0.3">
      <c r="B13" t="s">
        <v>8</v>
      </c>
      <c r="C13">
        <v>6</v>
      </c>
      <c r="D13" t="s">
        <v>7</v>
      </c>
      <c r="E13">
        <v>83</v>
      </c>
      <c r="F13" s="5">
        <v>0</v>
      </c>
      <c r="L13" s="4"/>
      <c r="M13" s="4"/>
      <c r="N13" s="4"/>
      <c r="O13" s="4"/>
      <c r="P13" s="4"/>
      <c r="Q13" s="4"/>
      <c r="R13" s="4"/>
      <c r="S13" s="4"/>
      <c r="T13" s="4"/>
      <c r="AG13" t="s">
        <v>114</v>
      </c>
    </row>
    <row r="14" spans="1:33" x14ac:dyDescent="0.3">
      <c r="B14" t="s">
        <v>8</v>
      </c>
      <c r="C14">
        <v>7</v>
      </c>
      <c r="D14" t="s">
        <v>6</v>
      </c>
      <c r="E14">
        <v>240.7</v>
      </c>
      <c r="F14" s="5">
        <v>231.85</v>
      </c>
      <c r="I14">
        <v>589</v>
      </c>
      <c r="J14">
        <v>109</v>
      </c>
      <c r="L14" s="4"/>
      <c r="M14" s="4"/>
      <c r="N14" s="4"/>
      <c r="O14" s="4"/>
      <c r="P14" s="4">
        <v>231.85</v>
      </c>
      <c r="Q14" s="4"/>
      <c r="R14" s="4"/>
      <c r="S14" s="4"/>
      <c r="T14" s="4"/>
      <c r="AG14" t="s">
        <v>114</v>
      </c>
    </row>
    <row r="15" spans="1:33" x14ac:dyDescent="0.3">
      <c r="B15" t="s">
        <v>8</v>
      </c>
      <c r="C15">
        <v>7</v>
      </c>
      <c r="D15" t="s">
        <v>7</v>
      </c>
      <c r="E15">
        <v>118.5</v>
      </c>
      <c r="F15" s="5">
        <v>4.0599999999999996</v>
      </c>
      <c r="L15" s="4"/>
      <c r="M15" s="4"/>
      <c r="N15" s="4"/>
      <c r="O15" s="4"/>
      <c r="P15" s="4">
        <v>4.0599999999999996</v>
      </c>
      <c r="Q15" s="4"/>
      <c r="R15" s="4"/>
      <c r="S15" s="4"/>
      <c r="T15" s="4"/>
      <c r="AG15" t="s">
        <v>114</v>
      </c>
    </row>
    <row r="16" spans="1:33" x14ac:dyDescent="0.3">
      <c r="B16" t="s">
        <v>8</v>
      </c>
      <c r="C16">
        <v>8</v>
      </c>
      <c r="D16" t="s">
        <v>6</v>
      </c>
      <c r="E16">
        <v>0</v>
      </c>
      <c r="F16" s="5">
        <v>367.71</v>
      </c>
      <c r="I16">
        <v>614</v>
      </c>
      <c r="J16">
        <v>3229</v>
      </c>
      <c r="L16" s="4"/>
      <c r="M16" s="4"/>
      <c r="N16" s="4"/>
      <c r="O16" s="4"/>
      <c r="P16" s="4">
        <v>132.27000000000001</v>
      </c>
      <c r="Q16" s="4">
        <v>235.44</v>
      </c>
      <c r="R16" s="4"/>
      <c r="S16" s="4"/>
      <c r="T16" s="4"/>
      <c r="AG16" t="s">
        <v>114</v>
      </c>
    </row>
    <row r="17" spans="2:33" x14ac:dyDescent="0.3">
      <c r="B17" t="s">
        <v>8</v>
      </c>
      <c r="C17">
        <v>8</v>
      </c>
      <c r="D17" t="s">
        <v>7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AG17" t="s">
        <v>114</v>
      </c>
    </row>
    <row r="18" spans="2:33" x14ac:dyDescent="0.3">
      <c r="B18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AG18" t="s">
        <v>114</v>
      </c>
    </row>
    <row r="19" spans="2:33" x14ac:dyDescent="0.3">
      <c r="B19" t="s">
        <v>8</v>
      </c>
      <c r="C19">
        <v>9</v>
      </c>
      <c r="D19" t="s">
        <v>7</v>
      </c>
      <c r="E19">
        <v>754</v>
      </c>
      <c r="F19" s="5">
        <v>445.46</v>
      </c>
      <c r="L19" s="4"/>
      <c r="M19" s="4"/>
      <c r="N19" s="4"/>
      <c r="O19" s="4"/>
      <c r="P19" s="4">
        <v>242.97</v>
      </c>
      <c r="Q19" s="4">
        <v>148.49</v>
      </c>
      <c r="R19" s="4"/>
      <c r="S19" s="4"/>
      <c r="T19" s="4">
        <v>54</v>
      </c>
      <c r="AG19" t="s">
        <v>114</v>
      </c>
    </row>
    <row r="20" spans="2:33" x14ac:dyDescent="0.3">
      <c r="B20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AG20" t="s">
        <v>114</v>
      </c>
    </row>
    <row r="21" spans="2:33" x14ac:dyDescent="0.3">
      <c r="B21" t="s">
        <v>13</v>
      </c>
      <c r="C21">
        <v>10</v>
      </c>
      <c r="D21" t="s">
        <v>7</v>
      </c>
      <c r="E21">
        <v>262</v>
      </c>
      <c r="F21" s="5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AG21" t="s">
        <v>114</v>
      </c>
    </row>
    <row r="22" spans="2:33" x14ac:dyDescent="0.3">
      <c r="B22" t="s">
        <v>13</v>
      </c>
      <c r="C22">
        <v>11</v>
      </c>
      <c r="D22" t="s">
        <v>6</v>
      </c>
      <c r="E22">
        <v>155.4</v>
      </c>
      <c r="F22" s="5">
        <v>239.02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239.02</v>
      </c>
      <c r="S22" s="4"/>
      <c r="T22" s="4"/>
      <c r="AG22" t="s">
        <v>114</v>
      </c>
    </row>
    <row r="23" spans="2:33" x14ac:dyDescent="0.3">
      <c r="B23" t="s">
        <v>13</v>
      </c>
      <c r="C23">
        <v>11</v>
      </c>
      <c r="D23" t="s">
        <v>7</v>
      </c>
      <c r="E23">
        <v>132.69999999999999</v>
      </c>
      <c r="F23" s="5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</row>
    <row r="27" spans="2:33" x14ac:dyDescent="0.3">
      <c r="B27" t="s">
        <v>26</v>
      </c>
      <c r="C27">
        <v>12</v>
      </c>
      <c r="D27" t="s">
        <v>7</v>
      </c>
      <c r="E27">
        <v>636</v>
      </c>
    </row>
    <row r="28" spans="2:33" x14ac:dyDescent="0.3">
      <c r="B28" t="s">
        <v>27</v>
      </c>
      <c r="C28">
        <v>12</v>
      </c>
      <c r="D28" t="s">
        <v>6</v>
      </c>
      <c r="E28">
        <v>20</v>
      </c>
    </row>
    <row r="29" spans="2:33" x14ac:dyDescent="0.3">
      <c r="B29" t="s">
        <v>27</v>
      </c>
      <c r="C29">
        <v>12</v>
      </c>
      <c r="D29" t="s">
        <v>7</v>
      </c>
    </row>
    <row r="30" spans="2:33" x14ac:dyDescent="0.3">
      <c r="B30" t="s">
        <v>28</v>
      </c>
      <c r="C30">
        <v>12</v>
      </c>
      <c r="D30" t="s">
        <v>6</v>
      </c>
    </row>
    <row r="31" spans="2:33" x14ac:dyDescent="0.3">
      <c r="B31" t="s">
        <v>28</v>
      </c>
      <c r="C31">
        <v>12</v>
      </c>
      <c r="D31" t="s">
        <v>7</v>
      </c>
      <c r="E31">
        <v>110</v>
      </c>
    </row>
    <row r="32" spans="2:33" x14ac:dyDescent="0.3">
      <c r="B32" t="s">
        <v>29</v>
      </c>
      <c r="C32">
        <v>12</v>
      </c>
      <c r="D32" t="s">
        <v>6</v>
      </c>
    </row>
    <row r="33" spans="2:9" x14ac:dyDescent="0.3">
      <c r="B33" t="s">
        <v>29</v>
      </c>
      <c r="C33">
        <v>12</v>
      </c>
      <c r="D33" t="s">
        <v>7</v>
      </c>
      <c r="E33">
        <v>55</v>
      </c>
    </row>
    <row r="34" spans="2:9" x14ac:dyDescent="0.3">
      <c r="B34" t="s">
        <v>30</v>
      </c>
      <c r="C34">
        <v>12</v>
      </c>
      <c r="D34" t="s">
        <v>6</v>
      </c>
    </row>
    <row r="35" spans="2:9" x14ac:dyDescent="0.3">
      <c r="B35" t="s">
        <v>30</v>
      </c>
      <c r="C35">
        <v>12</v>
      </c>
      <c r="D35" t="s">
        <v>7</v>
      </c>
      <c r="E35">
        <v>34</v>
      </c>
    </row>
    <row r="36" spans="2:9" x14ac:dyDescent="0.3">
      <c r="B36" t="s">
        <v>31</v>
      </c>
      <c r="C36">
        <v>12</v>
      </c>
      <c r="D36" t="s">
        <v>6</v>
      </c>
    </row>
    <row r="37" spans="2:9" x14ac:dyDescent="0.3">
      <c r="B37" t="s">
        <v>31</v>
      </c>
      <c r="C37">
        <v>12</v>
      </c>
      <c r="D37" t="s">
        <v>7</v>
      </c>
      <c r="E37">
        <v>17</v>
      </c>
    </row>
    <row r="38" spans="2:9" x14ac:dyDescent="0.3">
      <c r="B38" t="s">
        <v>32</v>
      </c>
      <c r="C38">
        <v>13</v>
      </c>
      <c r="D38" t="s">
        <v>6</v>
      </c>
      <c r="I38">
        <v>11130</v>
      </c>
    </row>
    <row r="39" spans="2:9" x14ac:dyDescent="0.3">
      <c r="B39" t="s">
        <v>32</v>
      </c>
      <c r="C39">
        <v>13</v>
      </c>
      <c r="D39" t="s">
        <v>7</v>
      </c>
    </row>
    <row r="40" spans="2:9" x14ac:dyDescent="0.3">
      <c r="B40" t="s">
        <v>33</v>
      </c>
      <c r="C40">
        <v>13</v>
      </c>
      <c r="D40" t="s">
        <v>6</v>
      </c>
      <c r="E40">
        <v>1787.905</v>
      </c>
    </row>
    <row r="41" spans="2:9" x14ac:dyDescent="0.3">
      <c r="B41" t="s">
        <v>33</v>
      </c>
      <c r="C41">
        <v>13</v>
      </c>
      <c r="D41" t="s">
        <v>7</v>
      </c>
    </row>
    <row r="42" spans="2:9" x14ac:dyDescent="0.3">
      <c r="B42" t="s">
        <v>117</v>
      </c>
      <c r="C42">
        <v>13</v>
      </c>
      <c r="D42" t="s">
        <v>6</v>
      </c>
      <c r="E42">
        <v>1583.28</v>
      </c>
    </row>
    <row r="43" spans="2:9" x14ac:dyDescent="0.3">
      <c r="B43" t="s">
        <v>117</v>
      </c>
      <c r="C43">
        <v>13</v>
      </c>
      <c r="D43" t="s">
        <v>7</v>
      </c>
    </row>
    <row r="44" spans="2:9" x14ac:dyDescent="0.3">
      <c r="B44" t="s">
        <v>34</v>
      </c>
      <c r="C44">
        <v>13</v>
      </c>
      <c r="D44" t="s">
        <v>6</v>
      </c>
      <c r="E44">
        <v>699.23500000000001</v>
      </c>
    </row>
    <row r="45" spans="2:9" x14ac:dyDescent="0.3">
      <c r="B45" t="s">
        <v>34</v>
      </c>
      <c r="C45">
        <v>13</v>
      </c>
      <c r="D45" t="s">
        <v>7</v>
      </c>
      <c r="E45">
        <v>166.2</v>
      </c>
    </row>
    <row r="46" spans="2:9" x14ac:dyDescent="0.3">
      <c r="B46" t="s">
        <v>35</v>
      </c>
      <c r="C46">
        <v>13</v>
      </c>
      <c r="D46" t="s">
        <v>6</v>
      </c>
      <c r="E46">
        <v>820.2</v>
      </c>
    </row>
    <row r="47" spans="2:9" x14ac:dyDescent="0.3">
      <c r="B47" t="s">
        <v>35</v>
      </c>
      <c r="C47">
        <v>13</v>
      </c>
      <c r="D47" t="s">
        <v>7</v>
      </c>
      <c r="E47">
        <v>191.4</v>
      </c>
    </row>
    <row r="48" spans="2:9" x14ac:dyDescent="0.3">
      <c r="B48" t="s">
        <v>36</v>
      </c>
      <c r="C48">
        <v>13</v>
      </c>
      <c r="D48" t="s">
        <v>6</v>
      </c>
      <c r="E48">
        <v>165</v>
      </c>
    </row>
    <row r="49" spans="2:33" x14ac:dyDescent="0.3">
      <c r="B49" t="s">
        <v>36</v>
      </c>
      <c r="C49">
        <v>13</v>
      </c>
      <c r="D49" t="s">
        <v>7</v>
      </c>
      <c r="E49">
        <v>43.5</v>
      </c>
    </row>
    <row r="50" spans="2:33" x14ac:dyDescent="0.3">
      <c r="B50" t="s">
        <v>37</v>
      </c>
      <c r="C50">
        <v>13</v>
      </c>
      <c r="D50" t="s">
        <v>6</v>
      </c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2:33" x14ac:dyDescent="0.3">
      <c r="B52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4"/>
      <c r="M52" s="4"/>
      <c r="N52" s="4"/>
      <c r="O52" s="4"/>
      <c r="P52" s="4"/>
      <c r="Q52" s="4"/>
      <c r="R52" s="4">
        <v>75</v>
      </c>
      <c r="S52" s="4">
        <v>325</v>
      </c>
      <c r="T52" s="4"/>
      <c r="U52" s="4"/>
      <c r="V52" s="4"/>
      <c r="W52" s="4"/>
      <c r="AG52" t="s">
        <v>114</v>
      </c>
    </row>
    <row r="53" spans="2:33" x14ac:dyDescent="0.3">
      <c r="B53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AG53" t="s">
        <v>114</v>
      </c>
    </row>
    <row r="54" spans="2:33" x14ac:dyDescent="0.3">
      <c r="B54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4"/>
      <c r="M54" s="4"/>
      <c r="N54" s="4"/>
      <c r="O54" s="4"/>
      <c r="P54" s="4"/>
      <c r="Q54" s="4"/>
      <c r="R54" s="4"/>
      <c r="S54" s="4"/>
      <c r="T54" s="4">
        <v>35</v>
      </c>
      <c r="U54" s="4">
        <v>122.7</v>
      </c>
      <c r="V54" s="4"/>
      <c r="W54" s="4"/>
      <c r="AG54" t="s">
        <v>114</v>
      </c>
    </row>
    <row r="55" spans="2:33" x14ac:dyDescent="0.3">
      <c r="B5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AG55" t="s">
        <v>114</v>
      </c>
    </row>
    <row r="56" spans="2:33" x14ac:dyDescent="0.3">
      <c r="B56" t="s">
        <v>10</v>
      </c>
      <c r="C56">
        <v>16</v>
      </c>
      <c r="D56" t="s">
        <v>6</v>
      </c>
      <c r="E56">
        <v>0</v>
      </c>
      <c r="F56" s="5">
        <v>322</v>
      </c>
      <c r="I56">
        <v>2139</v>
      </c>
      <c r="J56">
        <v>2126</v>
      </c>
      <c r="K56" s="4"/>
      <c r="L56" s="4"/>
      <c r="M56" s="4"/>
      <c r="N56" s="4"/>
      <c r="O56" s="4"/>
      <c r="P56" s="4"/>
      <c r="Q56" s="4"/>
      <c r="R56" s="4"/>
      <c r="S56" s="4">
        <v>220</v>
      </c>
      <c r="T56" s="4">
        <v>102</v>
      </c>
      <c r="U56" s="4"/>
      <c r="V56" s="4"/>
      <c r="W56" s="4"/>
      <c r="AG56" t="s">
        <v>114</v>
      </c>
    </row>
    <row r="57" spans="2:33" x14ac:dyDescent="0.3">
      <c r="B57" t="s">
        <v>10</v>
      </c>
      <c r="C57">
        <v>16</v>
      </c>
      <c r="D57" t="s">
        <v>7</v>
      </c>
      <c r="E57">
        <v>276.10000000000002</v>
      </c>
      <c r="F57" s="5">
        <v>0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AG57" t="s">
        <v>114</v>
      </c>
    </row>
    <row r="58" spans="2:33" x14ac:dyDescent="0.3">
      <c r="B58" t="s">
        <v>10</v>
      </c>
      <c r="C58">
        <v>17</v>
      </c>
      <c r="D58" t="s">
        <v>6</v>
      </c>
      <c r="F58" s="5">
        <v>23.3</v>
      </c>
      <c r="I58">
        <v>208</v>
      </c>
      <c r="J58">
        <v>191</v>
      </c>
      <c r="K58" s="4"/>
      <c r="L58" s="4"/>
      <c r="M58" s="4"/>
      <c r="N58" s="4"/>
      <c r="O58" s="4"/>
      <c r="P58" s="4"/>
      <c r="Q58" s="4"/>
      <c r="R58" s="4"/>
      <c r="S58" s="4"/>
      <c r="T58" s="4">
        <v>23.3</v>
      </c>
      <c r="U58" s="4"/>
      <c r="V58" s="4"/>
      <c r="W58" s="4"/>
      <c r="AG58" t="s">
        <v>114</v>
      </c>
    </row>
    <row r="59" spans="2:33" x14ac:dyDescent="0.3">
      <c r="B59" t="s">
        <v>10</v>
      </c>
      <c r="C59">
        <v>17</v>
      </c>
      <c r="D59" t="s">
        <v>7</v>
      </c>
      <c r="E59">
        <v>83.2</v>
      </c>
      <c r="F59" s="5">
        <v>32.5</v>
      </c>
      <c r="K59" s="4"/>
      <c r="L59" s="4"/>
      <c r="M59" s="4"/>
      <c r="N59" s="4"/>
      <c r="O59" s="4"/>
      <c r="P59" s="4"/>
      <c r="Q59" s="4"/>
      <c r="R59" s="4"/>
      <c r="S59" s="4">
        <v>32.5</v>
      </c>
      <c r="T59" s="4"/>
      <c r="U59" s="4"/>
      <c r="V59" s="4"/>
      <c r="W59" s="4"/>
      <c r="AG59" t="s">
        <v>114</v>
      </c>
    </row>
    <row r="60" spans="2:33" x14ac:dyDescent="0.3">
      <c r="B60" t="s">
        <v>9</v>
      </c>
      <c r="C60">
        <v>18</v>
      </c>
      <c r="D60" t="s">
        <v>6</v>
      </c>
      <c r="E60">
        <v>65.5</v>
      </c>
      <c r="F60" s="5">
        <v>288</v>
      </c>
      <c r="G60">
        <v>17</v>
      </c>
      <c r="H60">
        <v>51.09</v>
      </c>
      <c r="I60">
        <v>139</v>
      </c>
      <c r="J60">
        <v>109</v>
      </c>
      <c r="K60" s="4"/>
      <c r="L60" s="4"/>
      <c r="M60" s="4"/>
      <c r="N60" s="4"/>
      <c r="O60" s="4"/>
      <c r="P60" s="4"/>
      <c r="Q60" s="4">
        <v>288</v>
      </c>
      <c r="R60" s="4"/>
      <c r="S60" s="4"/>
      <c r="T60" s="4"/>
      <c r="U60" s="4"/>
      <c r="V60" s="4"/>
      <c r="W60" s="4"/>
      <c r="AG60" t="s">
        <v>114</v>
      </c>
    </row>
    <row r="61" spans="2:33" x14ac:dyDescent="0.3">
      <c r="B61" t="s">
        <v>9</v>
      </c>
      <c r="C61">
        <v>18</v>
      </c>
      <c r="D61" t="s">
        <v>7</v>
      </c>
      <c r="E61">
        <v>245.5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AG61" t="s">
        <v>114</v>
      </c>
    </row>
    <row r="62" spans="2:33" x14ac:dyDescent="0.3">
      <c r="B62" t="s">
        <v>9</v>
      </c>
      <c r="C62">
        <v>19</v>
      </c>
      <c r="D62" t="s">
        <v>6</v>
      </c>
      <c r="E62">
        <v>412</v>
      </c>
      <c r="F62" s="5">
        <v>64.5</v>
      </c>
      <c r="I62">
        <v>219</v>
      </c>
      <c r="J62">
        <v>188</v>
      </c>
      <c r="K62" s="4"/>
      <c r="L62" s="4"/>
      <c r="M62" s="4"/>
      <c r="N62" s="4"/>
      <c r="O62" s="4"/>
      <c r="P62" s="4"/>
      <c r="Q62" s="4"/>
      <c r="R62" s="4">
        <v>64.5</v>
      </c>
      <c r="S62" s="4"/>
      <c r="T62" s="4"/>
      <c r="U62" s="4"/>
      <c r="V62" s="4"/>
      <c r="W62" s="4"/>
      <c r="AG62" t="s">
        <v>114</v>
      </c>
    </row>
    <row r="63" spans="2:33" x14ac:dyDescent="0.3">
      <c r="B63" t="s">
        <v>9</v>
      </c>
      <c r="C63">
        <v>19</v>
      </c>
      <c r="D63" t="s">
        <v>7</v>
      </c>
      <c r="E63">
        <v>95.7</v>
      </c>
      <c r="F63" s="5">
        <v>25</v>
      </c>
      <c r="K63" s="4"/>
      <c r="L63" s="4"/>
      <c r="M63" s="4"/>
      <c r="N63" s="4"/>
      <c r="O63" s="4"/>
      <c r="P63" s="4"/>
      <c r="Q63" s="4">
        <v>25</v>
      </c>
      <c r="R63" s="4"/>
      <c r="S63" s="4"/>
      <c r="T63" s="4"/>
      <c r="U63" s="4"/>
      <c r="V63" s="4"/>
      <c r="W63" s="4"/>
      <c r="AG63" t="s">
        <v>114</v>
      </c>
    </row>
    <row r="64" spans="2:33" x14ac:dyDescent="0.3">
      <c r="B64" t="s">
        <v>9</v>
      </c>
      <c r="C64">
        <v>20</v>
      </c>
      <c r="D64" t="s">
        <v>6</v>
      </c>
      <c r="E64">
        <v>163.4</v>
      </c>
      <c r="F64" s="5">
        <v>99.9</v>
      </c>
      <c r="I64">
        <v>848</v>
      </c>
      <c r="J64">
        <v>860</v>
      </c>
      <c r="K64" s="4"/>
      <c r="L64" s="4"/>
      <c r="M64" s="4"/>
      <c r="N64" s="4"/>
      <c r="O64" s="4"/>
      <c r="P64" s="4"/>
      <c r="Q64" s="4"/>
      <c r="R64" s="4"/>
      <c r="S64" s="4"/>
      <c r="T64" s="4">
        <v>99.9</v>
      </c>
      <c r="U64" s="4"/>
      <c r="V64" s="4"/>
      <c r="W64" s="4"/>
      <c r="AG64" t="s">
        <v>114</v>
      </c>
    </row>
    <row r="65" spans="2:33" x14ac:dyDescent="0.3">
      <c r="B65" t="s">
        <v>9</v>
      </c>
      <c r="C65">
        <v>20</v>
      </c>
      <c r="D65" t="s">
        <v>7</v>
      </c>
      <c r="E65">
        <v>24</v>
      </c>
      <c r="F65" s="5">
        <v>24</v>
      </c>
      <c r="K65" s="4"/>
      <c r="L65" s="4"/>
      <c r="M65" s="4"/>
      <c r="N65" s="4"/>
      <c r="O65" s="4"/>
      <c r="P65" s="4"/>
      <c r="Q65" s="4">
        <v>24</v>
      </c>
      <c r="R65" s="4"/>
      <c r="S65" s="4"/>
      <c r="T65" s="4"/>
      <c r="U65" s="4"/>
      <c r="V65" s="4"/>
      <c r="W65" s="4"/>
      <c r="AG65" t="s">
        <v>114</v>
      </c>
    </row>
    <row r="66" spans="2:33" x14ac:dyDescent="0.3">
      <c r="B66" t="s">
        <v>5</v>
      </c>
      <c r="C66">
        <v>21</v>
      </c>
      <c r="D66" t="s">
        <v>6</v>
      </c>
      <c r="E66">
        <v>475.4</v>
      </c>
      <c r="F66" s="5">
        <v>1221.95</v>
      </c>
      <c r="G66">
        <v>19</v>
      </c>
      <c r="H66">
        <v>92.92</v>
      </c>
      <c r="I66">
        <v>78</v>
      </c>
      <c r="J66">
        <v>72</v>
      </c>
      <c r="K66" s="4"/>
      <c r="L66" s="4"/>
      <c r="M66" s="4"/>
      <c r="N66" s="4">
        <v>60</v>
      </c>
      <c r="O66" s="4">
        <v>621.84500000000003</v>
      </c>
      <c r="P66" s="4">
        <v>354.52499999999998</v>
      </c>
      <c r="Q66" s="4">
        <v>67.900000000000006</v>
      </c>
      <c r="R66" s="4">
        <v>117.68</v>
      </c>
      <c r="S66" s="4"/>
      <c r="T66" s="4"/>
      <c r="U66" s="4"/>
      <c r="V66" s="4"/>
      <c r="W66" s="4"/>
      <c r="AG66" t="s">
        <v>114</v>
      </c>
    </row>
    <row r="67" spans="2:33" x14ac:dyDescent="0.3">
      <c r="B67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AG67" t="s">
        <v>114</v>
      </c>
    </row>
    <row r="68" spans="2:33" x14ac:dyDescent="0.3">
      <c r="B68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4"/>
      <c r="M68" s="4"/>
      <c r="N68" s="4"/>
      <c r="O68" s="4"/>
      <c r="P68" s="4">
        <v>328.75</v>
      </c>
      <c r="Q68" s="4"/>
      <c r="R68" s="4"/>
      <c r="S68" s="4"/>
      <c r="T68" s="4"/>
      <c r="U68" s="4"/>
      <c r="V68" s="4"/>
      <c r="W68" s="4"/>
      <c r="AG68" t="s">
        <v>114</v>
      </c>
    </row>
    <row r="69" spans="2:33" x14ac:dyDescent="0.3">
      <c r="B69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AG69" t="s">
        <v>114</v>
      </c>
    </row>
    <row r="70" spans="2:33" x14ac:dyDescent="0.3">
      <c r="B70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4"/>
      <c r="M70" s="4"/>
      <c r="N70" s="4"/>
      <c r="O70" s="4"/>
      <c r="P70" s="4">
        <v>247.93</v>
      </c>
      <c r="Q70" s="4">
        <v>136.74</v>
      </c>
      <c r="R70" s="4"/>
      <c r="S70" s="4"/>
      <c r="T70" s="4"/>
      <c r="U70" s="4"/>
      <c r="V70" s="4"/>
      <c r="W70" s="4"/>
      <c r="AG70" t="s">
        <v>114</v>
      </c>
    </row>
    <row r="71" spans="2:33" x14ac:dyDescent="0.3">
      <c r="B71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4"/>
      <c r="M71" s="4"/>
      <c r="N71" s="4"/>
      <c r="O71" s="4"/>
      <c r="P71" s="4"/>
      <c r="Q71" s="4">
        <v>20.32</v>
      </c>
      <c r="R71" s="4"/>
      <c r="S71" s="4"/>
      <c r="T71" s="4"/>
      <c r="U71" s="4"/>
      <c r="V71" s="4"/>
      <c r="W71" s="4"/>
      <c r="AG71" t="s">
        <v>114</v>
      </c>
    </row>
    <row r="72" spans="2:33" x14ac:dyDescent="0.3">
      <c r="B72" t="s">
        <v>12</v>
      </c>
      <c r="C72">
        <v>24</v>
      </c>
      <c r="D72" t="s">
        <v>6</v>
      </c>
      <c r="E72">
        <v>207.5</v>
      </c>
      <c r="F72" s="5">
        <v>218.86</v>
      </c>
      <c r="I72">
        <v>1801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>
        <f>167.39+32.46+19.01</f>
        <v>218.85999999999999</v>
      </c>
      <c r="AG72" t="s">
        <v>115</v>
      </c>
    </row>
    <row r="73" spans="2:33" x14ac:dyDescent="0.3">
      <c r="B73" t="s">
        <v>12</v>
      </c>
      <c r="C73">
        <v>24</v>
      </c>
      <c r="D73" t="s">
        <v>7</v>
      </c>
      <c r="E73">
        <v>95</v>
      </c>
      <c r="F73" s="5">
        <v>0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AG73" t="s">
        <v>115</v>
      </c>
    </row>
    <row r="74" spans="2:33" x14ac:dyDescent="0.3">
      <c r="B74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>
        <v>545.34</v>
      </c>
      <c r="AG74" t="s">
        <v>115</v>
      </c>
    </row>
    <row r="75" spans="2:33" x14ac:dyDescent="0.3">
      <c r="B75" t="s">
        <v>12</v>
      </c>
      <c r="C75">
        <v>25</v>
      </c>
      <c r="D75" t="s">
        <v>7</v>
      </c>
      <c r="E75">
        <v>194.5</v>
      </c>
      <c r="F75" s="5">
        <v>0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AG75" t="s">
        <v>115</v>
      </c>
    </row>
    <row r="76" spans="2:33" x14ac:dyDescent="0.3">
      <c r="B76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T76" s="4"/>
      <c r="U76" s="4">
        <v>384.37</v>
      </c>
      <c r="V76" s="4"/>
      <c r="W76" s="4"/>
      <c r="AG76" t="s">
        <v>114</v>
      </c>
    </row>
    <row r="77" spans="2:33" x14ac:dyDescent="0.3">
      <c r="B77" t="s">
        <v>15</v>
      </c>
      <c r="C77">
        <v>26</v>
      </c>
      <c r="D77" t="s">
        <v>7</v>
      </c>
      <c r="E77">
        <v>600.73</v>
      </c>
      <c r="F77" s="5">
        <v>23.8</v>
      </c>
      <c r="T77" s="4"/>
      <c r="U77" s="4">
        <v>23.8</v>
      </c>
      <c r="V77" s="4"/>
      <c r="W77" s="4"/>
      <c r="AG77" t="s">
        <v>114</v>
      </c>
    </row>
    <row r="78" spans="2:33" x14ac:dyDescent="0.3">
      <c r="B78" t="s">
        <v>23</v>
      </c>
      <c r="C78">
        <v>27</v>
      </c>
      <c r="D78" t="s">
        <v>6</v>
      </c>
      <c r="F78" s="5">
        <v>91.21</v>
      </c>
      <c r="I78">
        <v>2885</v>
      </c>
      <c r="T78" s="4"/>
      <c r="U78" s="4"/>
      <c r="V78" s="4">
        <v>20.95</v>
      </c>
      <c r="W78" s="4"/>
      <c r="X78" s="4">
        <v>70.260000000000005</v>
      </c>
      <c r="AG78" t="s">
        <v>115</v>
      </c>
    </row>
    <row r="79" spans="2:33" x14ac:dyDescent="0.3">
      <c r="B79" t="s">
        <v>23</v>
      </c>
      <c r="C79">
        <v>27</v>
      </c>
      <c r="D79" t="s">
        <v>7</v>
      </c>
      <c r="E79">
        <v>100.5</v>
      </c>
      <c r="T79" s="4"/>
      <c r="U79" s="4"/>
      <c r="V79" s="4"/>
      <c r="W79" s="4"/>
      <c r="AG79" t="s">
        <v>115</v>
      </c>
    </row>
    <row r="80" spans="2:33" x14ac:dyDescent="0.3">
      <c r="B80" t="s">
        <v>23</v>
      </c>
      <c r="C80">
        <v>28</v>
      </c>
      <c r="D80" t="s">
        <v>6</v>
      </c>
      <c r="F80" s="5">
        <v>246.02</v>
      </c>
      <c r="T80" s="4"/>
      <c r="U80" s="4"/>
      <c r="V80" s="4">
        <v>210.02</v>
      </c>
      <c r="W80" s="4">
        <v>36</v>
      </c>
      <c r="AG80" t="s">
        <v>115</v>
      </c>
    </row>
    <row r="81" spans="2:33" x14ac:dyDescent="0.3">
      <c r="B81" t="s">
        <v>23</v>
      </c>
      <c r="C81">
        <v>28</v>
      </c>
      <c r="D81" t="s">
        <v>7</v>
      </c>
      <c r="E81">
        <v>210.02</v>
      </c>
      <c r="T81" s="4"/>
      <c r="U81" s="4"/>
      <c r="V81" s="4"/>
      <c r="W81" s="4"/>
      <c r="AG81" t="s">
        <v>115</v>
      </c>
    </row>
    <row r="82" spans="2:33" x14ac:dyDescent="0.3">
      <c r="B82" t="s">
        <v>23</v>
      </c>
      <c r="C82">
        <v>29</v>
      </c>
      <c r="D82" t="s">
        <v>6</v>
      </c>
      <c r="F82" s="5">
        <v>35.5</v>
      </c>
      <c r="T82" s="4"/>
      <c r="U82" s="4"/>
      <c r="V82" s="4">
        <v>35.5</v>
      </c>
      <c r="W82" s="4"/>
      <c r="AG82" t="s">
        <v>115</v>
      </c>
    </row>
    <row r="83" spans="2:33" x14ac:dyDescent="0.3">
      <c r="B83" t="s">
        <v>23</v>
      </c>
      <c r="C83">
        <v>29</v>
      </c>
      <c r="D83" t="s">
        <v>7</v>
      </c>
      <c r="E83">
        <v>57.5</v>
      </c>
      <c r="T83" s="4"/>
      <c r="U83" s="4"/>
      <c r="V83" s="4"/>
      <c r="W83" s="4"/>
      <c r="AG83" t="s">
        <v>115</v>
      </c>
    </row>
    <row r="84" spans="2:33" x14ac:dyDescent="0.3">
      <c r="B84" t="s">
        <v>23</v>
      </c>
      <c r="C84">
        <v>30</v>
      </c>
      <c r="D84" t="s">
        <v>6</v>
      </c>
      <c r="F84" s="5">
        <v>36.979999999999997</v>
      </c>
      <c r="T84" s="4"/>
      <c r="U84" s="4"/>
      <c r="V84" s="4">
        <v>36.979999999999997</v>
      </c>
      <c r="W84" s="4"/>
      <c r="AG84" t="s">
        <v>115</v>
      </c>
    </row>
    <row r="85" spans="2:33" x14ac:dyDescent="0.3">
      <c r="B85" t="s">
        <v>23</v>
      </c>
      <c r="C85">
        <v>30</v>
      </c>
      <c r="D85" t="s">
        <v>7</v>
      </c>
      <c r="E85">
        <v>56</v>
      </c>
      <c r="T85" s="4"/>
      <c r="U85" s="4"/>
      <c r="V85" s="4"/>
      <c r="W85" s="4"/>
      <c r="AG85" t="s">
        <v>115</v>
      </c>
    </row>
    <row r="86" spans="2:33" x14ac:dyDescent="0.3">
      <c r="B86" t="s">
        <v>23</v>
      </c>
      <c r="C86">
        <v>31</v>
      </c>
      <c r="D86" t="s">
        <v>6</v>
      </c>
      <c r="F86" s="5">
        <v>39.04</v>
      </c>
      <c r="J86">
        <v>628</v>
      </c>
      <c r="T86" s="4"/>
      <c r="U86" s="4"/>
      <c r="V86" s="4">
        <v>39.04</v>
      </c>
      <c r="W86" s="4"/>
      <c r="AG86" t="s">
        <v>115</v>
      </c>
    </row>
    <row r="87" spans="2:33" x14ac:dyDescent="0.3">
      <c r="B87" t="s">
        <v>23</v>
      </c>
      <c r="C87">
        <v>31</v>
      </c>
      <c r="D87" t="s">
        <v>7</v>
      </c>
      <c r="E87">
        <v>39.5</v>
      </c>
      <c r="T87" s="4"/>
      <c r="U87" s="4"/>
      <c r="V87" s="4"/>
      <c r="W87" s="4"/>
      <c r="AG87" t="s">
        <v>115</v>
      </c>
    </row>
    <row r="88" spans="2:33" x14ac:dyDescent="0.3">
      <c r="B88" t="s">
        <v>23</v>
      </c>
      <c r="C88">
        <v>32</v>
      </c>
      <c r="D88" t="s">
        <v>6</v>
      </c>
      <c r="F88" s="5">
        <v>34.42</v>
      </c>
      <c r="T88" s="4"/>
      <c r="U88" s="4"/>
      <c r="V88" s="4">
        <v>34.42</v>
      </c>
      <c r="W88" s="4"/>
      <c r="AG88" t="s">
        <v>115</v>
      </c>
    </row>
    <row r="89" spans="2:33" x14ac:dyDescent="0.3">
      <c r="B89" t="s">
        <v>23</v>
      </c>
      <c r="C89">
        <v>32</v>
      </c>
      <c r="D89" t="s">
        <v>7</v>
      </c>
      <c r="E89">
        <v>63.5</v>
      </c>
      <c r="T89" s="4"/>
      <c r="U89" s="4"/>
      <c r="V89" s="4"/>
      <c r="W89" s="4"/>
      <c r="AG89" t="s">
        <v>115</v>
      </c>
    </row>
    <row r="90" spans="2:33" x14ac:dyDescent="0.3">
      <c r="B90" t="s">
        <v>23</v>
      </c>
      <c r="C90">
        <v>33</v>
      </c>
      <c r="D90" t="s">
        <v>6</v>
      </c>
      <c r="F90" s="5">
        <v>34.119999999999997</v>
      </c>
      <c r="T90" s="4"/>
      <c r="U90" s="4"/>
      <c r="V90" s="4">
        <v>34.119999999999997</v>
      </c>
      <c r="W90" s="4"/>
      <c r="AG90" t="s">
        <v>115</v>
      </c>
    </row>
    <row r="91" spans="2:33" x14ac:dyDescent="0.3">
      <c r="B91" t="s">
        <v>23</v>
      </c>
      <c r="C91">
        <v>33</v>
      </c>
      <c r="D91" t="s">
        <v>7</v>
      </c>
      <c r="E91">
        <v>67.5</v>
      </c>
      <c r="T91" s="4"/>
      <c r="U91" s="4"/>
      <c r="V91" s="4"/>
      <c r="W91" s="4"/>
      <c r="AG91" t="s">
        <v>115</v>
      </c>
    </row>
    <row r="92" spans="2:33" x14ac:dyDescent="0.3">
      <c r="B92" t="s">
        <v>23</v>
      </c>
      <c r="C92">
        <v>34</v>
      </c>
      <c r="D92" t="s">
        <v>6</v>
      </c>
      <c r="F92" s="5">
        <v>32.11</v>
      </c>
      <c r="T92" s="4"/>
      <c r="U92" s="4"/>
      <c r="V92" s="4">
        <v>32.11</v>
      </c>
      <c r="W92" s="4"/>
      <c r="AG92" t="s">
        <v>115</v>
      </c>
    </row>
    <row r="93" spans="2:33" x14ac:dyDescent="0.3">
      <c r="B93" t="s">
        <v>23</v>
      </c>
      <c r="C93">
        <v>34</v>
      </c>
      <c r="D93" t="s">
        <v>7</v>
      </c>
      <c r="E93">
        <v>67.5</v>
      </c>
      <c r="T93" s="4"/>
      <c r="U93" s="4"/>
      <c r="V93" s="4"/>
      <c r="W93" s="4"/>
      <c r="AG93" t="s">
        <v>115</v>
      </c>
    </row>
    <row r="94" spans="2:33" x14ac:dyDescent="0.3">
      <c r="B94" t="s">
        <v>23</v>
      </c>
      <c r="C94">
        <v>37</v>
      </c>
      <c r="D94" t="s">
        <v>6</v>
      </c>
      <c r="F94" s="5">
        <v>35.9</v>
      </c>
      <c r="T94" s="4"/>
      <c r="U94" s="4"/>
      <c r="V94" s="4">
        <v>35.9</v>
      </c>
      <c r="W94" s="4"/>
      <c r="AG94" t="s">
        <v>115</v>
      </c>
    </row>
    <row r="95" spans="2:33" x14ac:dyDescent="0.3">
      <c r="B95" t="s">
        <v>23</v>
      </c>
      <c r="C95">
        <v>37</v>
      </c>
      <c r="D95" t="s">
        <v>7</v>
      </c>
      <c r="E95">
        <v>84.5</v>
      </c>
      <c r="T95" s="4"/>
      <c r="U95" s="4"/>
      <c r="V95" s="4"/>
      <c r="W95" s="4"/>
      <c r="AG95" t="s">
        <v>115</v>
      </c>
    </row>
    <row r="96" spans="2:33" x14ac:dyDescent="0.3">
      <c r="B96" t="s">
        <v>23</v>
      </c>
      <c r="C96">
        <v>38</v>
      </c>
      <c r="D96" t="s">
        <v>6</v>
      </c>
      <c r="E96">
        <v>39</v>
      </c>
      <c r="F96" s="5">
        <v>32.19</v>
      </c>
      <c r="T96" s="4"/>
      <c r="U96" s="4"/>
      <c r="V96" s="4">
        <v>32.19</v>
      </c>
      <c r="W96" s="4"/>
      <c r="AG96" t="s">
        <v>115</v>
      </c>
    </row>
    <row r="97" spans="2:33" x14ac:dyDescent="0.3">
      <c r="B97" t="s">
        <v>23</v>
      </c>
      <c r="C97">
        <v>38</v>
      </c>
      <c r="D97" t="s">
        <v>7</v>
      </c>
      <c r="E97">
        <v>114.5</v>
      </c>
      <c r="T97" s="4"/>
      <c r="U97" s="4"/>
      <c r="V97" s="4"/>
      <c r="W97" s="4"/>
      <c r="AG97" t="s">
        <v>115</v>
      </c>
    </row>
    <row r="98" spans="2:33" x14ac:dyDescent="0.3">
      <c r="B98" t="s">
        <v>23</v>
      </c>
      <c r="C98">
        <v>39</v>
      </c>
      <c r="D98" t="s">
        <v>6</v>
      </c>
      <c r="E98">
        <v>35</v>
      </c>
      <c r="F98" s="5">
        <v>76.599999999999994</v>
      </c>
      <c r="T98" s="4"/>
      <c r="U98" s="4"/>
      <c r="V98" s="4">
        <v>37.72</v>
      </c>
      <c r="W98" s="4">
        <v>38.880000000000003</v>
      </c>
      <c r="AG98" t="s">
        <v>115</v>
      </c>
    </row>
    <row r="99" spans="2:33" x14ac:dyDescent="0.3">
      <c r="B99" t="s">
        <v>23</v>
      </c>
      <c r="C99">
        <v>39</v>
      </c>
      <c r="D99" t="s">
        <v>7</v>
      </c>
      <c r="E99">
        <v>58.5</v>
      </c>
      <c r="T99" s="4"/>
      <c r="U99" s="4"/>
      <c r="V99" s="4"/>
      <c r="W99" s="4"/>
      <c r="AG99" t="s">
        <v>115</v>
      </c>
    </row>
    <row r="100" spans="2:33" x14ac:dyDescent="0.3">
      <c r="B100" t="s">
        <v>23</v>
      </c>
      <c r="C100">
        <v>40</v>
      </c>
      <c r="D100" t="s">
        <v>6</v>
      </c>
      <c r="E100">
        <v>61.5</v>
      </c>
      <c r="F100" s="5">
        <v>84.62</v>
      </c>
      <c r="T100" s="4"/>
      <c r="U100" s="4"/>
      <c r="V100" s="4">
        <v>36.840000000000003</v>
      </c>
      <c r="W100" s="4">
        <v>47.78</v>
      </c>
      <c r="AG100" t="s">
        <v>115</v>
      </c>
    </row>
    <row r="101" spans="2:33" x14ac:dyDescent="0.3">
      <c r="B101" t="s">
        <v>23</v>
      </c>
      <c r="C101">
        <v>40</v>
      </c>
      <c r="D101" t="s">
        <v>7</v>
      </c>
      <c r="E101">
        <v>37.5</v>
      </c>
      <c r="T101" s="4"/>
      <c r="U101" s="4"/>
      <c r="V101" s="4"/>
      <c r="W101" s="4"/>
      <c r="AG101" t="s">
        <v>115</v>
      </c>
    </row>
    <row r="102" spans="2:33" x14ac:dyDescent="0.3">
      <c r="B102" t="s">
        <v>23</v>
      </c>
      <c r="C102">
        <v>41</v>
      </c>
      <c r="D102" t="s">
        <v>6</v>
      </c>
      <c r="E102">
        <v>65.5</v>
      </c>
      <c r="F102" s="5">
        <v>35.5</v>
      </c>
      <c r="T102" s="4"/>
      <c r="U102" s="4"/>
      <c r="V102" s="4">
        <v>35.5</v>
      </c>
      <c r="W102" s="4"/>
      <c r="AG102" t="s">
        <v>115</v>
      </c>
    </row>
    <row r="103" spans="2:33" x14ac:dyDescent="0.3">
      <c r="B103" t="s">
        <v>23</v>
      </c>
      <c r="C103">
        <v>41</v>
      </c>
      <c r="D103" t="s">
        <v>7</v>
      </c>
      <c r="E103">
        <v>32.5</v>
      </c>
      <c r="T103" s="4"/>
      <c r="U103" s="4"/>
      <c r="V103" s="4"/>
      <c r="W103" s="4"/>
      <c r="AG103" t="s">
        <v>115</v>
      </c>
    </row>
    <row r="104" spans="2:33" x14ac:dyDescent="0.3">
      <c r="B104" t="s">
        <v>23</v>
      </c>
      <c r="C104">
        <v>42</v>
      </c>
      <c r="D104" t="s">
        <v>6</v>
      </c>
      <c r="E104">
        <v>91.5</v>
      </c>
      <c r="F104" s="5">
        <v>34.380000000000003</v>
      </c>
      <c r="T104" s="4"/>
      <c r="U104" s="4"/>
      <c r="V104" s="4">
        <v>34.380000000000003</v>
      </c>
      <c r="W104" s="4"/>
      <c r="AG104" t="s">
        <v>115</v>
      </c>
    </row>
    <row r="105" spans="2:33" ht="15" customHeight="1" x14ac:dyDescent="0.3">
      <c r="B105" t="s">
        <v>23</v>
      </c>
      <c r="C105">
        <v>42</v>
      </c>
      <c r="D105" t="s">
        <v>7</v>
      </c>
      <c r="E105">
        <v>5.5</v>
      </c>
      <c r="T105" s="4"/>
      <c r="U105" s="4"/>
      <c r="V105" s="4"/>
      <c r="W105" s="4"/>
      <c r="AG105" t="s">
        <v>115</v>
      </c>
    </row>
    <row r="106" spans="2:33" x14ac:dyDescent="0.3">
      <c r="B106" t="s">
        <v>23</v>
      </c>
      <c r="C106">
        <v>43</v>
      </c>
      <c r="D106" t="s">
        <v>6</v>
      </c>
      <c r="E106">
        <v>198</v>
      </c>
      <c r="F106" s="5">
        <v>167.19</v>
      </c>
      <c r="T106" s="4"/>
      <c r="U106" s="4"/>
      <c r="V106" s="4">
        <v>43.97</v>
      </c>
      <c r="W106" s="4">
        <v>123.22</v>
      </c>
      <c r="AG106" t="s">
        <v>115</v>
      </c>
    </row>
    <row r="107" spans="2:33" x14ac:dyDescent="0.3">
      <c r="B107" t="s">
        <v>23</v>
      </c>
      <c r="C107">
        <v>43</v>
      </c>
      <c r="D107" t="s">
        <v>7</v>
      </c>
      <c r="E107">
        <v>2</v>
      </c>
      <c r="T107" s="4"/>
      <c r="U107" s="4"/>
      <c r="V107" s="4"/>
      <c r="W107" s="4"/>
      <c r="AG107" t="s">
        <v>115</v>
      </c>
    </row>
    <row r="108" spans="2:33" x14ac:dyDescent="0.3">
      <c r="B108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T108" s="4"/>
      <c r="U108" s="4"/>
      <c r="V108" s="4"/>
      <c r="W108" s="4">
        <v>189</v>
      </c>
      <c r="AG108" t="s">
        <v>115</v>
      </c>
    </row>
    <row r="109" spans="2:33" x14ac:dyDescent="0.3">
      <c r="B109" t="s">
        <v>23</v>
      </c>
      <c r="C109">
        <v>44</v>
      </c>
      <c r="D109" t="s">
        <v>7</v>
      </c>
      <c r="E109">
        <v>48.5</v>
      </c>
      <c r="F109" s="5">
        <v>60</v>
      </c>
      <c r="W109">
        <v>60</v>
      </c>
      <c r="AG109" t="s">
        <v>115</v>
      </c>
    </row>
    <row r="110" spans="2:33" x14ac:dyDescent="0.3">
      <c r="B110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V110">
        <v>329.56</v>
      </c>
      <c r="W110" s="4">
        <v>34.29</v>
      </c>
      <c r="AG110" t="s">
        <v>115</v>
      </c>
    </row>
    <row r="111" spans="2:33" x14ac:dyDescent="0.3">
      <c r="B111" t="s">
        <v>22</v>
      </c>
      <c r="C111">
        <v>45</v>
      </c>
      <c r="D111" t="s">
        <v>7</v>
      </c>
      <c r="E111">
        <v>113.5</v>
      </c>
      <c r="AG111" t="s">
        <v>115</v>
      </c>
    </row>
    <row r="112" spans="2:33" x14ac:dyDescent="0.3">
      <c r="B112" t="s">
        <v>22</v>
      </c>
      <c r="C112">
        <v>46</v>
      </c>
      <c r="D112" t="s">
        <v>6</v>
      </c>
      <c r="E112">
        <v>88</v>
      </c>
      <c r="F112" s="5">
        <v>89.05</v>
      </c>
      <c r="V112">
        <v>32.99</v>
      </c>
      <c r="W112">
        <v>56.06</v>
      </c>
      <c r="AG112" t="s">
        <v>115</v>
      </c>
    </row>
    <row r="113" spans="2:33" x14ac:dyDescent="0.3">
      <c r="B113" t="s">
        <v>22</v>
      </c>
      <c r="C113">
        <v>46</v>
      </c>
      <c r="D113" t="s">
        <v>7</v>
      </c>
      <c r="E113">
        <v>2</v>
      </c>
      <c r="AG113" t="s">
        <v>115</v>
      </c>
    </row>
    <row r="114" spans="2:33" x14ac:dyDescent="0.3">
      <c r="B114" t="s">
        <v>22</v>
      </c>
      <c r="C114">
        <v>47</v>
      </c>
      <c r="D114" t="s">
        <v>6</v>
      </c>
      <c r="E114">
        <v>68.5</v>
      </c>
      <c r="F114" s="5">
        <v>35.479999999999997</v>
      </c>
      <c r="V114">
        <v>35.479999999999997</v>
      </c>
      <c r="AG114" t="s">
        <v>115</v>
      </c>
    </row>
    <row r="115" spans="2:33" x14ac:dyDescent="0.3">
      <c r="B115" t="s">
        <v>22</v>
      </c>
      <c r="C115">
        <v>47</v>
      </c>
      <c r="D115" t="s">
        <v>7</v>
      </c>
      <c r="E115">
        <v>26</v>
      </c>
      <c r="AG115" t="s">
        <v>115</v>
      </c>
    </row>
    <row r="116" spans="2:33" x14ac:dyDescent="0.3">
      <c r="B116" t="s">
        <v>22</v>
      </c>
      <c r="C116">
        <v>48</v>
      </c>
      <c r="D116" t="s">
        <v>6</v>
      </c>
      <c r="E116">
        <v>216.5</v>
      </c>
      <c r="F116" s="5">
        <v>206.17</v>
      </c>
      <c r="V116">
        <v>129.66999999999999</v>
      </c>
      <c r="W116">
        <v>76.5</v>
      </c>
      <c r="AG116" t="s">
        <v>115</v>
      </c>
    </row>
    <row r="117" spans="2:33" x14ac:dyDescent="0.3">
      <c r="B117" t="s">
        <v>22</v>
      </c>
      <c r="C117">
        <v>48</v>
      </c>
      <c r="D117" t="s">
        <v>7</v>
      </c>
      <c r="E117">
        <v>86</v>
      </c>
      <c r="AG117" t="s">
        <v>115</v>
      </c>
    </row>
    <row r="118" spans="2:33" x14ac:dyDescent="0.3">
      <c r="B118" t="s">
        <v>22</v>
      </c>
      <c r="C118">
        <v>49</v>
      </c>
      <c r="D118" t="s">
        <v>6</v>
      </c>
      <c r="E118">
        <v>68</v>
      </c>
      <c r="F118" s="5">
        <v>97.16</v>
      </c>
      <c r="V118">
        <v>68.16</v>
      </c>
      <c r="W118">
        <v>29</v>
      </c>
      <c r="AG118" t="s">
        <v>115</v>
      </c>
    </row>
    <row r="119" spans="2:33" x14ac:dyDescent="0.3">
      <c r="B119" t="s">
        <v>22</v>
      </c>
      <c r="C119">
        <v>49</v>
      </c>
      <c r="D119" t="s">
        <v>7</v>
      </c>
      <c r="E119">
        <v>40.5</v>
      </c>
      <c r="AG119" t="s">
        <v>115</v>
      </c>
    </row>
    <row r="120" spans="2:33" x14ac:dyDescent="0.3">
      <c r="B120" t="s">
        <v>22</v>
      </c>
      <c r="C120">
        <v>50</v>
      </c>
      <c r="D120" t="s">
        <v>6</v>
      </c>
      <c r="E120">
        <v>87.5</v>
      </c>
      <c r="F120" s="5">
        <v>35.42</v>
      </c>
      <c r="V120">
        <v>35.42</v>
      </c>
      <c r="AG120" t="s">
        <v>115</v>
      </c>
    </row>
    <row r="121" spans="2:33" x14ac:dyDescent="0.3">
      <c r="B121" t="s">
        <v>22</v>
      </c>
      <c r="C121">
        <v>50</v>
      </c>
      <c r="D121" t="s">
        <v>7</v>
      </c>
      <c r="E121">
        <v>2</v>
      </c>
      <c r="AG121" t="s">
        <v>115</v>
      </c>
    </row>
    <row r="122" spans="2:33" x14ac:dyDescent="0.3">
      <c r="B122" t="s">
        <v>22</v>
      </c>
      <c r="C122">
        <v>51</v>
      </c>
      <c r="D122" t="s">
        <v>6</v>
      </c>
      <c r="E122">
        <v>84.5</v>
      </c>
      <c r="F122" s="5">
        <v>34.409999999999997</v>
      </c>
      <c r="V122">
        <v>34.409999999999997</v>
      </c>
      <c r="AG122" t="s">
        <v>115</v>
      </c>
    </row>
    <row r="123" spans="2:33" x14ac:dyDescent="0.3">
      <c r="B123" t="s">
        <v>22</v>
      </c>
      <c r="C123">
        <v>51</v>
      </c>
      <c r="D123" t="s">
        <v>7</v>
      </c>
      <c r="E123">
        <v>2</v>
      </c>
      <c r="AG123" t="s">
        <v>115</v>
      </c>
    </row>
    <row r="124" spans="2:33" x14ac:dyDescent="0.3">
      <c r="B124" t="s">
        <v>22</v>
      </c>
      <c r="C124">
        <v>52</v>
      </c>
      <c r="D124" t="s">
        <v>6</v>
      </c>
      <c r="E124">
        <v>109</v>
      </c>
      <c r="F124" s="5">
        <v>47.44</v>
      </c>
      <c r="V124">
        <v>47.44</v>
      </c>
      <c r="AG124" t="s">
        <v>115</v>
      </c>
    </row>
    <row r="125" spans="2:33" x14ac:dyDescent="0.3">
      <c r="B125" t="s">
        <v>22</v>
      </c>
      <c r="C125">
        <v>52</v>
      </c>
      <c r="D125" t="s">
        <v>7</v>
      </c>
      <c r="E125">
        <v>9.5</v>
      </c>
      <c r="AG125" t="s">
        <v>115</v>
      </c>
    </row>
    <row r="126" spans="2:33" x14ac:dyDescent="0.3">
      <c r="B126" t="s">
        <v>22</v>
      </c>
      <c r="C126">
        <v>53</v>
      </c>
      <c r="D126" t="s">
        <v>6</v>
      </c>
      <c r="E126">
        <v>255</v>
      </c>
      <c r="F126" s="5">
        <v>67.05</v>
      </c>
      <c r="V126">
        <v>67.05</v>
      </c>
      <c r="AG126" t="s">
        <v>115</v>
      </c>
    </row>
    <row r="127" spans="2:33" x14ac:dyDescent="0.3">
      <c r="B127" t="s">
        <v>22</v>
      </c>
      <c r="C127">
        <v>53</v>
      </c>
      <c r="D127" t="s">
        <v>7</v>
      </c>
      <c r="E127">
        <v>144</v>
      </c>
      <c r="F127" s="5">
        <v>0</v>
      </c>
      <c r="AG127" t="s">
        <v>115</v>
      </c>
    </row>
    <row r="128" spans="2:33" x14ac:dyDescent="0.3">
      <c r="B128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S128">
        <v>162.16499999999999</v>
      </c>
      <c r="T128">
        <v>283.32499999999999</v>
      </c>
      <c r="AG128" t="s">
        <v>114</v>
      </c>
    </row>
    <row r="129" spans="2:33" x14ac:dyDescent="0.3">
      <c r="B129" t="s">
        <v>119</v>
      </c>
      <c r="C129">
        <v>54</v>
      </c>
      <c r="D129" t="s">
        <v>7</v>
      </c>
      <c r="E129">
        <v>144.5</v>
      </c>
      <c r="F129" s="5">
        <v>87.03</v>
      </c>
      <c r="T129">
        <v>87.03</v>
      </c>
      <c r="AG129" t="s">
        <v>114</v>
      </c>
    </row>
    <row r="130" spans="2:33" x14ac:dyDescent="0.3">
      <c r="B130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T130">
        <v>629.14</v>
      </c>
      <c r="AG130" t="s">
        <v>114</v>
      </c>
    </row>
    <row r="131" spans="2:33" x14ac:dyDescent="0.3">
      <c r="B131" t="s">
        <v>119</v>
      </c>
      <c r="C131">
        <v>55</v>
      </c>
      <c r="D131" t="s">
        <v>7</v>
      </c>
      <c r="E131">
        <v>144.5</v>
      </c>
      <c r="F131" s="5">
        <v>37.89</v>
      </c>
      <c r="T131">
        <v>37.89</v>
      </c>
      <c r="AG131" t="s">
        <v>114</v>
      </c>
    </row>
    <row r="132" spans="2:33" x14ac:dyDescent="0.3">
      <c r="B132" t="s">
        <v>119</v>
      </c>
      <c r="C132">
        <v>56</v>
      </c>
      <c r="D132" t="s">
        <v>6</v>
      </c>
      <c r="E132">
        <v>322</v>
      </c>
      <c r="F132" s="5">
        <v>100.59</v>
      </c>
      <c r="I132">
        <v>654</v>
      </c>
      <c r="T132">
        <v>100.59</v>
      </c>
      <c r="AG132" t="s">
        <v>114</v>
      </c>
    </row>
    <row r="133" spans="2:33" x14ac:dyDescent="0.3">
      <c r="B133" t="s">
        <v>119</v>
      </c>
      <c r="C133">
        <v>56</v>
      </c>
      <c r="D133" t="s">
        <v>7</v>
      </c>
      <c r="E133">
        <v>100</v>
      </c>
      <c r="F133" s="5">
        <v>1.55</v>
      </c>
      <c r="T133">
        <v>1.55</v>
      </c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R134">
        <v>296.60000000000002</v>
      </c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R136">
        <v>102.5</v>
      </c>
      <c r="U136">
        <v>28.8</v>
      </c>
      <c r="V136">
        <v>73</v>
      </c>
      <c r="AG136" t="s">
        <v>114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R137">
        <v>16</v>
      </c>
      <c r="V137">
        <v>32</v>
      </c>
      <c r="AG137" t="s">
        <v>114</v>
      </c>
    </row>
    <row r="138" spans="2:33" x14ac:dyDescent="0.3">
      <c r="B138" t="s">
        <v>38</v>
      </c>
      <c r="C138">
        <v>59</v>
      </c>
      <c r="D138" t="s">
        <v>6</v>
      </c>
      <c r="E138">
        <v>75.5</v>
      </c>
      <c r="F138" s="5">
        <v>211.441</v>
      </c>
      <c r="I138">
        <v>2295</v>
      </c>
      <c r="X138">
        <f>77.441+68.299+65.701</f>
        <v>211.441</v>
      </c>
      <c r="AG138" t="s">
        <v>115</v>
      </c>
    </row>
    <row r="139" spans="2:33" x14ac:dyDescent="0.3">
      <c r="B139" t="s">
        <v>38</v>
      </c>
      <c r="C139">
        <v>59</v>
      </c>
      <c r="D139" t="s">
        <v>7</v>
      </c>
      <c r="E139">
        <v>130</v>
      </c>
      <c r="AG139" t="s">
        <v>115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</row>
    <row r="141" spans="2:33" x14ac:dyDescent="0.3">
      <c r="B141" t="s">
        <v>39</v>
      </c>
      <c r="C141">
        <v>60</v>
      </c>
      <c r="D141" t="s">
        <v>7</v>
      </c>
      <c r="E141">
        <v>415.5</v>
      </c>
    </row>
    <row r="142" spans="2:33" x14ac:dyDescent="0.3">
      <c r="B142" t="s">
        <v>40</v>
      </c>
      <c r="C142">
        <v>60</v>
      </c>
      <c r="D142" t="s">
        <v>6</v>
      </c>
      <c r="E142">
        <v>28.85</v>
      </c>
    </row>
    <row r="143" spans="2:33" x14ac:dyDescent="0.3">
      <c r="B143" t="s">
        <v>40</v>
      </c>
      <c r="C143">
        <v>60</v>
      </c>
      <c r="D143" t="s">
        <v>7</v>
      </c>
      <c r="E143">
        <v>138.24</v>
      </c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9</v>
      </c>
      <c r="U145">
        <v>9</v>
      </c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</row>
    <row r="147" spans="2:33" x14ac:dyDescent="0.3">
      <c r="B147" t="s">
        <v>41</v>
      </c>
      <c r="C147">
        <v>61</v>
      </c>
      <c r="D147" t="s">
        <v>7</v>
      </c>
      <c r="E147">
        <v>109.8</v>
      </c>
    </row>
    <row r="148" spans="2:33" x14ac:dyDescent="0.3">
      <c r="B148" t="s">
        <v>42</v>
      </c>
      <c r="C148">
        <v>26</v>
      </c>
      <c r="D148" t="s">
        <v>6</v>
      </c>
    </row>
    <row r="149" spans="2:33" x14ac:dyDescent="0.3">
      <c r="B149" t="s">
        <v>42</v>
      </c>
      <c r="C149">
        <v>26</v>
      </c>
      <c r="D149" t="s">
        <v>7</v>
      </c>
      <c r="E149">
        <v>220.48</v>
      </c>
    </row>
    <row r="150" spans="2:33" x14ac:dyDescent="0.3">
      <c r="B150" t="s">
        <v>43</v>
      </c>
      <c r="C150">
        <v>62</v>
      </c>
      <c r="D150" t="s">
        <v>6</v>
      </c>
      <c r="I150">
        <v>32</v>
      </c>
    </row>
    <row r="151" spans="2:33" x14ac:dyDescent="0.3">
      <c r="B151" t="s">
        <v>43</v>
      </c>
      <c r="C151">
        <v>62</v>
      </c>
      <c r="D151" t="s">
        <v>7</v>
      </c>
      <c r="E151">
        <v>59.5</v>
      </c>
    </row>
    <row r="152" spans="2:33" x14ac:dyDescent="0.3">
      <c r="B152" t="s">
        <v>44</v>
      </c>
      <c r="C152">
        <v>63</v>
      </c>
      <c r="D152" t="s">
        <v>6</v>
      </c>
      <c r="I152">
        <v>1180</v>
      </c>
    </row>
    <row r="153" spans="2:33" x14ac:dyDescent="0.3">
      <c r="B153" t="s">
        <v>44</v>
      </c>
      <c r="C153">
        <v>63</v>
      </c>
      <c r="D153" t="s">
        <v>7</v>
      </c>
      <c r="E153">
        <v>382.5</v>
      </c>
    </row>
    <row r="154" spans="2:33" x14ac:dyDescent="0.3">
      <c r="B154" t="s">
        <v>45</v>
      </c>
      <c r="C154">
        <v>63</v>
      </c>
      <c r="D154" t="s">
        <v>6</v>
      </c>
      <c r="E154">
        <v>418.5</v>
      </c>
    </row>
    <row r="155" spans="2:33" x14ac:dyDescent="0.3">
      <c r="B155" t="s">
        <v>45</v>
      </c>
      <c r="C155">
        <v>63</v>
      </c>
      <c r="D155" t="s">
        <v>7</v>
      </c>
      <c r="E155">
        <v>441.5</v>
      </c>
    </row>
    <row r="156" spans="2:33" x14ac:dyDescent="0.3">
      <c r="B156" t="s">
        <v>14</v>
      </c>
      <c r="C156">
        <v>64</v>
      </c>
      <c r="D156" t="s">
        <v>6</v>
      </c>
      <c r="E156">
        <v>240.4</v>
      </c>
      <c r="F156" s="5">
        <v>580.9</v>
      </c>
      <c r="G156">
        <v>18</v>
      </c>
      <c r="H156">
        <v>61.47</v>
      </c>
      <c r="I156">
        <v>1989</v>
      </c>
      <c r="J156">
        <v>1901</v>
      </c>
      <c r="U156">
        <v>528.5</v>
      </c>
      <c r="V156">
        <v>52.4</v>
      </c>
      <c r="AG156" t="s">
        <v>115</v>
      </c>
    </row>
    <row r="157" spans="2:33" x14ac:dyDescent="0.3">
      <c r="B157" t="s">
        <v>14</v>
      </c>
      <c r="C157">
        <v>64</v>
      </c>
      <c r="D157" t="s">
        <v>7</v>
      </c>
      <c r="E157">
        <v>976.24</v>
      </c>
      <c r="F157" s="5">
        <v>82.5</v>
      </c>
      <c r="U157">
        <v>42.7</v>
      </c>
      <c r="W157">
        <v>39.799999999999997</v>
      </c>
      <c r="AG157" t="s">
        <v>115</v>
      </c>
    </row>
    <row r="158" spans="2:33" x14ac:dyDescent="0.3">
      <c r="B158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U158">
        <f>67.2+51</f>
        <v>118.2</v>
      </c>
      <c r="V158">
        <v>256.5</v>
      </c>
      <c r="AG158" t="s">
        <v>115</v>
      </c>
    </row>
    <row r="159" spans="2:33" x14ac:dyDescent="0.3">
      <c r="B159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W159">
        <v>65.599999999999994</v>
      </c>
      <c r="AG159" t="s">
        <v>115</v>
      </c>
    </row>
    <row r="160" spans="2:33" x14ac:dyDescent="0.3">
      <c r="B160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V160">
        <v>207.4</v>
      </c>
      <c r="AG160" t="s">
        <v>115</v>
      </c>
    </row>
    <row r="161" spans="2:33" x14ac:dyDescent="0.3">
      <c r="B161" t="s">
        <v>14</v>
      </c>
      <c r="C161">
        <v>66</v>
      </c>
      <c r="D161" t="s">
        <v>7</v>
      </c>
      <c r="E161">
        <v>116.6</v>
      </c>
      <c r="F161" s="5">
        <v>2</v>
      </c>
      <c r="W161">
        <v>2</v>
      </c>
      <c r="AG161" t="s">
        <v>115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</row>
    <row r="163" spans="2:33" x14ac:dyDescent="0.3">
      <c r="B163" t="s">
        <v>46</v>
      </c>
      <c r="C163">
        <v>67</v>
      </c>
      <c r="D163" t="s">
        <v>7</v>
      </c>
      <c r="E163">
        <v>894.97</v>
      </c>
    </row>
    <row r="164" spans="2:33" x14ac:dyDescent="0.3">
      <c r="B164" t="s">
        <v>47</v>
      </c>
      <c r="C164">
        <v>68</v>
      </c>
      <c r="D164" t="s">
        <v>6</v>
      </c>
    </row>
    <row r="165" spans="2:33" x14ac:dyDescent="0.3">
      <c r="B165" t="s">
        <v>47</v>
      </c>
      <c r="C165">
        <v>68</v>
      </c>
      <c r="D165" t="s">
        <v>7</v>
      </c>
      <c r="E165">
        <v>747</v>
      </c>
    </row>
    <row r="166" spans="2:33" x14ac:dyDescent="0.3">
      <c r="B166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X166">
        <v>76.400000000000006</v>
      </c>
      <c r="AG166" t="s">
        <v>115</v>
      </c>
    </row>
    <row r="167" spans="2:33" x14ac:dyDescent="0.3">
      <c r="B167" t="s">
        <v>48</v>
      </c>
      <c r="C167">
        <v>69</v>
      </c>
      <c r="D167" t="s">
        <v>7</v>
      </c>
      <c r="E167">
        <v>59.6</v>
      </c>
      <c r="AG167" t="s">
        <v>115</v>
      </c>
    </row>
    <row r="168" spans="2:33" x14ac:dyDescent="0.3">
      <c r="B168" t="s">
        <v>48</v>
      </c>
      <c r="C168">
        <v>70</v>
      </c>
      <c r="D168" t="s">
        <v>6</v>
      </c>
      <c r="E168">
        <v>62.5</v>
      </c>
      <c r="F168" s="5">
        <v>343.92</v>
      </c>
      <c r="I168">
        <v>415</v>
      </c>
      <c r="W168">
        <v>81.8</v>
      </c>
      <c r="X168">
        <f>42+158.17+61.95</f>
        <v>262.12</v>
      </c>
      <c r="AG168" t="s">
        <v>115</v>
      </c>
    </row>
    <row r="169" spans="2:33" x14ac:dyDescent="0.3">
      <c r="B169" t="s">
        <v>48</v>
      </c>
      <c r="C169">
        <v>70</v>
      </c>
      <c r="D169" t="s">
        <v>7</v>
      </c>
      <c r="E169">
        <v>63</v>
      </c>
      <c r="AG169" t="s">
        <v>115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</row>
    <row r="171" spans="2:33" x14ac:dyDescent="0.3">
      <c r="B171" t="s">
        <v>49</v>
      </c>
      <c r="C171">
        <v>71</v>
      </c>
      <c r="D171" t="s">
        <v>7</v>
      </c>
      <c r="E171">
        <v>28</v>
      </c>
    </row>
    <row r="172" spans="2:33" x14ac:dyDescent="0.3">
      <c r="B172" t="s">
        <v>50</v>
      </c>
      <c r="C172">
        <v>71</v>
      </c>
      <c r="D172" t="s">
        <v>6</v>
      </c>
    </row>
    <row r="173" spans="2:33" x14ac:dyDescent="0.3">
      <c r="B173" t="s">
        <v>50</v>
      </c>
      <c r="C173">
        <v>71</v>
      </c>
      <c r="D173" t="s">
        <v>7</v>
      </c>
      <c r="E173">
        <v>125</v>
      </c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</row>
    <row r="175" spans="2:33" x14ac:dyDescent="0.3">
      <c r="B175" t="s">
        <v>51</v>
      </c>
      <c r="C175">
        <v>73</v>
      </c>
      <c r="D175" t="s">
        <v>7</v>
      </c>
      <c r="E175">
        <v>15.2</v>
      </c>
    </row>
    <row r="176" spans="2:33" x14ac:dyDescent="0.3">
      <c r="B176" t="s">
        <v>95</v>
      </c>
      <c r="C176">
        <v>74</v>
      </c>
      <c r="D176" t="s">
        <v>6</v>
      </c>
    </row>
    <row r="177" spans="2:33" x14ac:dyDescent="0.3">
      <c r="B177" t="s">
        <v>95</v>
      </c>
      <c r="C177">
        <v>74</v>
      </c>
      <c r="D177" t="s">
        <v>7</v>
      </c>
      <c r="E177">
        <v>1021.03</v>
      </c>
    </row>
    <row r="178" spans="2:33" x14ac:dyDescent="0.3">
      <c r="B178" t="s">
        <v>52</v>
      </c>
      <c r="C178">
        <v>74</v>
      </c>
      <c r="D178" t="s">
        <v>6</v>
      </c>
      <c r="E178">
        <v>341.2</v>
      </c>
      <c r="F178" s="5">
        <v>110.79</v>
      </c>
      <c r="I178">
        <v>37</v>
      </c>
      <c r="W178">
        <v>80</v>
      </c>
      <c r="X178">
        <v>30.79</v>
      </c>
      <c r="AG178" t="s">
        <v>114</v>
      </c>
    </row>
    <row r="179" spans="2:33" x14ac:dyDescent="0.3">
      <c r="B179" t="s">
        <v>52</v>
      </c>
      <c r="C179">
        <v>74</v>
      </c>
      <c r="D179" t="s">
        <v>7</v>
      </c>
      <c r="E179">
        <v>83.8</v>
      </c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</row>
    <row r="181" spans="2:33" x14ac:dyDescent="0.3">
      <c r="B181" t="s">
        <v>53</v>
      </c>
      <c r="C181">
        <v>75</v>
      </c>
      <c r="D181" t="s">
        <v>7</v>
      </c>
      <c r="E181">
        <v>226.5</v>
      </c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</row>
    <row r="183" spans="2:33" x14ac:dyDescent="0.3">
      <c r="B183" t="s">
        <v>54</v>
      </c>
      <c r="C183">
        <v>75</v>
      </c>
      <c r="D183" t="s">
        <v>7</v>
      </c>
      <c r="E183">
        <v>244.5</v>
      </c>
    </row>
    <row r="184" spans="2:33" x14ac:dyDescent="0.3">
      <c r="B184" t="s">
        <v>55</v>
      </c>
      <c r="C184">
        <v>75</v>
      </c>
      <c r="D184" t="s">
        <v>6</v>
      </c>
    </row>
    <row r="185" spans="2:33" x14ac:dyDescent="0.3">
      <c r="B185" t="s">
        <v>55</v>
      </c>
      <c r="C185">
        <v>75</v>
      </c>
      <c r="D185" t="s">
        <v>7</v>
      </c>
      <c r="E185">
        <v>338.5</v>
      </c>
    </row>
    <row r="186" spans="2:33" x14ac:dyDescent="0.3">
      <c r="B186" t="s">
        <v>56</v>
      </c>
      <c r="C186">
        <v>75</v>
      </c>
      <c r="D186" t="s">
        <v>6</v>
      </c>
    </row>
    <row r="187" spans="2:33" x14ac:dyDescent="0.3">
      <c r="B187" t="s">
        <v>56</v>
      </c>
      <c r="C187">
        <v>75</v>
      </c>
      <c r="D187" t="s">
        <v>7</v>
      </c>
      <c r="E187">
        <v>238</v>
      </c>
    </row>
    <row r="188" spans="2:33" x14ac:dyDescent="0.3">
      <c r="B188" t="s">
        <v>57</v>
      </c>
      <c r="C188">
        <v>75</v>
      </c>
      <c r="D188" t="s">
        <v>6</v>
      </c>
    </row>
    <row r="189" spans="2:33" x14ac:dyDescent="0.3">
      <c r="B189" t="s">
        <v>57</v>
      </c>
      <c r="C189">
        <v>75</v>
      </c>
      <c r="D189" t="s">
        <v>7</v>
      </c>
      <c r="E189">
        <v>69</v>
      </c>
    </row>
    <row r="190" spans="2:33" x14ac:dyDescent="0.3">
      <c r="B190" t="s">
        <v>58</v>
      </c>
      <c r="C190">
        <v>75</v>
      </c>
      <c r="D190" t="s">
        <v>6</v>
      </c>
    </row>
    <row r="191" spans="2:33" x14ac:dyDescent="0.3">
      <c r="B191" t="s">
        <v>58</v>
      </c>
      <c r="C191">
        <v>75</v>
      </c>
      <c r="D191" t="s">
        <v>7</v>
      </c>
      <c r="E191">
        <v>140</v>
      </c>
    </row>
    <row r="192" spans="2:33" x14ac:dyDescent="0.3">
      <c r="B192" t="s">
        <v>118</v>
      </c>
      <c r="C192">
        <v>75</v>
      </c>
      <c r="D192" t="s">
        <v>6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</row>
    <row r="194" spans="2:33" x14ac:dyDescent="0.3">
      <c r="B194" t="s">
        <v>94</v>
      </c>
      <c r="C194">
        <v>75</v>
      </c>
      <c r="D194" t="s">
        <v>6</v>
      </c>
    </row>
    <row r="195" spans="2:33" x14ac:dyDescent="0.3">
      <c r="B195" t="s">
        <v>94</v>
      </c>
      <c r="C195">
        <v>75</v>
      </c>
      <c r="D195" t="s">
        <v>7</v>
      </c>
      <c r="E195">
        <v>168</v>
      </c>
    </row>
    <row r="196" spans="2:33" x14ac:dyDescent="0.3">
      <c r="B196" t="s">
        <v>59</v>
      </c>
      <c r="C196">
        <v>75</v>
      </c>
      <c r="D196" t="s">
        <v>6</v>
      </c>
    </row>
    <row r="197" spans="2:33" x14ac:dyDescent="0.3">
      <c r="B197" t="s">
        <v>59</v>
      </c>
      <c r="C197">
        <v>75</v>
      </c>
      <c r="D197" t="s">
        <v>7</v>
      </c>
      <c r="E197">
        <v>180</v>
      </c>
    </row>
    <row r="198" spans="2:33" x14ac:dyDescent="0.3">
      <c r="B198" t="s">
        <v>60</v>
      </c>
      <c r="C198">
        <v>76</v>
      </c>
      <c r="D198" t="s">
        <v>6</v>
      </c>
      <c r="I198">
        <v>182</v>
      </c>
    </row>
    <row r="199" spans="2:33" x14ac:dyDescent="0.3">
      <c r="B199" t="s">
        <v>60</v>
      </c>
      <c r="C199">
        <v>76</v>
      </c>
      <c r="D199" t="s">
        <v>7</v>
      </c>
      <c r="E199">
        <v>238.52</v>
      </c>
    </row>
    <row r="200" spans="2:33" x14ac:dyDescent="0.3">
      <c r="B200" t="s">
        <v>61</v>
      </c>
      <c r="C200">
        <v>76</v>
      </c>
      <c r="D200" t="s">
        <v>6</v>
      </c>
    </row>
    <row r="201" spans="2:33" x14ac:dyDescent="0.3">
      <c r="B201" t="s">
        <v>61</v>
      </c>
      <c r="C201">
        <v>76</v>
      </c>
      <c r="D201" t="s">
        <v>7</v>
      </c>
      <c r="E201">
        <v>229.5</v>
      </c>
    </row>
    <row r="202" spans="2:33" x14ac:dyDescent="0.3">
      <c r="B202" t="s">
        <v>62</v>
      </c>
      <c r="C202">
        <v>76</v>
      </c>
      <c r="D202" t="s">
        <v>6</v>
      </c>
    </row>
    <row r="203" spans="2:33" x14ac:dyDescent="0.3">
      <c r="B203" t="s">
        <v>62</v>
      </c>
      <c r="C203">
        <v>76</v>
      </c>
      <c r="D203" t="s">
        <v>7</v>
      </c>
      <c r="E203">
        <v>1566.27</v>
      </c>
    </row>
    <row r="204" spans="2:33" x14ac:dyDescent="0.3">
      <c r="B204" t="s">
        <v>93</v>
      </c>
      <c r="C204">
        <v>76</v>
      </c>
      <c r="D204" t="s">
        <v>6</v>
      </c>
    </row>
    <row r="205" spans="2:33" x14ac:dyDescent="0.3">
      <c r="B205" t="s">
        <v>93</v>
      </c>
      <c r="C205">
        <v>76</v>
      </c>
      <c r="D205" t="s">
        <v>7</v>
      </c>
      <c r="E205">
        <v>95</v>
      </c>
    </row>
    <row r="206" spans="2:33" x14ac:dyDescent="0.3">
      <c r="B206" t="s">
        <v>23</v>
      </c>
      <c r="C206" s="1" t="s">
        <v>88</v>
      </c>
      <c r="D206" t="s">
        <v>6</v>
      </c>
      <c r="E206">
        <v>0</v>
      </c>
      <c r="F206" s="5">
        <v>34.57</v>
      </c>
      <c r="V206">
        <v>34.57</v>
      </c>
      <c r="AG206" t="s">
        <v>115</v>
      </c>
    </row>
    <row r="207" spans="2:33" x14ac:dyDescent="0.3">
      <c r="B207" t="s">
        <v>23</v>
      </c>
      <c r="C207" s="1" t="s">
        <v>88</v>
      </c>
      <c r="D207" t="s">
        <v>7</v>
      </c>
      <c r="E207">
        <v>158</v>
      </c>
      <c r="AG207" t="s">
        <v>115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351</v>
      </c>
      <c r="I208">
        <v>8</v>
      </c>
      <c r="J208">
        <v>27</v>
      </c>
      <c r="S208">
        <v>351</v>
      </c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320</v>
      </c>
      <c r="Q209">
        <v>152</v>
      </c>
      <c r="W209">
        <v>42</v>
      </c>
      <c r="X209">
        <v>126</v>
      </c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</row>
    <row r="214" spans="2:33" x14ac:dyDescent="0.3">
      <c r="B214" t="s">
        <v>64</v>
      </c>
      <c r="C214" s="1" t="s">
        <v>92</v>
      </c>
      <c r="D214" t="s">
        <v>6</v>
      </c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</row>
    <row r="216" spans="2:33" x14ac:dyDescent="0.3">
      <c r="B216" t="s">
        <v>96</v>
      </c>
      <c r="C216" s="1">
        <v>12</v>
      </c>
      <c r="D216" t="s">
        <v>6</v>
      </c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2026-04-23T11:35:02Z</dcterms:modified>
</cp:coreProperties>
</file>