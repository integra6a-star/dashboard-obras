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ashboard-obras\docs\"/>
    </mc:Choice>
  </mc:AlternateContent>
  <xr:revisionPtr revIDLastSave="0" documentId="13_ncr:1_{2479E204-E477-4139-97CB-7F27E012B017}" xr6:coauthVersionLast="47" xr6:coauthVersionMax="47" xr10:uidLastSave="{00000000-0000-0000-0000-000000000000}"/>
  <bookViews>
    <workbookView xWindow="-28920" yWindow="-120" windowWidth="29040" windowHeight="15720" xr2:uid="{C4B49546-303A-44FC-A2B7-442D4305AD02}"/>
  </bookViews>
  <sheets>
    <sheet name="medição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5" l="1"/>
  <c r="F8" i="5" l="1"/>
  <c r="D7" i="5" l="1"/>
  <c r="F7" i="5" l="1"/>
  <c r="F6" i="5" l="1"/>
  <c r="C5" i="5"/>
  <c r="F5" i="5" s="1"/>
  <c r="F3" i="5"/>
  <c r="F4" i="5"/>
  <c r="F2" i="5"/>
</calcChain>
</file>

<file path=xl/sharedStrings.xml><?xml version="1.0" encoding="utf-8"?>
<sst xmlns="http://schemas.openxmlformats.org/spreadsheetml/2006/main" count="3" uniqueCount="3">
  <si>
    <t>DATA</t>
  </si>
  <si>
    <t>MEDIÇÃO</t>
  </si>
  <si>
    <t>AMORTIZAÇÃO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</si>
</sst>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">
    <xf numFmtId="0" fontId="0" fillId="0" borderId="0" xfId="0"/>
    <xf numFmtId="44" fontId="0" fillId="0" borderId="0" xfId="1" applyFont="1"/>
    <xf numFmtId="44" fontId="0" fillId="0" borderId="0" xfId="0" applyNumberFormat="1"/>
    <xf numFmtId="0" fontId="0" fillId="0" borderId="1" xfId="0" applyBorder="1"/>
    <xf numFmtId="17" fontId="0" fillId="0" borderId="1" xfId="0" applyNumberFormat="1" applyBorder="1"/>
    <xf numFmtId="44" fontId="0" fillId="0" borderId="1" xfId="1" applyFont="1" applyBorder="1"/>
    <xf numFmtId="9" fontId="0" fillId="0" borderId="0" xfId="2" applyFont="1"/>
    <xf numFmtId="0" fontId="0" fillId="0" borderId="0" xfId="2" applyNumberFormat="1" applyFont="1"/>
  </cellXfs>
  <cellStyles count="6">
    <cellStyle name="Moeda" xfId="1" builtinId="4"/>
    <cellStyle name="Moeda 2" xfId="3" xr:uid="{E63EB297-6249-4925-A2CD-B6D02831F7A4}"/>
    <cellStyle name="Moeda 3" xfId="4" xr:uid="{EC82F82D-F91D-42FB-8478-BCEA9F261B75}"/>
    <cellStyle name="Moeda 4" xfId="5" xr:uid="{899CAF85-00DC-4B32-AA12-3EACF4FE0C21}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9200D-BF7A-47B4-B953-91DE9F9E67F5}">
  <dimension ref="A1:G10"/>
  <sheetViews>
    <sheetView tabSelected="1" workbookViewId="0">
      <selection activeCell="D18" sqref="D18"/>
    </sheetView>
  </sheetViews>
  <sheetFormatPr defaultRowHeight="14.4" x14ac:dyDescent="0.3"/>
  <cols>
    <col min="2" max="2" width="17.6640625" bestFit="1" customWidth="1"/>
    <col min="3" max="5" width="16.5546875" bestFit="1" customWidth="1"/>
    <col min="6" max="6" width="17.6640625" bestFit="1" customWidth="1"/>
    <col min="7" max="7" width="17.88671875" bestFit="1" customWidth="1"/>
  </cols>
  <sheetData>
    <row r="1" spans="1:7" x14ac:dyDescent="0.3">
      <c r="A1" s="3" t="s">
        <v>0</v>
      </c>
      <c r="B1" s="3" t="s">
        <v>1</v>
      </c>
      <c r="C1" s="3" t="s">
        <v>2</v>
      </c>
    </row>
    <row r="2" spans="1:7" x14ac:dyDescent="0.3">
      <c r="A2" s="4">
        <v>45809</v>
      </c>
      <c r="B2" s="5">
        <v>16044872.07</v>
      </c>
      <c r="C2" s="5">
        <v>2893337.59</v>
      </c>
      <c r="D2" s="7">
        <v>2611</v>
      </c>
      <c r="E2" s="1"/>
      <c r="F2" s="6">
        <f>C2/B2</f>
        <v>0.18032786907723844</v>
      </c>
      <c r="G2" s="2"/>
    </row>
    <row r="3" spans="1:7" x14ac:dyDescent="0.3">
      <c r="A3" s="4">
        <v>45839</v>
      </c>
      <c r="B3" s="5">
        <v>3682429.66</v>
      </c>
      <c r="C3" s="5">
        <v>526061.38</v>
      </c>
      <c r="D3" s="7">
        <v>584</v>
      </c>
      <c r="E3" s="1"/>
      <c r="F3" s="6">
        <f t="shared" ref="F3:F8" si="0">C3/B3</f>
        <v>0.14285714285714285</v>
      </c>
      <c r="G3" s="2"/>
    </row>
    <row r="4" spans="1:7" x14ac:dyDescent="0.3">
      <c r="A4" s="4">
        <v>45870</v>
      </c>
      <c r="B4" s="5">
        <v>21831547.239999998</v>
      </c>
      <c r="C4" s="5">
        <v>3682429.66</v>
      </c>
      <c r="D4" s="7">
        <v>3598</v>
      </c>
      <c r="E4" s="1"/>
      <c r="F4" s="6">
        <f t="shared" si="0"/>
        <v>0.16867469902696647</v>
      </c>
      <c r="G4" s="2"/>
    </row>
    <row r="5" spans="1:7" x14ac:dyDescent="0.3">
      <c r="A5" s="4">
        <v>45901</v>
      </c>
      <c r="B5" s="5">
        <v>19727301.73</v>
      </c>
      <c r="C5" s="5">
        <f>B5*0.16</f>
        <v>3156368.2768000001</v>
      </c>
      <c r="D5" s="7">
        <v>3229</v>
      </c>
      <c r="E5" s="1"/>
      <c r="F5" s="6">
        <f t="shared" si="0"/>
        <v>0.16</v>
      </c>
      <c r="G5" s="2"/>
    </row>
    <row r="6" spans="1:7" x14ac:dyDescent="0.3">
      <c r="A6" s="4">
        <v>45931</v>
      </c>
      <c r="B6" s="5">
        <v>8680012.7599999998</v>
      </c>
      <c r="C6" s="5">
        <v>1315153.45</v>
      </c>
      <c r="D6" s="7">
        <v>1433</v>
      </c>
      <c r="E6" s="1"/>
      <c r="F6" s="6">
        <f t="shared" si="0"/>
        <v>0.15151515168970789</v>
      </c>
      <c r="G6" s="2"/>
    </row>
    <row r="7" spans="1:7" x14ac:dyDescent="0.3">
      <c r="A7" s="4">
        <v>45962</v>
      </c>
      <c r="B7" s="5">
        <v>14203657.24</v>
      </c>
      <c r="C7" s="5">
        <v>2104245.5</v>
      </c>
      <c r="D7" s="7">
        <f>2386-27</f>
        <v>2359</v>
      </c>
      <c r="E7" s="1"/>
      <c r="F7" s="6">
        <f t="shared" si="0"/>
        <v>0.14814814694866574</v>
      </c>
      <c r="G7" s="2"/>
    </row>
    <row r="8" spans="1:7" x14ac:dyDescent="0.3">
      <c r="A8" s="4">
        <v>45992</v>
      </c>
      <c r="B8" s="5">
        <v>25777007.600000001</v>
      </c>
      <c r="C8" s="5">
        <v>2630306.9</v>
      </c>
      <c r="D8" s="7">
        <v>3356</v>
      </c>
      <c r="F8" s="6">
        <f t="shared" si="0"/>
        <v>0.10204081640570256</v>
      </c>
      <c r="G8" s="2"/>
    </row>
    <row r="9" spans="1:7" x14ac:dyDescent="0.3">
      <c r="A9" s="4">
        <v>46023</v>
      </c>
      <c r="B9" s="5">
        <v>8775911.4399999995</v>
      </c>
      <c r="C9" s="5">
        <v>1052122.76</v>
      </c>
      <c r="D9" s="7"/>
      <c r="F9" s="6">
        <f>C9/B9</f>
        <v>0.11988757716999023</v>
      </c>
    </row>
    <row r="10" spans="1:7" x14ac:dyDescent="0.3">
      <c r="A10" s="4"/>
      <c r="B10" s="5"/>
      <c r="C10" s="5"/>
      <c r="F10" s="6"/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47A52244DFCC9488E5B66DD2EAE55E4" ma:contentTypeVersion="18" ma:contentTypeDescription="Crie um novo documento." ma:contentTypeScope="" ma:versionID="936731ce312a4e8ead8ad97bcf9b70b3">
  <xsd:schema xmlns:xsd="http://www.w3.org/2001/XMLSchema" xmlns:xs="http://www.w3.org/2001/XMLSchema" xmlns:p="http://schemas.microsoft.com/office/2006/metadata/properties" xmlns:ns1="http://schemas.microsoft.com/sharepoint/v3" xmlns:ns2="84c92d79-736b-434d-a6de-4a5b6bb0f72c" xmlns:ns3="de022bf3-4aff-41f6-a825-e7793343a5a1" targetNamespace="http://schemas.microsoft.com/office/2006/metadata/properties" ma:root="true" ma:fieldsID="fdc18dfd3044d82758640420f33afd2f" ns1:_="" ns2:_="" ns3:_="">
    <xsd:import namespace="http://schemas.microsoft.com/sharepoint/v3"/>
    <xsd:import namespace="84c92d79-736b-434d-a6de-4a5b6bb0f72c"/>
    <xsd:import namespace="de022bf3-4aff-41f6-a825-e7793343a5a1"/>
    <xsd:element name="properties">
      <xsd:complexType>
        <xsd:sequence>
          <xsd:element name="documentManagement">
            <xsd:complexType>
              <xsd:all>
                <xsd:element ref="ns2:_Flow_SignoffStatus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  <xsd:element ref="ns2:User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4" nillable="true" ma:displayName="Propriedades da Política de Conformidade Unificada" ma:hidden="true" ma:internalName="_ip_UnifiedCompliancePolicyProperties">
      <xsd:simpleType>
        <xsd:restriction base="dms:Note"/>
      </xsd:simpleType>
    </xsd:element>
    <xsd:element name="_ip_UnifiedCompliancePolicyUIAction" ma:index="25" nillable="true" ma:displayName="Ação de Interface do Usuário da Política de Conformidade Unificada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4c92d79-736b-434d-a6de-4a5b6bb0f72c" elementFormDefault="qualified">
    <xsd:import namespace="http://schemas.microsoft.com/office/2006/documentManagement/types"/>
    <xsd:import namespace="http://schemas.microsoft.com/office/infopath/2007/PartnerControls"/>
    <xsd:element name="_Flow_SignoffStatus" ma:index="8" nillable="true" ma:displayName="Status de liberação" ma:internalName="_x0024_Resources_x003a_core_x002c_Signoff_Status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585fcb-9c99-4962-90d2-60149a44b0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Users" ma:index="23" nillable="true" ma:displayName="Users" ma:format="Dropdown" ma:list="UserInfo" ma:SharePointGroup="0" ma:internalName="Users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e022bf3-4aff-41f6-a825-e7793343a5a1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3dfb9e8a-4295-4e3c-8694-55aca7e39036}" ma:internalName="TaxCatchAll" ma:showField="CatchAllData" ma:web="de022bf3-4aff-41f6-a825-e7793343a5a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Users xmlns="84c92d79-736b-434d-a6de-4a5b6bb0f72c">
      <UserInfo>
        <DisplayName/>
        <AccountId xsi:nil="true"/>
        <AccountType/>
      </UserInfo>
    </Users>
    <_ip_UnifiedCompliancePolicyUIAction xmlns="http://schemas.microsoft.com/sharepoint/v3" xsi:nil="true"/>
    <lcf76f155ced4ddcb4097134ff3c332f xmlns="84c92d79-736b-434d-a6de-4a5b6bb0f72c">
      <Terms xmlns="http://schemas.microsoft.com/office/infopath/2007/PartnerControls"/>
    </lcf76f155ced4ddcb4097134ff3c332f>
    <TaxCatchAll xmlns="de022bf3-4aff-41f6-a825-e7793343a5a1" xsi:nil="true"/>
    <_ip_UnifiedCompliancePolicyProperties xmlns="http://schemas.microsoft.com/sharepoint/v3" xsi:nil="true"/>
    <_Flow_SignoffStatus xmlns="84c92d79-736b-434d-a6de-4a5b6bb0f72c" xsi:nil="true"/>
  </documentManagement>
</p:properties>
</file>

<file path=customXml/itemProps1.xml><?xml version="1.0" encoding="utf-8"?>
<ds:datastoreItem xmlns:ds="http://schemas.openxmlformats.org/officeDocument/2006/customXml" ds:itemID="{CB6ACFD4-4B34-4F6B-AF3A-E745E2FBC0C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84c92d79-736b-434d-a6de-4a5b6bb0f72c"/>
    <ds:schemaRef ds:uri="de022bf3-4aff-41f6-a825-e7793343a5a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6D777F3-47C0-461C-AB58-3D988F0D0DF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FE54049-832F-4559-A380-4B2190B687C3}">
  <ds:schemaRefs>
    <ds:schemaRef ds:uri="http://schemas.microsoft.com/office/2006/metadata/properties"/>
    <ds:schemaRef ds:uri="http://schemas.microsoft.com/office/infopath/2007/PartnerControls"/>
    <ds:schemaRef ds:uri="84c92d79-736b-434d-a6de-4a5b6bb0f72c"/>
    <ds:schemaRef ds:uri="http://schemas.microsoft.com/sharepoint/v3"/>
    <ds:schemaRef ds:uri="de022bf3-4aff-41f6-a825-e7793343a5a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medição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Caroline Aparecida Franco de Oliveira</dc:creator>
  <cp:keywords/>
  <dc:description/>
  <cp:lastModifiedBy>Cleulton Marcio Goncalves Freire</cp:lastModifiedBy>
  <cp:revision/>
  <dcterms:created xsi:type="dcterms:W3CDTF">2025-08-13T10:32:30Z</dcterms:created>
  <dcterms:modified xsi:type="dcterms:W3CDTF">2026-03-02T18:55:12Z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0x010100547A52244DFCC9488E5B66DD2EAE55E4</vt:lpwstr>
  </property>
  <property fmtid="{D5CDD505-2E9C-101B-9397-08002B2CF9AE}" pid="3" name="MediaServiceImageTags">
    <vt:lpwstr/>
  </property>
</Properties>
</file>