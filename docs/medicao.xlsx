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A23AC0DF-D76F-4289-81EA-2D7C3B096339}" xr6:coauthVersionLast="47" xr6:coauthVersionMax="47" xr10:uidLastSave="{00000000-0000-0000-0000-000000000000}"/>
  <bookViews>
    <workbookView xWindow="-28920" yWindow="-45" windowWidth="29040" windowHeight="15720" xr2:uid="{C4B49546-303A-44FC-A2B7-442D4305AD02}"/>
  </bookViews>
  <sheets>
    <sheet name="mediçã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F12" i="5"/>
  <c r="J15" i="5"/>
  <c r="J16" i="5"/>
  <c r="F11" i="5"/>
  <c r="E11" i="5"/>
  <c r="E4" i="5"/>
  <c r="E3" i="5" l="1"/>
  <c r="E5" i="5"/>
  <c r="E6" i="5"/>
  <c r="E7" i="5"/>
  <c r="E8" i="5"/>
  <c r="E9" i="5"/>
  <c r="E10" i="5"/>
  <c r="E2" i="5"/>
  <c r="F10" i="5"/>
  <c r="F9" i="5"/>
  <c r="J17" i="5" l="1"/>
  <c r="F8" i="5"/>
  <c r="D7" i="5" l="1"/>
  <c r="F7" i="5" l="1"/>
  <c r="F6" i="5" l="1"/>
  <c r="C5" i="5"/>
  <c r="F5" i="5" s="1"/>
  <c r="F3" i="5"/>
  <c r="F4" i="5"/>
  <c r="F2" i="5"/>
</calcChain>
</file>

<file path=xl/sharedStrings.xml><?xml version="1.0" encoding="utf-8"?>
<sst xmlns="http://schemas.openxmlformats.org/spreadsheetml/2006/main" count="3" uniqueCount="3">
  <si>
    <t>DATA</t>
  </si>
  <si>
    <t>MEDIÇÃO</t>
  </si>
  <si>
    <t>AMORTIZAÇÃO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</si>
</sst>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17" fontId="0" fillId="0" borderId="1" xfId="0" applyNumberFormat="1" applyBorder="1"/>
    <xf numFmtId="44" fontId="0" fillId="0" borderId="1" xfId="1" applyFont="1" applyBorder="1"/>
    <xf numFmtId="9" fontId="0" fillId="0" borderId="0" xfId="2" applyFont="1"/>
    <xf numFmtId="0" fontId="0" fillId="0" borderId="0" xfId="2" applyNumberFormat="1" applyFont="1"/>
    <xf numFmtId="4" fontId="0" fillId="0" borderId="0" xfId="0" applyNumberFormat="1"/>
    <xf numFmtId="4" fontId="2" fillId="0" borderId="0" xfId="0" applyNumberFormat="1" applyFont="1"/>
  </cellXfs>
  <cellStyles count="6">
    <cellStyle name="Moeda" xfId="1" builtinId="4"/>
    <cellStyle name="Moeda 2" xfId="3" xr:uid="{E63EB297-6249-4925-A2CD-B6D02831F7A4}"/>
    <cellStyle name="Moeda 3" xfId="4" xr:uid="{EC82F82D-F91D-42FB-8478-BCEA9F261B75}"/>
    <cellStyle name="Moeda 4" xfId="5" xr:uid="{899CAF85-00DC-4B32-AA12-3EACF4FE0C21}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200D-BF7A-47B4-B953-91DE9F9E67F5}">
  <dimension ref="A1:J27"/>
  <sheetViews>
    <sheetView tabSelected="1" workbookViewId="0">
      <selection activeCell="F24" sqref="F24"/>
    </sheetView>
  </sheetViews>
  <sheetFormatPr defaultRowHeight="14.4" x14ac:dyDescent="0.3"/>
  <cols>
    <col min="2" max="2" width="17.6640625" bestFit="1" customWidth="1"/>
    <col min="3" max="5" width="16.5546875" bestFit="1" customWidth="1"/>
    <col min="6" max="6" width="17.6640625" bestFit="1" customWidth="1"/>
    <col min="7" max="7" width="17.88671875" bestFit="1" customWidth="1"/>
    <col min="10" max="10" width="17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</row>
    <row r="2" spans="1:10" x14ac:dyDescent="0.3">
      <c r="A2" s="4">
        <v>45809</v>
      </c>
      <c r="B2" s="5">
        <v>16044872.07</v>
      </c>
      <c r="C2" s="5">
        <v>2893337.59</v>
      </c>
      <c r="D2" s="7">
        <v>2611</v>
      </c>
      <c r="E2" s="1">
        <f>B2-C2</f>
        <v>13151534.48</v>
      </c>
      <c r="F2" s="6">
        <f>C2/B2</f>
        <v>0.18032786907723844</v>
      </c>
      <c r="G2" s="2"/>
    </row>
    <row r="3" spans="1:10" x14ac:dyDescent="0.3">
      <c r="A3" s="4">
        <v>45839</v>
      </c>
      <c r="B3" s="5">
        <v>3682429.66</v>
      </c>
      <c r="C3" s="5">
        <v>526061.38</v>
      </c>
      <c r="D3" s="7">
        <v>584</v>
      </c>
      <c r="E3" s="1">
        <f t="shared" ref="E3:E12" si="0">B3-C3</f>
        <v>3156368.2800000003</v>
      </c>
      <c r="F3" s="6">
        <f t="shared" ref="F3:F8" si="1">C3/B3</f>
        <v>0.14285714285714285</v>
      </c>
      <c r="G3" s="2"/>
    </row>
    <row r="4" spans="1:10" x14ac:dyDescent="0.3">
      <c r="A4" s="4">
        <v>45870</v>
      </c>
      <c r="B4" s="5">
        <v>21831574.239999998</v>
      </c>
      <c r="C4" s="5">
        <v>3682429.66</v>
      </c>
      <c r="D4" s="7">
        <v>3598</v>
      </c>
      <c r="E4" s="1">
        <f t="shared" si="0"/>
        <v>18149144.579999998</v>
      </c>
      <c r="F4" s="6">
        <f t="shared" si="1"/>
        <v>0.16867449042007338</v>
      </c>
      <c r="G4" s="2"/>
    </row>
    <row r="5" spans="1:10" x14ac:dyDescent="0.3">
      <c r="A5" s="4">
        <v>45901</v>
      </c>
      <c r="B5" s="5">
        <v>19727301.73</v>
      </c>
      <c r="C5" s="5">
        <f>B5*0.16</f>
        <v>3156368.2768000001</v>
      </c>
      <c r="D5" s="7">
        <v>3229</v>
      </c>
      <c r="E5" s="1">
        <f t="shared" si="0"/>
        <v>16570933.453200001</v>
      </c>
      <c r="F5" s="6">
        <f t="shared" si="1"/>
        <v>0.16</v>
      </c>
      <c r="G5" s="2"/>
    </row>
    <row r="6" spans="1:10" x14ac:dyDescent="0.3">
      <c r="A6" s="4">
        <v>45931</v>
      </c>
      <c r="B6" s="5">
        <v>8680012.7599999998</v>
      </c>
      <c r="C6" s="5">
        <v>1315153.45</v>
      </c>
      <c r="D6" s="7">
        <v>1433</v>
      </c>
      <c r="E6" s="1">
        <f t="shared" si="0"/>
        <v>7364859.3099999996</v>
      </c>
      <c r="F6" s="6">
        <f t="shared" si="1"/>
        <v>0.15151515168970789</v>
      </c>
      <c r="G6" s="2"/>
    </row>
    <row r="7" spans="1:10" x14ac:dyDescent="0.3">
      <c r="A7" s="4">
        <v>45962</v>
      </c>
      <c r="B7" s="5">
        <v>14203657.24</v>
      </c>
      <c r="C7" s="5">
        <v>2104245.52</v>
      </c>
      <c r="D7" s="7">
        <f>2386-27</f>
        <v>2359</v>
      </c>
      <c r="E7" s="1">
        <f t="shared" si="0"/>
        <v>12099411.720000001</v>
      </c>
      <c r="F7" s="6">
        <f t="shared" si="1"/>
        <v>0.14814814835675377</v>
      </c>
      <c r="G7" s="2"/>
    </row>
    <row r="8" spans="1:10" x14ac:dyDescent="0.3">
      <c r="A8" s="4">
        <v>45992</v>
      </c>
      <c r="B8" s="5">
        <v>25777007.600000001</v>
      </c>
      <c r="C8" s="5">
        <v>2630306.9</v>
      </c>
      <c r="D8" s="7">
        <v>3356</v>
      </c>
      <c r="E8" s="1">
        <f t="shared" si="0"/>
        <v>23146700.700000003</v>
      </c>
      <c r="F8" s="6">
        <f t="shared" si="1"/>
        <v>0.10204081640570256</v>
      </c>
      <c r="G8" s="2"/>
    </row>
    <row r="9" spans="1:10" x14ac:dyDescent="0.3">
      <c r="A9" s="4">
        <v>46023</v>
      </c>
      <c r="B9" s="5">
        <v>9469104.8300000001</v>
      </c>
      <c r="C9" s="5">
        <v>1052122.76</v>
      </c>
      <c r="D9" s="7"/>
      <c r="E9" s="1">
        <f t="shared" si="0"/>
        <v>8416982.0700000003</v>
      </c>
      <c r="F9" s="6">
        <f>C9/B9</f>
        <v>0.11111111122845178</v>
      </c>
    </row>
    <row r="10" spans="1:10" x14ac:dyDescent="0.3">
      <c r="A10" s="4">
        <v>46054</v>
      </c>
      <c r="B10" s="5">
        <v>13600196.199999999</v>
      </c>
      <c r="C10" s="5">
        <v>2630306.9</v>
      </c>
      <c r="E10" s="1">
        <f t="shared" si="0"/>
        <v>10969889.299999999</v>
      </c>
      <c r="F10" s="6">
        <f>C10/B10</f>
        <v>0.19340212900752124</v>
      </c>
    </row>
    <row r="11" spans="1:10" x14ac:dyDescent="0.3">
      <c r="A11" s="4">
        <v>46082</v>
      </c>
      <c r="B11" s="5">
        <v>7101828.6200000001</v>
      </c>
      <c r="C11" s="5">
        <v>789092.07</v>
      </c>
      <c r="E11" s="1">
        <f t="shared" si="0"/>
        <v>6312736.5499999998</v>
      </c>
      <c r="F11" s="6">
        <f>C11/B11</f>
        <v>0.11111111126756533</v>
      </c>
    </row>
    <row r="12" spans="1:10" x14ac:dyDescent="0.3">
      <c r="A12" s="4">
        <v>46113</v>
      </c>
      <c r="B12" s="5">
        <v>32089744.140000001</v>
      </c>
      <c r="C12" s="5">
        <v>3945460.35</v>
      </c>
      <c r="E12" s="1">
        <f t="shared" si="0"/>
        <v>28144283.789999999</v>
      </c>
      <c r="F12" s="6">
        <f>C12/B12</f>
        <v>0.12295081982538986</v>
      </c>
    </row>
    <row r="15" spans="1:10" x14ac:dyDescent="0.3">
      <c r="J15" s="2">
        <f>SUM(B2:B11)</f>
        <v>140117984.95000002</v>
      </c>
    </row>
    <row r="16" spans="1:10" x14ac:dyDescent="0.3">
      <c r="J16" s="2">
        <f>SUM(C2:C11)</f>
        <v>20779424.5068</v>
      </c>
    </row>
    <row r="17" spans="10:10" x14ac:dyDescent="0.3">
      <c r="J17" s="2">
        <f>J15-J16</f>
        <v>119338560.44320002</v>
      </c>
    </row>
    <row r="20" spans="10:10" x14ac:dyDescent="0.3">
      <c r="J20" s="2"/>
    </row>
    <row r="24" spans="10:10" x14ac:dyDescent="0.3">
      <c r="J24" s="9"/>
    </row>
    <row r="25" spans="10:10" x14ac:dyDescent="0.3">
      <c r="J25" s="8"/>
    </row>
    <row r="26" spans="10:10" x14ac:dyDescent="0.3">
      <c r="J26" s="8"/>
    </row>
    <row r="27" spans="10:10" x14ac:dyDescent="0.3">
      <c r="J2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7A52244DFCC9488E5B66DD2EAE55E4" ma:contentTypeVersion="18" ma:contentTypeDescription="Crie um novo documento." ma:contentTypeScope="" ma:versionID="936731ce312a4e8ead8ad97bcf9b70b3">
  <xsd:schema xmlns:xsd="http://www.w3.org/2001/XMLSchema" xmlns:xs="http://www.w3.org/2001/XMLSchema" xmlns:p="http://schemas.microsoft.com/office/2006/metadata/properties" xmlns:ns1="http://schemas.microsoft.com/sharepoint/v3" xmlns:ns2="84c92d79-736b-434d-a6de-4a5b6bb0f72c" xmlns:ns3="de022bf3-4aff-41f6-a825-e7793343a5a1" targetNamespace="http://schemas.microsoft.com/office/2006/metadata/properties" ma:root="true" ma:fieldsID="fdc18dfd3044d82758640420f33afd2f" ns1:_="" ns2:_="" ns3:_="">
    <xsd:import namespace="http://schemas.microsoft.com/sharepoint/v3"/>
    <xsd:import namespace="84c92d79-736b-434d-a6de-4a5b6bb0f72c"/>
    <xsd:import namespace="de022bf3-4aff-41f6-a825-e7793343a5a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User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92d79-736b-434d-a6de-4a5b6bb0f72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Status de liberação" ma:internalName="_x0024_Resources_x003a_core_x002c_Signoff_Status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585fcb-9c99-4962-90d2-60149a44b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ers" ma:index="23" nillable="true" ma:displayName="Users" ma:format="Dropdown" ma:list="UserInfo" ma:SharePointGroup="0" ma:internalName="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22bf3-4aff-41f6-a825-e7793343a5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dfb9e8a-4295-4e3c-8694-55aca7e39036}" ma:internalName="TaxCatchAll" ma:showField="CatchAllData" ma:web="de022bf3-4aff-41f6-a825-e7793343a5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s xmlns="84c92d79-736b-434d-a6de-4a5b6bb0f72c">
      <UserInfo>
        <DisplayName/>
        <AccountId xsi:nil="true"/>
        <AccountType/>
      </UserInfo>
    </Users>
    <_ip_UnifiedCompliancePolicyUIAction xmlns="http://schemas.microsoft.com/sharepoint/v3" xsi:nil="true"/>
    <lcf76f155ced4ddcb4097134ff3c332f xmlns="84c92d79-736b-434d-a6de-4a5b6bb0f72c">
      <Terms xmlns="http://schemas.microsoft.com/office/infopath/2007/PartnerControls"/>
    </lcf76f155ced4ddcb4097134ff3c332f>
    <TaxCatchAll xmlns="de022bf3-4aff-41f6-a825-e7793343a5a1" xsi:nil="true"/>
    <_ip_UnifiedCompliancePolicyProperties xmlns="http://schemas.microsoft.com/sharepoint/v3" xsi:nil="true"/>
    <_Flow_SignoffStatus xmlns="84c92d79-736b-434d-a6de-4a5b6bb0f7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6ACFD4-4B34-4F6B-AF3A-E745E2FBC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4c92d79-736b-434d-a6de-4a5b6bb0f72c"/>
    <ds:schemaRef ds:uri="de022bf3-4aff-41f6-a825-e7793343a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E54049-832F-4559-A380-4B2190B687C3}">
  <ds:schemaRefs>
    <ds:schemaRef ds:uri="http://schemas.microsoft.com/office/2006/metadata/properties"/>
    <ds:schemaRef ds:uri="http://schemas.microsoft.com/office/infopath/2007/PartnerControls"/>
    <ds:schemaRef ds:uri="84c92d79-736b-434d-a6de-4a5b6bb0f72c"/>
    <ds:schemaRef ds:uri="http://schemas.microsoft.com/sharepoint/v3"/>
    <ds:schemaRef ds:uri="de022bf3-4aff-41f6-a825-e7793343a5a1"/>
  </ds:schemaRefs>
</ds:datastoreItem>
</file>

<file path=customXml/itemProps3.xml><?xml version="1.0" encoding="utf-8"?>
<ds:datastoreItem xmlns:ds="http://schemas.openxmlformats.org/officeDocument/2006/customXml" ds:itemID="{D6D777F3-47C0-461C-AB58-3D988F0D0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Aparecida Franco de Oliveira</dc:creator>
  <cp:keywords/>
  <dc:description/>
  <cp:lastModifiedBy>Cleulton Marcio Goncalves Freire</cp:lastModifiedBy>
  <cp:revision/>
  <dcterms:created xsi:type="dcterms:W3CDTF">2025-08-13T10:32:30Z</dcterms:created>
  <dcterms:modified xsi:type="dcterms:W3CDTF">2026-05-19T12:09:25Z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0x010100547A52244DFCC9488E5B66DD2EAE55E4</vt:lpwstr>
  </property>
  <property fmtid="{D5CDD505-2E9C-101B-9397-08002B2CF9AE}" pid="3" name="MediaServiceImageTags">
    <vt:lpwstr/>
  </property>
</Properties>
</file>