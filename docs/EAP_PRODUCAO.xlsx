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dashboard-obras\docs\"/>
    </mc:Choice>
  </mc:AlternateContent>
  <xr:revisionPtr revIDLastSave="0" documentId="13_ncr:1_{12225E98-7476-4D73-8B91-E8EBDB2DB7A4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EAP_PRODUCAO" sheetId="2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2" l="1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<sst xmlns="http://schemas.openxmlformats.org/spreadsheetml/2006/main" count="26" uniqueCount="16">
  <si>
    <t>Ano</t>
  </si>
  <si>
    <t>Mes</t>
  </si>
  <si>
    <t>EAP</t>
  </si>
  <si>
    <t>Produzido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</si>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</sst>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3" fillId="0" borderId="0" xfId="0" applyNumberFormat="1" applyFont="1"/>
  </cellXfs>
  <cellStyles count="1">
    <cellStyle name="Normal" xfId="0" builtinId="0"/>
  </cellStyles>
  <dxfs count="16"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49998474074526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Users/micro/Downloads/Extens&#245;es%20EAP%20Aprovada%20-%20m&#234;s%20a%20m&#234;s.xlsx" TargetMode="External"/><Relationship Id="rId2" Type="http://schemas.openxmlformats.org/officeDocument/2006/relationships/externalLinkPath" Target="file:///C:\Users\micro\Downloads\Extens&#245;es%20EAP%20Aprovada%20-%20m&#234;s%20a%20m&#234;s.xlsx" TargetMode="External"/><Relationship Id="rId1" Type="http://schemas.openxmlformats.org/officeDocument/2006/relationships/externalLinkPath" Target="/Users/micro/Downloads/Extens&#245;es%20EAP%20Aprovada%20-%20m&#234;s%20a%20m&#234;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lanilha1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B20D-368F-4B56-83D6-7E9238F3C577}">
  <dimension ref="B2:E24"/>
  <sheetViews>
    <sheetView tabSelected="1" workbookViewId="0">
      <selection activeCell="G27" sqref="G27"/>
    </sheetView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</cols>
  <sheetData>
    <row r="2" spans="2:5" x14ac:dyDescent="0.3">
      <c r="B2" s="1" t="s">
        <v>0</v>
      </c>
      <c r="C2" s="1" t="s">
        <v>1</v>
      </c>
      <c r="D2" s="1" t="s">
        <v>2</v>
      </c>
      <c r="E2" s="1" t="s">
        <v>3</v>
      </c>
    </row>
    <row r="3" spans="2:5" x14ac:dyDescent="0.3">
      <c r="B3" s="2">
        <v>2025</v>
      </c>
      <c r="C3" s="2" t="s">
        <v>6</v>
      </c>
      <c r="D3" s="3">
        <f>[1]!_P[[#Totals],[mar-25]]</f>
        <v>159.14553191489361</v>
      </c>
      <c r="E3" s="2">
        <v>0</v>
      </c>
    </row>
    <row r="4" spans="2:5" x14ac:dyDescent="0.3">
      <c r="B4" s="2">
        <v>2025</v>
      </c>
      <c r="C4" s="2" t="s">
        <v>7</v>
      </c>
      <c r="D4" s="3">
        <f>[1]!_P[[#Totals],[abr-25]]</f>
        <v>723.69574468085102</v>
      </c>
      <c r="E4" s="2">
        <v>47.5</v>
      </c>
    </row>
    <row r="5" spans="2:5" x14ac:dyDescent="0.3">
      <c r="B5" s="2">
        <v>2025</v>
      </c>
      <c r="C5" s="2" t="s">
        <v>8</v>
      </c>
      <c r="D5" s="3">
        <f>[1]!_P[[#Totals],[mai-25]]</f>
        <v>905.98582443046723</v>
      </c>
      <c r="E5" s="2">
        <v>389.15</v>
      </c>
    </row>
    <row r="6" spans="2:5" x14ac:dyDescent="0.3">
      <c r="B6" s="2">
        <v>2025</v>
      </c>
      <c r="C6" s="2" t="s">
        <v>9</v>
      </c>
      <c r="D6" s="3">
        <f>[1]!_P[[#Totals],[jun-25]]</f>
        <v>1089.1382811349263</v>
      </c>
      <c r="E6">
        <v>340.32</v>
      </c>
    </row>
    <row r="7" spans="2:5" x14ac:dyDescent="0.3">
      <c r="B7" s="2">
        <v>2025</v>
      </c>
      <c r="C7" s="2" t="s">
        <v>10</v>
      </c>
      <c r="D7" s="3">
        <f>[1]!_P[[#Totals],[jul-25]]</f>
        <v>588.27601512615138</v>
      </c>
      <c r="E7" s="2">
        <v>1063.675</v>
      </c>
    </row>
    <row r="8" spans="2:5" x14ac:dyDescent="0.3">
      <c r="B8" s="2">
        <v>2025</v>
      </c>
      <c r="C8" s="2" t="s">
        <v>11</v>
      </c>
      <c r="D8" s="3">
        <f>[1]!_P[[#Totals],[ago-25]]</f>
        <v>1227.2360106652191</v>
      </c>
      <c r="E8" s="2">
        <v>1754.96</v>
      </c>
    </row>
    <row r="9" spans="2:5" x14ac:dyDescent="0.3">
      <c r="B9" s="2">
        <v>2025</v>
      </c>
      <c r="C9" s="2" t="s">
        <v>12</v>
      </c>
      <c r="D9" s="3">
        <f>[1]!_P[[#Totals],[set-25]]</f>
        <v>1914.6549527366435</v>
      </c>
      <c r="E9" s="2">
        <v>1353.83</v>
      </c>
    </row>
    <row r="10" spans="2:5" x14ac:dyDescent="0.3">
      <c r="B10" s="2">
        <v>2025</v>
      </c>
      <c r="C10" s="2" t="s">
        <v>13</v>
      </c>
      <c r="D10" s="3">
        <f>[1]!_P[[#Totals],[out-25]]</f>
        <v>1749.4691258411999</v>
      </c>
      <c r="E10" s="2">
        <v>1163</v>
      </c>
    </row>
    <row r="11" spans="2:5" x14ac:dyDescent="0.3">
      <c r="B11" s="2">
        <v>2025</v>
      </c>
      <c r="C11" s="2" t="s">
        <v>14</v>
      </c>
      <c r="D11" s="3">
        <f>[1]!_P[[#Totals],[nov-25]]</f>
        <v>1942.899306399471</v>
      </c>
      <c r="E11" s="2">
        <v>1097.665</v>
      </c>
    </row>
    <row r="12" spans="2:5" x14ac:dyDescent="0.3">
      <c r="B12" s="2">
        <v>2025</v>
      </c>
      <c r="C12" s="2" t="s">
        <v>15</v>
      </c>
      <c r="D12" s="3">
        <f>[1]!_P[[#Totals],[dez-25]]</f>
        <v>1588.6076674473375</v>
      </c>
      <c r="E12" s="2">
        <v>1453.7249999999999</v>
      </c>
    </row>
    <row r="13" spans="2:5" x14ac:dyDescent="0.3">
      <c r="B13" s="2">
        <v>2026</v>
      </c>
      <c r="C13" s="2" t="s">
        <v>4</v>
      </c>
      <c r="D13" s="3">
        <f>[1]!_P[[#Totals],[jan-26]]</f>
        <v>2185.3411836106025</v>
      </c>
      <c r="E13" s="2">
        <v>1246.3699999999999</v>
      </c>
    </row>
    <row r="14" spans="2:5" x14ac:dyDescent="0.3">
      <c r="B14" s="2">
        <v>2026</v>
      </c>
      <c r="C14" s="2" t="s">
        <v>5</v>
      </c>
      <c r="D14" s="3">
        <f>[1]!_P[[#Totals],[fev-26]]</f>
        <v>2340.4024742052516</v>
      </c>
      <c r="E14" s="2">
        <v>2257.6</v>
      </c>
    </row>
    <row r="15" spans="2:5" x14ac:dyDescent="0.3">
      <c r="B15" s="2">
        <v>2026</v>
      </c>
      <c r="C15" s="2" t="s">
        <v>6</v>
      </c>
      <c r="D15" s="3">
        <f>[1]!_P[[#Totals],[mar-26]]</f>
        <v>2128.0847947017874</v>
      </c>
      <c r="E15" s="2">
        <v>328.6</v>
      </c>
    </row>
    <row r="16" spans="2:5" x14ac:dyDescent="0.3">
      <c r="B16" s="2">
        <v>2026</v>
      </c>
      <c r="C16" s="2" t="s">
        <v>7</v>
      </c>
      <c r="D16" s="3">
        <f>[1]!_P[[#Totals],[abr-26]]</f>
        <v>2426.8385683325769</v>
      </c>
    </row>
    <row r="17" spans="2:4" x14ac:dyDescent="0.3">
      <c r="B17" s="2">
        <v>2026</v>
      </c>
      <c r="C17" s="2" t="s">
        <v>8</v>
      </c>
      <c r="D17" s="3">
        <f>[1]!_P[[#Totals],[mai-26]]</f>
        <v>2545.8471461535828</v>
      </c>
    </row>
    <row r="18" spans="2:4" x14ac:dyDescent="0.3">
      <c r="B18" s="2">
        <v>2026</v>
      </c>
      <c r="C18" s="2" t="s">
        <v>9</v>
      </c>
      <c r="D18" s="3">
        <f>[1]!_P[[#Totals],[jun-26]]</f>
        <v>3108.2501633798502</v>
      </c>
    </row>
    <row r="19" spans="2:4" x14ac:dyDescent="0.3">
      <c r="B19" s="2">
        <v>2026</v>
      </c>
      <c r="C19" s="2" t="s">
        <v>10</v>
      </c>
      <c r="D19" s="3">
        <f>[1]!_P[[#Totals],[jul-26]]</f>
        <v>3269.488628726971</v>
      </c>
    </row>
    <row r="20" spans="2:4" x14ac:dyDescent="0.3">
      <c r="B20" s="2">
        <v>2026</v>
      </c>
      <c r="C20" s="2" t="s">
        <v>11</v>
      </c>
      <c r="D20" s="3">
        <f>[1]!_P[[#Totals],[ago-26]]</f>
        <v>3305.2124531239269</v>
      </c>
    </row>
    <row r="21" spans="2:4" x14ac:dyDescent="0.3">
      <c r="B21" s="2">
        <v>2026</v>
      </c>
      <c r="C21" s="2" t="s">
        <v>12</v>
      </c>
      <c r="D21" s="3">
        <f>[1]!_P[[#Totals],[set-26]]</f>
        <v>3138.0875058996589</v>
      </c>
    </row>
    <row r="22" spans="2:4" x14ac:dyDescent="0.3">
      <c r="B22" s="2">
        <v>2026</v>
      </c>
      <c r="C22" s="2" t="s">
        <v>13</v>
      </c>
      <c r="D22" s="3">
        <f>[1]!_P[[#Totals],[out-26]]</f>
        <v>2251.277600230922</v>
      </c>
    </row>
    <row r="23" spans="2:4" x14ac:dyDescent="0.3">
      <c r="B23" s="2">
        <v>2026</v>
      </c>
      <c r="C23" s="2" t="s">
        <v>14</v>
      </c>
      <c r="D23" s="3">
        <f>[1]!_P[[#Totals],[nov-26]]</f>
        <v>1527.0735733765778</v>
      </c>
    </row>
    <row r="24" spans="2:4" x14ac:dyDescent="0.3">
      <c r="B24" s="2">
        <v>2026</v>
      </c>
      <c r="C24" s="2" t="s">
        <v>15</v>
      </c>
      <c r="D24" s="3">
        <f>[1]!_P[[#Totals],[dez-26]]</f>
        <v>542.45744788113086</v>
      </c>
    </row>
  </sheetData>
  <phoneticPr fontId="1" type="noConversion"/>
  <conditionalFormatting sqref="D10">
    <cfRule type="expression" dxfId="15" priority="9">
      <formula>#REF!="FRENTE"</formula>
    </cfRule>
  </conditionalFormatting>
  <conditionalFormatting sqref="D11:D24">
    <cfRule type="expression" dxfId="14" priority="1">
      <formula>$E11="FRENTE"</formula>
    </cfRule>
  </conditionalFormatting>
  <conditionalFormatting sqref="D11:D24">
    <cfRule type="expression" dxfId="12" priority="2">
      <formula>$E11="FRENTE"</formula>
    </cfRule>
    <cfRule type="expression" dxfId="13" priority="3">
      <formula>$E11="PREVISTO-R$"</formula>
    </cfRule>
  </conditionalFormatting>
  <conditionalFormatting sqref="D3:D10">
    <cfRule type="expression" dxfId="11" priority="10">
      <formula>#REF!="FRENTE"</formula>
    </cfRule>
    <cfRule type="expression" dxfId="10" priority="11">
      <formula>#REF!="PREVISTO-R$"</formula>
    </cfRule>
  </conditionalFormatting>
  <conditionalFormatting sqref="D11:D24">
    <cfRule type="expression" dxfId="5" priority="4">
      <formula>$E11="PREVISTO-UD"</formula>
    </cfRule>
    <cfRule type="expression" dxfId="9" priority="5">
      <formula>$E11="PREVISTO-M"</formula>
    </cfRule>
    <cfRule type="expression" dxfId="8" priority="6">
      <formula>$E11="PREVISTO-OBC"</formula>
    </cfRule>
    <cfRule type="expression" dxfId="7" priority="7">
      <formula>$E11="PREVISTO-FOR"</formula>
    </cfRule>
    <cfRule type="expression" dxfId="6" priority="8">
      <formula>$E11="PREVISTO-MON"</formula>
    </cfRule>
  </conditionalFormatting>
  <conditionalFormatting sqref="D3:D10">
    <cfRule type="expression" dxfId="3" priority="12">
      <formula>#REF!="PREVISTO-UD"</formula>
    </cfRule>
    <cfRule type="expression" dxfId="2" priority="13">
      <formula>#REF!="PREVISTO-M"</formula>
    </cfRule>
    <cfRule type="expression" dxfId="0" priority="14">
      <formula>#REF!="PREVISTO-OBC"</formula>
    </cfRule>
    <cfRule type="expression" dxfId="4" priority="15">
      <formula>#REF!="PREVISTO-FOR"</formula>
    </cfRule>
    <cfRule type="expression" dxfId="1" priority="16">
      <formula>#REF!="PREVISTO-MON"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2026-03-06T11:29:51Z</dcterms:modified>
</cp:coreProperties>
</file>