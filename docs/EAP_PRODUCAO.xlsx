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docs\"/>
    </mc:Choice>
  </mc:AlternateContent>
  <xr:revisionPtr revIDLastSave="0" documentId="13_ncr:1_{7F25CA4D-1351-48F7-9C8C-5AC3CC5B4D29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2" l="1"/>
  <c r="P27" i="2"/>
  <c r="P28" i="2" s="1"/>
  <c r="P29" i="2" s="1"/>
  <c r="E15" i="2" l="1"/>
  <c r="I15" i="2" s="1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<sst xmlns="http://schemas.openxmlformats.org/spreadsheetml/2006/main" count="30" uniqueCount="20">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</sst>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P34"/>
  <sheetViews>
    <sheetView tabSelected="1" workbookViewId="0">
      <selection activeCell="J23" sqref="J23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389.15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  <c r="I6" s="5">
        <f>D6-E6</f>
        <v>748.82000000000016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6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1750.96</v>
      </c>
      <c r="F8">
        <v>1635</v>
      </c>
      <c r="G8">
        <v>3598</v>
      </c>
      <c r="I8" s="5">
        <f t="shared" si="0"/>
        <v>-523.72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1351.83</v>
      </c>
      <c r="F9">
        <v>1110</v>
      </c>
      <c r="G9">
        <v>3229</v>
      </c>
      <c r="I9" s="5">
        <f t="shared" si="0"/>
        <v>562.82000000000016</v>
      </c>
      <c r="J9" s="5"/>
      <c r="L9" s="5">
        <f>SUM(I9:I15)</f>
        <v>3849.1950000000002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1163</v>
      </c>
      <c r="F10">
        <v>763</v>
      </c>
      <c r="G10">
        <v>1433</v>
      </c>
      <c r="I10" s="5">
        <f t="shared" si="0"/>
        <v>586.47</v>
      </c>
      <c r="J10" s="5"/>
      <c r="L10" s="5">
        <f>L9+I6</f>
        <v>4598.0150000000003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1090.665</v>
      </c>
      <c r="F11">
        <v>4493</v>
      </c>
      <c r="G11">
        <v>2359</v>
      </c>
      <c r="I11" s="5">
        <f t="shared" si="0"/>
        <v>852.23500000000013</v>
      </c>
      <c r="J11" s="5"/>
      <c r="L11" s="5">
        <f>L10+I7+I8</f>
        <v>3600.9000000000005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1453.7249999999999</v>
      </c>
      <c r="F12">
        <v>4252</v>
      </c>
      <c r="G12">
        <v>3356</v>
      </c>
      <c r="I12" s="5">
        <f t="shared" si="0"/>
        <v>134.88499999999999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1258.07</v>
      </c>
      <c r="F13">
        <v>1436</v>
      </c>
      <c r="G13">
        <v>1152</v>
      </c>
      <c r="I13" s="5">
        <f t="shared" si="0"/>
        <v>927.27000000000021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2135.6950000000002</v>
      </c>
      <c r="F14">
        <v>2834</v>
      </c>
      <c r="G14">
        <v>1928</v>
      </c>
      <c r="I14" s="5">
        <f t="shared" si="0"/>
        <v>204.70499999999993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f>1511.27+36</f>
        <v>1547.27</v>
      </c>
      <c r="F15">
        <v>2813</v>
      </c>
      <c r="G15">
        <v>1159</v>
      </c>
      <c r="I15" s="5">
        <f t="shared" si="0"/>
        <v>580.80999999999995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f>418.91+70.26+389.53+32.46+65.701+19.01</f>
        <v>995.87100000000009</v>
      </c>
      <c r="F16">
        <v>2735</v>
      </c>
      <c r="G16">
        <v>5747</v>
      </c>
      <c r="I16" s="5">
        <f t="shared" si="0"/>
        <v>1430.9690000000001</v>
      </c>
      <c r="J16" s="5"/>
    </row>
    <row r="17" spans="2:16" x14ac:dyDescent="0.3">
      <c r="B17" s="2">
        <v>2026</v>
      </c>
      <c r="C17" s="2" t="s">
        <v>8</v>
      </c>
      <c r="D17" s="3">
        <v>2545.85</v>
      </c>
      <c r="F17">
        <v>2361</v>
      </c>
      <c r="G17">
        <v>0</v>
      </c>
    </row>
    <row r="18" spans="2:16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16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16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16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16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16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16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16" x14ac:dyDescent="0.3">
      <c r="F26" s="5"/>
    </row>
    <row r="27" spans="2:16" x14ac:dyDescent="0.3">
      <c r="P27">
        <f>SUM(E3:E16)</f>
        <v>14585.731</v>
      </c>
    </row>
    <row r="28" spans="2:16" x14ac:dyDescent="0.3">
      <c r="P28">
        <f>14468.56-P27</f>
        <v>-117.17100000000028</v>
      </c>
    </row>
    <row r="29" spans="2:16" x14ac:dyDescent="0.3">
      <c r="P29">
        <f>P28+2135.09</f>
        <v>2017.9189999999999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2026-04-27T10:06:43Z</dcterms:modified>
</cp:coreProperties>
</file>