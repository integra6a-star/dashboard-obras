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dashboard-obras\docs\"/>
    </mc:Choice>
  </mc:AlternateContent>
  <xr:revisionPtr revIDLastSave="0" documentId="13_ncr:1_{C1EEDE38-BAF8-466C-8093-82FE99B8717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AP_PRODUCAO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<sst xmlns="http://schemas.openxmlformats.org/spreadsheetml/2006/main" count="28" uniqueCount="18">
  <si>
    <t>Ano</t>
  </si>
  <si>
    <t>Mes</t>
  </si>
  <si>
    <t>EAP</t>
  </si>
  <si>
    <t>Produzido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</si>
  <si>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</si>
  <si>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</si>
  <si>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</si>
  <si>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</si>
  <si>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</si>
  <si>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</si>
  <si>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</si>
  <si>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</si>
  <si>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</si>
  <si>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</si>
  <si>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</si>
  <si>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</si>
  <si>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Economias EAP</t>
  </si>
  <si>
    <t>Economias Recebidas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</si>
</sst>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3" fillId="0" borderId="0" xfId="0" applyNumberFormat="1" applyFont="1"/>
    <xf numFmtId="1" fontId="0" fillId="0" borderId="0" xfId="0" applyNumberFormat="1" applyAlignment="1">
      <alignment vertical="center" wrapText="1"/>
    </xf>
    <xf numFmtId="1" fontId="0" fillId="0" borderId="0" xfId="0" applyNumberFormat="1"/>
    <xf numFmtId="1" fontId="3" fillId="0" borderId="0" xfId="0" applyNumberFormat="1" applyFont="1"/>
  </cellXfs>
  <cellStyles count="1">
    <cellStyle name="Normal" xfId="0" builtinId="0"/>
  </cellStyles>
  <dxfs count="32"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4" tint="-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4" tint="-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5B20D-368F-4B56-83D6-7E9238F3C577}">
  <dimension ref="B2:G25"/>
  <sheetViews>
    <sheetView tabSelected="1" topLeftCell="A2" workbookViewId="0">
      <selection activeCell="K11" sqref="K11"/>
    </sheetView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  <col min="6" max="6" width="15.77734375" customWidth="1"/>
    <col min="7" max="7" width="22" customWidth="1"/>
  </cols>
  <sheetData>
    <row r="2" spans="2:7" ht="57.6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16</v>
      </c>
      <c r="G2" s="1" t="s">
        <v>17</v>
      </c>
    </row>
    <row r="3" spans="2:7" x14ac:dyDescent="0.3">
      <c r="B3" s="2">
        <v>2025</v>
      </c>
      <c r="C3" s="2" t="s">
        <v>6</v>
      </c>
      <c r="D3" s="3">
        <v>159.15</v>
      </c>
      <c r="E3" s="2">
        <v>0</v>
      </c>
      <c r="F3" s="4">
        <v>0</v>
      </c>
      <c r="G3" s="4">
        <v>0</v>
      </c>
    </row>
    <row r="4" spans="2:7" x14ac:dyDescent="0.3">
      <c r="B4" s="2">
        <v>2025</v>
      </c>
      <c r="C4" s="2" t="s">
        <v>7</v>
      </c>
      <c r="D4" s="3">
        <v>723.7</v>
      </c>
      <c r="E4" s="2">
        <v>47.5</v>
      </c>
      <c r="F4" s="4">
        <v>0</v>
      </c>
      <c r="G4" s="4">
        <v>0</v>
      </c>
    </row>
    <row r="5" spans="2:7" x14ac:dyDescent="0.3">
      <c r="B5" s="2">
        <v>2025</v>
      </c>
      <c r="C5" s="2" t="s">
        <v>8</v>
      </c>
      <c r="D5" s="3">
        <v>905.99</v>
      </c>
      <c r="E5" s="2">
        <v>389.15</v>
      </c>
      <c r="F5" s="4">
        <v>0</v>
      </c>
      <c r="G5" s="4">
        <v>0</v>
      </c>
    </row>
    <row r="6" spans="2:7" x14ac:dyDescent="0.3">
      <c r="B6" s="2">
        <v>2025</v>
      </c>
      <c r="C6" s="2" t="s">
        <v>9</v>
      </c>
      <c r="D6" s="3">
        <v>1089.1400000000001</v>
      </c>
      <c r="E6">
        <v>340.32</v>
      </c>
      <c r="F6" s="5">
        <v>191</v>
      </c>
      <c r="G6" s="6">
        <v>2611</v>
      </c>
    </row>
    <row r="7" spans="2:7" x14ac:dyDescent="0.3">
      <c r="B7" s="2">
        <v>2025</v>
      </c>
      <c r="C7" s="2" t="s">
        <v>10</v>
      </c>
      <c r="D7" s="3">
        <v>588.28</v>
      </c>
      <c r="E7" s="2">
        <v>1063.675</v>
      </c>
      <c r="F7" s="4">
        <v>488.83</v>
      </c>
      <c r="G7" s="6">
        <v>584</v>
      </c>
    </row>
    <row r="8" spans="2:7" x14ac:dyDescent="0.3">
      <c r="B8" s="2">
        <v>2025</v>
      </c>
      <c r="C8" s="2" t="s">
        <v>11</v>
      </c>
      <c r="D8" s="3">
        <v>1227.24</v>
      </c>
      <c r="E8" s="2">
        <v>1754.96</v>
      </c>
      <c r="F8" s="4">
        <v>1634.65</v>
      </c>
      <c r="G8" s="6">
        <v>3598</v>
      </c>
    </row>
    <row r="9" spans="2:7" x14ac:dyDescent="0.3">
      <c r="B9" s="2">
        <v>2025</v>
      </c>
      <c r="C9" s="2" t="s">
        <v>12</v>
      </c>
      <c r="D9" s="3">
        <v>1914.65</v>
      </c>
      <c r="E9" s="2">
        <v>1353.83</v>
      </c>
      <c r="F9" s="4">
        <v>1109.51</v>
      </c>
      <c r="G9" s="6">
        <v>3229</v>
      </c>
    </row>
    <row r="10" spans="2:7" x14ac:dyDescent="0.3">
      <c r="B10" s="2">
        <v>2025</v>
      </c>
      <c r="C10" s="2" t="s">
        <v>13</v>
      </c>
      <c r="D10" s="3">
        <v>1749.47</v>
      </c>
      <c r="E10" s="2">
        <v>1163</v>
      </c>
      <c r="F10" s="4">
        <v>763.39</v>
      </c>
      <c r="G10" s="6">
        <v>1433</v>
      </c>
    </row>
    <row r="11" spans="2:7" x14ac:dyDescent="0.3">
      <c r="B11" s="2">
        <v>2025</v>
      </c>
      <c r="C11" s="2" t="s">
        <v>14</v>
      </c>
      <c r="D11" s="3">
        <v>1942.9</v>
      </c>
      <c r="E11" s="2">
        <v>1097.665</v>
      </c>
      <c r="F11" s="4">
        <v>4492.8100000000004</v>
      </c>
      <c r="G11" s="6">
        <v>2359</v>
      </c>
    </row>
    <row r="12" spans="2:7" x14ac:dyDescent="0.3">
      <c r="B12" s="2">
        <v>2025</v>
      </c>
      <c r="C12" s="2" t="s">
        <v>15</v>
      </c>
      <c r="D12" s="3">
        <v>1588.61</v>
      </c>
      <c r="E12" s="2">
        <v>1453.7249999999999</v>
      </c>
      <c r="F12" s="4">
        <v>4251.8</v>
      </c>
      <c r="G12" s="6">
        <v>3356</v>
      </c>
    </row>
    <row r="13" spans="2:7" x14ac:dyDescent="0.3">
      <c r="B13" s="2">
        <v>2026</v>
      </c>
      <c r="C13" s="2" t="s">
        <v>4</v>
      </c>
      <c r="D13" s="3">
        <v>2185.34</v>
      </c>
      <c r="E13" s="2">
        <v>1246.3699999999999</v>
      </c>
      <c r="F13" s="4">
        <v>1435.5</v>
      </c>
      <c r="G13" s="6">
        <v>1152</v>
      </c>
    </row>
    <row r="14" spans="2:7" x14ac:dyDescent="0.3">
      <c r="B14" s="2">
        <v>2026</v>
      </c>
      <c r="C14" s="2" t="s">
        <v>5</v>
      </c>
      <c r="D14" s="3">
        <v>2340.4</v>
      </c>
      <c r="E14" s="2">
        <v>2257.6</v>
      </c>
      <c r="F14" s="4">
        <v>2834.37</v>
      </c>
      <c r="G14" s="4">
        <v>1928</v>
      </c>
    </row>
    <row r="15" spans="2:7" x14ac:dyDescent="0.3">
      <c r="B15" s="2">
        <v>2026</v>
      </c>
      <c r="C15" s="2" t="s">
        <v>6</v>
      </c>
      <c r="D15" s="3">
        <v>2128.08</v>
      </c>
      <c r="E15" s="2">
        <v>328.6</v>
      </c>
      <c r="F15" s="4">
        <v>2813.25</v>
      </c>
      <c r="G15" s="4">
        <v>0</v>
      </c>
    </row>
    <row r="16" spans="2:7" x14ac:dyDescent="0.3">
      <c r="B16" s="2">
        <v>2026</v>
      </c>
      <c r="C16" s="2" t="s">
        <v>7</v>
      </c>
      <c r="D16" s="3">
        <v>2426.84</v>
      </c>
      <c r="F16" s="4">
        <v>2735</v>
      </c>
      <c r="G16" s="4">
        <v>0</v>
      </c>
    </row>
    <row r="17" spans="2:7" x14ac:dyDescent="0.3">
      <c r="B17" s="2">
        <v>2026</v>
      </c>
      <c r="C17" s="2" t="s">
        <v>8</v>
      </c>
      <c r="D17" s="3">
        <v>2545.85</v>
      </c>
      <c r="F17" s="4">
        <v>2360.91</v>
      </c>
      <c r="G17" s="4">
        <v>0</v>
      </c>
    </row>
    <row r="18" spans="2:7" x14ac:dyDescent="0.3">
      <c r="B18" s="2">
        <v>2026</v>
      </c>
      <c r="C18" s="2" t="s">
        <v>9</v>
      </c>
      <c r="D18" s="3">
        <v>3108.25</v>
      </c>
      <c r="F18" s="4">
        <v>2873.95</v>
      </c>
      <c r="G18" s="4">
        <v>0</v>
      </c>
    </row>
    <row r="19" spans="2:7" x14ac:dyDescent="0.3">
      <c r="B19" s="2">
        <v>2026</v>
      </c>
      <c r="C19" s="2" t="s">
        <v>10</v>
      </c>
      <c r="D19" s="3">
        <v>3269.49</v>
      </c>
      <c r="F19" s="4">
        <v>4486.7700000000004</v>
      </c>
      <c r="G19" s="4">
        <v>0</v>
      </c>
    </row>
    <row r="20" spans="2:7" x14ac:dyDescent="0.3">
      <c r="B20" s="2">
        <v>2026</v>
      </c>
      <c r="C20" s="2" t="s">
        <v>11</v>
      </c>
      <c r="D20" s="3">
        <v>3305.21</v>
      </c>
      <c r="F20" s="4">
        <v>4542.6400000000003</v>
      </c>
      <c r="G20" s="4">
        <v>0</v>
      </c>
    </row>
    <row r="21" spans="2:7" x14ac:dyDescent="0.3">
      <c r="B21" s="2">
        <v>2026</v>
      </c>
      <c r="C21" s="2" t="s">
        <v>12</v>
      </c>
      <c r="D21" s="3">
        <v>3138.09</v>
      </c>
      <c r="F21" s="4">
        <v>3432.26</v>
      </c>
      <c r="G21" s="4">
        <v>0</v>
      </c>
    </row>
    <row r="22" spans="2:7" x14ac:dyDescent="0.3">
      <c r="B22" s="2">
        <v>2026</v>
      </c>
      <c r="C22" s="2" t="s">
        <v>13</v>
      </c>
      <c r="D22" s="3">
        <v>2251.2800000000002</v>
      </c>
      <c r="F22" s="4">
        <v>1923.36</v>
      </c>
      <c r="G22" s="4">
        <v>0</v>
      </c>
    </row>
    <row r="23" spans="2:7" x14ac:dyDescent="0.3">
      <c r="B23" s="2">
        <v>2026</v>
      </c>
      <c r="C23" s="2" t="s">
        <v>14</v>
      </c>
      <c r="D23" s="3">
        <v>1527.07</v>
      </c>
      <c r="F23" s="4">
        <v>713</v>
      </c>
      <c r="G23" s="4">
        <v>0</v>
      </c>
    </row>
    <row r="24" spans="2:7" x14ac:dyDescent="0.3">
      <c r="B24" s="2">
        <v>2026</v>
      </c>
      <c r="C24" s="2" t="s">
        <v>15</v>
      </c>
      <c r="D24" s="3">
        <v>542.46</v>
      </c>
      <c r="F24" s="4">
        <v>40</v>
      </c>
      <c r="G24" s="4">
        <v>0</v>
      </c>
    </row>
    <row r="25" spans="2:7" x14ac:dyDescent="0.3">
      <c r="G25" s="5"/>
    </row>
  </sheetData>
  <phoneticPr fontId="1" type="noConversion"/>
  <conditionalFormatting sqref="D3:D10">
    <cfRule type="expression" dxfId="31" priority="26">
      <formula>#REF!="FRENTE"</formula>
    </cfRule>
    <cfRule type="expression" dxfId="30" priority="27">
      <formula>#REF!="PREVISTO-R$"</formula>
    </cfRule>
    <cfRule type="expression" dxfId="29" priority="28">
      <formula>#REF!="PREVISTO-UD"</formula>
    </cfRule>
    <cfRule type="expression" dxfId="28" priority="29">
      <formula>#REF!="PREVISTO-M"</formula>
    </cfRule>
    <cfRule type="expression" dxfId="27" priority="30">
      <formula>#REF!="PREVISTO-OBC"</formula>
    </cfRule>
    <cfRule type="expression" dxfId="26" priority="31">
      <formula>#REF!="PREVISTO-FOR"</formula>
    </cfRule>
    <cfRule type="expression" dxfId="25" priority="32">
      <formula>#REF!="PREVISTO-MON"</formula>
    </cfRule>
  </conditionalFormatting>
  <conditionalFormatting sqref="D10">
    <cfRule type="expression" dxfId="24" priority="25">
      <formula>#REF!="FRENTE"</formula>
    </cfRule>
  </conditionalFormatting>
  <conditionalFormatting sqref="D11:D24">
    <cfRule type="expression" dxfId="23" priority="17">
      <formula>$E11="FRENTE"</formula>
    </cfRule>
    <cfRule type="expression" dxfId="22" priority="18">
      <formula>$E11="FRENTE"</formula>
    </cfRule>
    <cfRule type="expression" dxfId="21" priority="19">
      <formula>$E11="PREVISTO-R$"</formula>
    </cfRule>
    <cfRule type="expression" dxfId="20" priority="20">
      <formula>$E11="PREVISTO-UD"</formula>
    </cfRule>
    <cfRule type="expression" dxfId="19" priority="21">
      <formula>$E11="PREVISTO-M"</formula>
    </cfRule>
    <cfRule type="expression" dxfId="18" priority="22">
      <formula>$E11="PREVISTO-OBC"</formula>
    </cfRule>
    <cfRule type="expression" dxfId="17" priority="23">
      <formula>$E11="PREVISTO-FOR"</formula>
    </cfRule>
    <cfRule type="expression" dxfId="16" priority="24">
      <formula>$E11="PREVISTO-MON"</formula>
    </cfRule>
  </conditionalFormatting>
  <conditionalFormatting sqref="G6:G10">
    <cfRule type="expression" dxfId="15" priority="10">
      <formula>#REF!="FRENTE"</formula>
    </cfRule>
    <cfRule type="expression" dxfId="14" priority="11">
      <formula>#REF!="PREVISTO-R$"</formula>
    </cfRule>
    <cfRule type="expression" dxfId="13" priority="12">
      <formula>#REF!="PREVISTO-UD"</formula>
    </cfRule>
    <cfRule type="expression" dxfId="12" priority="13">
      <formula>#REF!="PREVISTO-M"</formula>
    </cfRule>
    <cfRule type="expression" dxfId="11" priority="14">
      <formula>#REF!="PREVISTO-OBC"</formula>
    </cfRule>
    <cfRule type="expression" dxfId="10" priority="15">
      <formula>#REF!="PREVISTO-FOR"</formula>
    </cfRule>
    <cfRule type="expression" dxfId="9" priority="16">
      <formula>#REF!="PREVISTO-MON"</formula>
    </cfRule>
  </conditionalFormatting>
  <conditionalFormatting sqref="G10">
    <cfRule type="expression" dxfId="8" priority="9">
      <formula>#REF!="FRENTE"</formula>
    </cfRule>
  </conditionalFormatting>
  <conditionalFormatting sqref="G11:G13">
    <cfRule type="expression" dxfId="7" priority="1">
      <formula>$E11="FRENTE"</formula>
    </cfRule>
    <cfRule type="expression" dxfId="6" priority="2">
      <formula>$E11="FRENTE"</formula>
    </cfRule>
    <cfRule type="expression" dxfId="5" priority="3">
      <formula>$E11="PREVISTO-R$"</formula>
    </cfRule>
    <cfRule type="expression" dxfId="4" priority="4">
      <formula>$E11="PREVISTO-UD"</formula>
    </cfRule>
    <cfRule type="expression" dxfId="3" priority="5">
      <formula>$E11="PREVISTO-M"</formula>
    </cfRule>
    <cfRule type="expression" dxfId="2" priority="6">
      <formula>$E11="PREVISTO-OBC"</formula>
    </cfRule>
    <cfRule type="expression" dxfId="1" priority="7">
      <formula>$E11="PREVISTO-FOR"</formula>
    </cfRule>
    <cfRule type="expression" dxfId="0" priority="8">
      <formula>$E11="PREVISTO-MON"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2026-03-06T14:50:04Z</dcterms:modified>
</cp:coreProperties>
</file>