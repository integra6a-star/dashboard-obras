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3C9CE2B2-3D0C-43D1-BA20-EB24DA02E39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2" l="1"/>
  <c r="P27" i="2"/>
  <c r="P28" i="2" s="1"/>
  <c r="P29" i="2" s="1"/>
  <c r="I18" i="2" l="1"/>
  <c r="I17" i="2"/>
  <c r="I15" i="2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<sst xmlns="http://schemas.openxmlformats.org/spreadsheetml/2006/main" count="31" uniqueCount="21">
  <si>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</si>
  <si>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</si>
  <si>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</si>
  <si>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</si>
  <si>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</si>
  <si>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</si>
  <si>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</si>
  <si>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</si>
  <si>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</si>
  <si>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</si>
  <si>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</si>
  <si>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</si>
  <si>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</si>
  <si>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</si>
  <si>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</si>
  <si>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</si>
  <si>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</si>
  <si>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</si>
  <si>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</si>
  <si>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</si>
  <si>
    <t>TL-0 Recebidas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</si>
</sst>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H28" sqref="H28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8" max="8" width="20.109375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  <c r="H2" s="1" t="s">
        <v>20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397.82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364.53</v>
      </c>
      <c r="F6">
        <v>191</v>
      </c>
      <c r="G6">
        <v>2611</v>
      </c>
      <c r="I6" s="5">
        <f>D6-E6</f>
        <v>724.61000000000013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9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1533.835</v>
      </c>
      <c r="F8">
        <v>1635</v>
      </c>
      <c r="G8">
        <v>3598</v>
      </c>
      <c r="I8" s="5">
        <f t="shared" si="0"/>
        <v>-306.59500000000003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1369.69</v>
      </c>
      <c r="F9">
        <v>1110</v>
      </c>
      <c r="G9">
        <v>3229</v>
      </c>
      <c r="I9" s="5">
        <f t="shared" si="0"/>
        <v>544.96</v>
      </c>
      <c r="J9" s="5"/>
      <c r="L9" s="5">
        <f>SUM(I9:I15)</f>
        <v>3364.2089999999998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4088.819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1118.625</v>
      </c>
      <c r="F11">
        <v>4493</v>
      </c>
      <c r="G11">
        <v>2359</v>
      </c>
      <c r="I11" s="5">
        <f t="shared" si="0"/>
        <v>824.27500000000009</v>
      </c>
      <c r="J11" s="5"/>
      <c r="L11" s="5">
        <f>L10+I7+I8</f>
        <v>3308.8289999999997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1272.4169999999999</v>
      </c>
      <c r="F13">
        <v>1436</v>
      </c>
      <c r="G13">
        <v>1152</v>
      </c>
      <c r="I13" s="5">
        <f t="shared" si="0"/>
        <v>912.92300000000023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2291.4540000000002</v>
      </c>
      <c r="F14">
        <v>2834</v>
      </c>
      <c r="G14">
        <v>1928</v>
      </c>
      <c r="I14" s="5">
        <f t="shared" si="0"/>
        <v>48.945999999999913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1466.67</v>
      </c>
      <c r="F16">
        <v>2735</v>
      </c>
      <c r="G16">
        <v>5246</v>
      </c>
      <c r="I16" s="5">
        <f t="shared" si="0"/>
        <v>960.17000000000007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1994.873</v>
      </c>
      <c r="F17">
        <v>2361</v>
      </c>
      <c r="G17">
        <v>87</v>
      </c>
      <c r="H17">
        <v>189</v>
      </c>
      <c r="I17" s="5">
        <f t="shared" si="0"/>
        <v>550.97699999999986</v>
      </c>
    </row>
    <row r="18" spans="2:16" x14ac:dyDescent="0.3">
      <c r="B18" s="2">
        <v>2026</v>
      </c>
      <c r="C18" s="2" t="s">
        <v>9</v>
      </c>
      <c r="D18" s="3">
        <v>3108.25</v>
      </c>
      <c r="E18" s="2">
        <v>1814.491</v>
      </c>
      <c r="F18">
        <v>2874</v>
      </c>
      <c r="G18">
        <v>0</v>
      </c>
      <c r="I18" s="5">
        <f t="shared" si="0"/>
        <v>1293.759</v>
      </c>
    </row>
    <row r="19" spans="2:16" x14ac:dyDescent="0.3">
      <c r="B19" s="2">
        <v>2026</v>
      </c>
      <c r="C19" s="2" t="s">
        <v>10</v>
      </c>
      <c r="D19" s="3">
        <v>3269.49</v>
      </c>
      <c r="E19" s="2">
        <v>1047.04</v>
      </c>
      <c r="F19">
        <v>4487</v>
      </c>
      <c r="G19">
        <v>0</v>
      </c>
      <c r="I19" s="5">
        <f t="shared" si="0"/>
        <v>2222.4499999999998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15357.270999999999</v>
      </c>
    </row>
    <row r="28" spans="2:16" x14ac:dyDescent="0.3">
      <c r="P28">
        <f>14468.56-P27</f>
        <v>-888.71099999999933</v>
      </c>
    </row>
    <row r="29" spans="2:16" x14ac:dyDescent="0.3">
      <c r="P29">
        <f>P28+2135.09</f>
        <v>1246.3790000000008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2026-07-22T10:02:24Z</dcterms:modified>
</cp:coreProperties>
</file>