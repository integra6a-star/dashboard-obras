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Integra 6\Downloads\"/>
    </mc:Choice>
  </mc:AlternateContent>
  <xr:revisionPtr revIDLastSave="0" documentId="13_ncr:1_{8E3B8F7D-63AE-4B73-B6D6-824A91B908FB}" xr6:coauthVersionLast="47" xr6:coauthVersionMax="47" xr10:uidLastSave="{00000000-0000-0000-0000-000000000000}"/>
  <bookViews>
    <workbookView xWindow="-108" yWindow="-108" windowWidth="23256" windowHeight="12456" tabRatio="907" xr2:uid="{00000000-000D-0000-FFFF-FFFF00000000}"/>
  </bookViews>
  <sheets>
    <sheet name="Inspeções" sheetId="6" r:id="rId1"/>
    <sheet name="Modelo Check-list de Inspeção" sheetId="10" r:id="rId2"/>
    <sheet name="Indicador Pro-ativo" sheetId="9" r:id="rId3"/>
    <sheet name="Listas" sheetId="2" state="hidden" r:id="rId4"/>
  </sheets>
  <definedNames>
    <definedName name="_xlnm._FilterDatabase" localSheetId="2" hidden="1">'Indicador Pro-ativo'!#REF!</definedName>
    <definedName name="_xlnm._FilterDatabase" localSheetId="0" hidden="1">Inspeções!$A$1:$I$600</definedName>
    <definedName name="_xlnm.Print_Area" localSheetId="2">'Indicador Pro-ativo'!#REF!</definedName>
    <definedName name="_xlnm.Print_Area" localSheetId="0">Inspeções!$A$1:$I$161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9" l="1"/>
  <c r="B15" i="9"/>
  <c r="D601" i="6"/>
  <c r="G601" i="6"/>
  <c r="H601" i="6"/>
  <c r="C601" i="6" l="1"/>
  <c r="E601" i="6" l="1"/>
  <c r="B601" i="6"/>
  <c r="I601" i="6"/>
</calcChain>
</file>

<file path=xl/sharedStrings.xml><?xml version="1.0" encoding="utf-8"?>
<sst xmlns="http://schemas.openxmlformats.org/spreadsheetml/2006/main" count="3240" uniqueCount="1008">
  <si>
    <t>DATA</t>
  </si>
  <si>
    <t>LOCAL</t>
  </si>
  <si>
    <t>ENCARREGADO OU LIDER DE EQUIPE</t>
  </si>
  <si>
    <t>QUANTIDADE DESVIOS</t>
  </si>
  <si>
    <t>DESCRIÇÃO</t>
  </si>
  <si>
    <t>CLASSIFICAÇÃO</t>
  </si>
  <si>
    <t>QUANTIDADE INSPEÇÕES</t>
  </si>
  <si>
    <t>TÉCNICO DE SEGURANÇA  APLICADOR</t>
  </si>
  <si>
    <t>TABELA DE CLASSIFICAÇÃO</t>
  </si>
  <si>
    <t>Sem localização</t>
  </si>
  <si>
    <t>Marcelo Alves</t>
  </si>
  <si>
    <t>Isolamento incompleto; Falta lona plastica para concreto; Caminho provisório; Falta totem para galão de água; Isolar todo local ou trabalho com tapume; Disponibilzar lona pra equipe;</t>
  </si>
  <si>
    <t xml:space="preserve">Uilian </t>
  </si>
  <si>
    <t>A. Posição das Pessoas</t>
  </si>
  <si>
    <t xml:space="preserve">B. Equipamento de Proteção Individual	</t>
  </si>
  <si>
    <t>Caminhão com documento vencido; Problema no transformador; Falta tela para transporte de material;</t>
  </si>
  <si>
    <t>A1.</t>
  </si>
  <si>
    <t>B1.</t>
  </si>
  <si>
    <t>C1.</t>
  </si>
  <si>
    <t>D1.</t>
  </si>
  <si>
    <t>Inadequados para atividade</t>
  </si>
  <si>
    <t>F1.</t>
  </si>
  <si>
    <t>Renasce Ambiental</t>
  </si>
  <si>
    <t>Falta APR; Falta PAE; Pendente PT espaço confinado; Pendente checklist caminhão;</t>
  </si>
  <si>
    <t>A2.</t>
  </si>
  <si>
    <t>B2.</t>
  </si>
  <si>
    <t>C2.</t>
  </si>
  <si>
    <t>Usadas incorretamente</t>
  </si>
  <si>
    <t>D2.</t>
  </si>
  <si>
    <t>F2.</t>
  </si>
  <si>
    <t>Tapume incompleto</t>
  </si>
  <si>
    <t>A1. Bater contra / Ser atingido por</t>
  </si>
  <si>
    <t>A3.</t>
  </si>
  <si>
    <t>B3.</t>
  </si>
  <si>
    <t>C3.</t>
  </si>
  <si>
    <t>D3.</t>
  </si>
  <si>
    <t>F3.</t>
  </si>
  <si>
    <t>Encarregado Fabio</t>
  </si>
  <si>
    <t>Falta poste pra ancoragem de linha de vida</t>
  </si>
  <si>
    <t>A3. Risco de queda</t>
  </si>
  <si>
    <t>A4.</t>
  </si>
  <si>
    <t>B4.</t>
  </si>
  <si>
    <t>D4.</t>
  </si>
  <si>
    <t>F4.</t>
  </si>
  <si>
    <t>Falta de sinalização; Caminhão sem sinal sonoro ou ré; Luz de freio traseiro esquerdo apagado;</t>
  </si>
  <si>
    <t>A5.</t>
  </si>
  <si>
    <t>B5.</t>
  </si>
  <si>
    <t xml:space="preserve">Nova Construção </t>
  </si>
  <si>
    <t>Ausência de escoramento</t>
  </si>
  <si>
    <t>A6.</t>
  </si>
  <si>
    <t>B6.</t>
  </si>
  <si>
    <t>Veiculo de placa EZL3D01 com pneu estraviado e cabine auxiliar de transporte dos colaboradores avariada, bancos rasgados, sem escada para subida, teto danificado causando vazamento em tempo chuvoso.</t>
  </si>
  <si>
    <t>Amarildo</t>
  </si>
  <si>
    <t>A7.</t>
  </si>
  <si>
    <t>B7.</t>
  </si>
  <si>
    <t>Rinaldo Pereira</t>
  </si>
  <si>
    <t>Sem local para ancoragem, foi solicitada a instalação imediata do poste de linha de vida</t>
  </si>
  <si>
    <t>A8.</t>
  </si>
  <si>
    <t>Retroescavadeira GHQZER6 sem extintor de incêndio</t>
  </si>
  <si>
    <t>Ausência de poste para ancoragem; Ausência de tela metalica para escoramento;Terceiros sem integração.</t>
  </si>
  <si>
    <t>Cabine auxiliar de caminhão sem escada, cabine avariada e retroescavadeira sem extintor de incêndio</t>
  </si>
  <si>
    <t>Equipamento PV sem luz dos farois dianteiros</t>
  </si>
  <si>
    <t>Buzina da retro de placa TLQ0I64 sem funcionar</t>
  </si>
  <si>
    <t>Buzina da retro sem funcionar</t>
  </si>
  <si>
    <t>Rogerio</t>
  </si>
  <si>
    <t>Colaboradores sem cinto de segurança, sem trava quedas, sem poste de linha de vida e caminhão vazando óleo</t>
  </si>
  <si>
    <t>Manoel Pereira</t>
  </si>
  <si>
    <t>Juvancy Ferreira</t>
  </si>
  <si>
    <t>Banheiro quimico não higienizado, retroescavadeira com luz de ré quebrada</t>
  </si>
  <si>
    <t>Frente de serviço sem banheiro quimico</t>
  </si>
  <si>
    <t>Frente de serviço sem tapume</t>
  </si>
  <si>
    <t>Durante inspeção realizada, foi idnetiicado o seguinte: afundamento progressivo do solo, instabilidade estrutural. A atividade foi paralisada até uma nova avaliação da equipe de segurança.</t>
  </si>
  <si>
    <t>A tenda da equipe foi danificada devido a fortes ventos</t>
  </si>
  <si>
    <t>C3. Em condições inseguras</t>
  </si>
  <si>
    <t>Valter Luiz</t>
  </si>
  <si>
    <t>CT Arariba</t>
  </si>
  <si>
    <t>Edivando Oliveira</t>
  </si>
  <si>
    <t>Galão de combustivel não atende a NR 20, sem identificação de liquidos inflamaveis e sem registro no Inmetro</t>
  </si>
  <si>
    <t>Caminhão de placa EUDBG53 com farol esquerdo e lanterna queimados</t>
  </si>
  <si>
    <t>CT Jd Miriam</t>
  </si>
  <si>
    <r>
      <rPr>
        <b/>
        <sz val="11"/>
        <color theme="1"/>
        <rFont val="Calibri"/>
        <family val="2"/>
        <scheme val="minor"/>
      </rPr>
      <t>PV 06:</t>
    </r>
    <r>
      <rPr>
        <sz val="11"/>
        <color theme="1"/>
        <rFont val="Calibri"/>
        <family val="2"/>
        <scheme val="minor"/>
      </rPr>
      <t xml:space="preserve"> Constatada ausência de escoramento lateral adequado e falta de instalação de prancha lateral, comprometendo a estabilidade da estrutura.
</t>
    </r>
    <r>
      <rPr>
        <b/>
        <sz val="11"/>
        <color theme="1"/>
        <rFont val="Calibri"/>
        <family val="2"/>
        <scheme val="minor"/>
      </rPr>
      <t>PV 08:</t>
    </r>
    <r>
      <rPr>
        <sz val="11"/>
        <color theme="1"/>
        <rFont val="Calibri"/>
        <family val="2"/>
        <scheme val="minor"/>
      </rPr>
      <t xml:space="preserve"> Escoramento insuficiente para garantir a segurança da escavação. Identificada também a ausência de poste para linha de vida, representando risco ao trabalho em altura.
</t>
    </r>
    <r>
      <rPr>
        <b/>
        <sz val="11"/>
        <color theme="1"/>
        <rFont val="Calibri"/>
        <family val="2"/>
        <scheme val="minor"/>
      </rPr>
      <t>PV 07:</t>
    </r>
    <r>
      <rPr>
        <sz val="11"/>
        <color theme="1"/>
        <rFont val="Calibri"/>
        <family val="2"/>
        <scheme val="minor"/>
      </rPr>
      <t xml:space="preserve"> Escoramento inadequado, composto apenas por longarina, sem a instalação da estronca. Além disso, é necessária a instalação do guarda-corpo e do poste para linha de vida, conforme exigências normativas.
</t>
    </r>
    <r>
      <rPr>
        <b/>
        <sz val="11"/>
        <color theme="1"/>
        <rFont val="Calibri"/>
        <family val="2"/>
        <scheme val="minor"/>
      </rPr>
      <t xml:space="preserve">PV 05: </t>
    </r>
    <r>
      <rPr>
        <sz val="11"/>
        <color theme="1"/>
        <rFont val="Calibri"/>
        <family val="2"/>
        <scheme val="minor"/>
      </rPr>
      <t xml:space="preserve">Necessário reforço no escoramento existente. Na parte superior, deve-se adicionar mais uma prancha horizontal. Na parte inferior:
Lado direito: instalar estronca.
Lado esquerdo: ajustar a longarina para conexão correta com a estronca.
Também é obrigatória a instalação do poste da linha de vida e a fixação do guarda-corpo no entorno da abertura.
</t>
    </r>
    <r>
      <rPr>
        <b/>
        <sz val="11"/>
        <color theme="1"/>
        <rFont val="Calibri"/>
        <family val="2"/>
        <scheme val="minor"/>
      </rPr>
      <t>PV 12:</t>
    </r>
    <r>
      <rPr>
        <sz val="11"/>
        <color theme="1"/>
        <rFont val="Calibri"/>
        <family val="2"/>
        <scheme val="minor"/>
      </rPr>
      <t xml:space="preserve"> Foi solicitado escoramento central, visto que o espaçamento atual entre as pranchas é de aproximadamente 3 metros. Conforme norma técnica, o espaçamento entre pranchas de escoramento deve ser de 1,35 metros, devendo o sistema ser readequado.</t>
    </r>
  </si>
  <si>
    <r>
      <rPr>
        <b/>
        <sz val="11"/>
        <color theme="1"/>
        <rFont val="Calibri"/>
        <family val="2"/>
        <scheme val="minor"/>
      </rPr>
      <t>Retroescavadeira:</t>
    </r>
    <r>
      <rPr>
        <sz val="11"/>
        <color theme="1"/>
        <rFont val="Calibri"/>
        <family val="2"/>
        <scheme val="minor"/>
      </rPr>
      <t xml:space="preserve"> Identificada falha no pistão hidráulico responsável pelo levantamento do braço, apresentando perda de força e comprometendo a operação segura do equipamento. A condição atual oferece risco de acidente e requer manutenção imediata.
</t>
    </r>
    <r>
      <rPr>
        <b/>
        <sz val="11"/>
        <color theme="1"/>
        <rFont val="Calibri"/>
        <family val="2"/>
        <scheme val="minor"/>
      </rPr>
      <t>Caminhão – Placa FDU 2C57:</t>
    </r>
    <r>
      <rPr>
        <sz val="11"/>
        <color theme="1"/>
        <rFont val="Calibri"/>
        <family val="2"/>
        <scheme val="minor"/>
      </rPr>
      <t xml:space="preserve"> Constatado vazamento de óleo na caixa de direção, o que pode comprometer a dirigibilidade do veículo e gerar risco à segurança operacional.</t>
    </r>
  </si>
  <si>
    <t>Adilson Bernardo</t>
  </si>
  <si>
    <t>Durante inspeção realizada no local, foi verificado que a vala apresentava profundidade de 1,14 metros no momento da visita. Considerando que a equipe ainda dará continuidade à escavação e que haverá aumento da profundidade nos próximos trechos, foi orientado o uso de escoramento do tipo blindado, conforme preconizam as normas de segurança para trabalhos em valas profundas.
A adoção do escoramento visa garantir a integridade física dos trabalhadores e prevenir riscos de desmoronamento durante a execução da atividade.</t>
  </si>
  <si>
    <r>
      <t xml:space="preserve">Durante inspeção de segurança realizada em campo, foram identificadas as seguintes não conformidades no caminhão de placa MSY5I13:
</t>
    </r>
    <r>
      <rPr>
        <b/>
        <sz val="11"/>
        <color theme="1"/>
        <rFont val="Calibri"/>
        <family val="2"/>
        <scheme val="minor"/>
      </rPr>
      <t>Pneus desgastados,</t>
    </r>
    <r>
      <rPr>
        <sz val="11"/>
        <color theme="1"/>
        <rFont val="Calibri"/>
        <family val="2"/>
        <scheme val="minor"/>
      </rPr>
      <t xml:space="preserve"> comprometendo a segurança viária e a estabilidade do veículo;
</t>
    </r>
    <r>
      <rPr>
        <b/>
        <sz val="11"/>
        <color theme="1"/>
        <rFont val="Calibri"/>
        <family val="2"/>
        <scheme val="minor"/>
      </rPr>
      <t>Extintor de incêndio vencido,</t>
    </r>
    <r>
      <rPr>
        <sz val="11"/>
        <color theme="1"/>
        <rFont val="Calibri"/>
        <family val="2"/>
        <scheme val="minor"/>
      </rPr>
      <t xml:space="preserve"> em desacordo com as exigências legais de equipamentos de emergência;
</t>
    </r>
    <r>
      <rPr>
        <b/>
        <sz val="11"/>
        <color theme="1"/>
        <rFont val="Calibri"/>
        <family val="2"/>
        <scheme val="minor"/>
      </rPr>
      <t>Banheiro químico em condições inadequadas de higiene</t>
    </r>
    <r>
      <rPr>
        <sz val="11"/>
        <color theme="1"/>
        <rFont val="Calibri"/>
        <family val="2"/>
        <scheme val="minor"/>
      </rPr>
      <t xml:space="preserve">, apresentando acúmulo de resíduos e presença de riscos biológicos, oferecendo perigo à saúde dos trabalhadores.
</t>
    </r>
    <r>
      <rPr>
        <b/>
        <sz val="11"/>
        <color theme="1"/>
        <rFont val="Calibri"/>
        <family val="2"/>
        <scheme val="minor"/>
      </rPr>
      <t>Recomendações:</t>
    </r>
    <r>
      <rPr>
        <sz val="11"/>
        <color theme="1"/>
        <rFont val="Calibri"/>
        <family val="2"/>
        <scheme val="minor"/>
      </rPr>
      <t xml:space="preserve">
Imediata substituição dos pneus desgastados;
Troca ou recarga do extintor com validade atualizada;
Realização de limpeza e manutenção do banheiro químico, garantindo condições mínimas de uso seguro e higiênico conforme normas de segurança e saúde ocupacional.</t>
    </r>
  </si>
  <si>
    <r>
      <t xml:space="preserve">Durante inspeção em campo, foram identificadas as seguintes não conformidades em atividade em andamento:
</t>
    </r>
    <r>
      <rPr>
        <b/>
        <sz val="11"/>
        <color theme="1"/>
        <rFont val="Calibri"/>
        <family val="2"/>
        <scheme val="minor"/>
      </rPr>
      <t>Ausência de isolamento da área de trabalho</t>
    </r>
    <r>
      <rPr>
        <sz val="11"/>
        <color theme="1"/>
        <rFont val="Calibri"/>
        <family val="2"/>
        <scheme val="minor"/>
      </rPr>
      <t xml:space="preserve">, expondo colaboradores e terceiros a riscos de atropelamento e acidentes com máquinas;
</t>
    </r>
    <r>
      <rPr>
        <b/>
        <sz val="11"/>
        <color theme="1"/>
        <rFont val="Calibri"/>
        <family val="2"/>
        <scheme val="minor"/>
      </rPr>
      <t>Caminhão operando sem sirene de ré funcional</t>
    </r>
    <r>
      <rPr>
        <sz val="11"/>
        <color theme="1"/>
        <rFont val="Calibri"/>
        <family val="2"/>
        <scheme val="minor"/>
      </rPr>
      <t>,</t>
    </r>
    <r>
      <rPr>
        <b/>
        <sz val="11"/>
        <color theme="1"/>
        <rFont val="Calibri"/>
        <family val="2"/>
        <scheme val="minor"/>
      </rPr>
      <t xml:space="preserve"> e com lanterna e faróis queimados, </t>
    </r>
    <r>
      <rPr>
        <sz val="11"/>
        <color theme="1"/>
        <rFont val="Calibri"/>
        <family val="2"/>
        <scheme val="minor"/>
      </rPr>
      <t xml:space="preserve">comprometendo a segurança em manobras e circulação;
</t>
    </r>
    <r>
      <rPr>
        <b/>
        <sz val="11"/>
        <color theme="1"/>
        <rFont val="Calibri"/>
        <family val="2"/>
        <scheme val="minor"/>
      </rPr>
      <t>Operador do veículo sem posse da documentação obrigatória,</t>
    </r>
    <r>
      <rPr>
        <sz val="11"/>
        <color theme="1"/>
        <rFont val="Calibri"/>
        <family val="2"/>
        <scheme val="minor"/>
      </rPr>
      <t xml:space="preserve"> impossibilitando a comprovação de habilitação e capacitação para a operação do equipamento.
</t>
    </r>
    <r>
      <rPr>
        <b/>
        <sz val="11"/>
        <color theme="1"/>
        <rFont val="Calibri"/>
        <family val="2"/>
        <scheme val="minor"/>
      </rPr>
      <t>Ações recomendadas:</t>
    </r>
    <r>
      <rPr>
        <sz val="11"/>
        <color theme="1"/>
        <rFont val="Calibri"/>
        <family val="2"/>
        <scheme val="minor"/>
      </rPr>
      <t xml:space="preserve">
Imediata paralisação da atividade até a regularização dos itens citados;
Implantação de isolamento físico com sinalização adequada no entorno da frente de trabalho;
Manutenção corretiva no veículo para restabelecer os itens de segurança;
Apresentação da documentação do operador para verificação de conformidade legal.</t>
    </r>
  </si>
  <si>
    <r>
      <t xml:space="preserve">É </t>
    </r>
    <r>
      <rPr>
        <b/>
        <sz val="11"/>
        <color theme="1"/>
        <rFont val="Calibri"/>
        <family val="2"/>
        <scheme val="minor"/>
      </rPr>
      <t xml:space="preserve">obrigatório o uso de cinto de segurança tipo paraquedista com talabarte </t>
    </r>
    <r>
      <rPr>
        <sz val="11"/>
        <color theme="1"/>
        <rFont val="Calibri"/>
        <family val="2"/>
        <scheme val="minor"/>
      </rPr>
      <t xml:space="preserve">para execução de atividades em valas e shafts com profundidade igual ou superior a 1,25 metros.
A entrada em escavações (EC), como valas e shafts, somente será permitida </t>
    </r>
    <r>
      <rPr>
        <b/>
        <sz val="11"/>
        <color theme="1"/>
        <rFont val="Calibri"/>
        <family val="2"/>
        <scheme val="minor"/>
      </rPr>
      <t>mediante a instalação de escoramento adequado, com reforço de longarinas e estroncas</t>
    </r>
    <r>
      <rPr>
        <sz val="11"/>
        <color theme="1"/>
        <rFont val="Calibri"/>
        <family val="2"/>
        <scheme val="minor"/>
      </rPr>
      <t>, garantindo a estabilidade das paredes e a segurança dos trabalhadores.
O descumprimento desta orientação configura condição de risco grave e iminente, passível de paralisação imediata da atividade.</t>
    </r>
  </si>
  <si>
    <t>Luis Dias</t>
  </si>
  <si>
    <r>
      <t xml:space="preserve">Durante inspeção no local, foi identificado que um colaborador encontrava-se no </t>
    </r>
    <r>
      <rPr>
        <b/>
        <sz val="11"/>
        <color theme="1"/>
        <rFont val="Calibri"/>
        <family val="2"/>
        <scheme val="minor"/>
      </rPr>
      <t>interior de um poço caracterizado como espaço confinado</t>
    </r>
    <r>
      <rPr>
        <sz val="11"/>
        <color theme="1"/>
        <rFont val="Calibri"/>
        <family val="2"/>
        <scheme val="minor"/>
      </rPr>
      <t xml:space="preserve">, em desacordo com os procedimentos de segurança exigidos para esse tipo de atividade. As seguintes não conformidades foram constatadas:
</t>
    </r>
    <r>
      <rPr>
        <b/>
        <sz val="11"/>
        <color theme="1"/>
        <rFont val="Calibri"/>
        <family val="2"/>
        <scheme val="minor"/>
      </rPr>
      <t xml:space="preserve">Ausência de detector de gás </t>
    </r>
    <r>
      <rPr>
        <sz val="11"/>
        <color theme="1"/>
        <rFont val="Calibri"/>
        <family val="2"/>
        <scheme val="minor"/>
      </rPr>
      <t xml:space="preserve">em uso durante a permanência no espaço confinado;
</t>
    </r>
    <r>
      <rPr>
        <b/>
        <sz val="11"/>
        <color theme="1"/>
        <rFont val="Calibri"/>
        <family val="2"/>
        <scheme val="minor"/>
      </rPr>
      <t>Permissão de Trabalho (PT) não assinada</t>
    </r>
    <r>
      <rPr>
        <sz val="11"/>
        <color theme="1"/>
        <rFont val="Calibri"/>
        <family val="2"/>
        <scheme val="minor"/>
      </rPr>
      <t xml:space="preserve">, impossibilitando a formalização da autorização para execução da atividade;
</t>
    </r>
    <r>
      <rPr>
        <b/>
        <sz val="11"/>
        <color theme="1"/>
        <rFont val="Calibri"/>
        <family val="2"/>
        <scheme val="minor"/>
      </rPr>
      <t>Escada de acesso sem amarração</t>
    </r>
    <r>
      <rPr>
        <sz val="11"/>
        <color theme="1"/>
        <rFont val="Calibri"/>
        <family val="2"/>
        <scheme val="minor"/>
      </rPr>
      <t>, configurando risco de queda e dificuldade de evacuação segura.
Diante da gravidade das condições observadas, a atividade foi imediatamente interrompida, sendo autorizada sua retomada somente após a regularização completa das exigências normativas, conforme NR-33.</t>
    </r>
  </si>
  <si>
    <t>Solicitação de isolamento provisório na via</t>
  </si>
  <si>
    <t>Seguir com projeto de escoramento com estroncar, conforme projeto</t>
  </si>
  <si>
    <t>CT Lurdes</t>
  </si>
  <si>
    <t>Natalino Silva</t>
  </si>
  <si>
    <t>A equipe encontra-se sem area de vivência, ausência de corredor segurp para pedestre e calçada cheia de materiais</t>
  </si>
  <si>
    <t>Caminhão sem sapata do acelerador, ausência de macaco, ausência de triângulo, ausência de extintor.
Frente de serviço sem banheiro quimico.</t>
  </si>
  <si>
    <t>LS construções</t>
  </si>
  <si>
    <t>Sinalização inadequada, Area não esta completamente isolada.</t>
  </si>
  <si>
    <t>Universa Engenharia</t>
  </si>
  <si>
    <t>Frente sem poste de linha de vida</t>
  </si>
  <si>
    <t>Equipe orientada a fazer o isolamento adequado, por falta de material não foi possivel</t>
  </si>
  <si>
    <t>Funcionário: Alex Sandro da Silva. Durante o retorno do almoço, foi constatado que o colaborador apresentava sinais de embriaguez, tais como: fala pausada, dificuldade de andar em linha reta.</t>
  </si>
  <si>
    <t>José Carlos</t>
  </si>
  <si>
    <t>Escoramento – Instalar guarda corpo provisório nas bordas da vala.
Apontamentos relativos a Comportamentos Inseguros: Risco de queda entre os vãos; presença de erosão; ausência de sistema de proteção contra queda.</t>
  </si>
  <si>
    <t xml:space="preserve">DDS sem tem </t>
  </si>
  <si>
    <t>Jucelino Silva</t>
  </si>
  <si>
    <t xml:space="preserve">PET NÃO ESTAVA PREENCHIDA CORRETAMENTE </t>
  </si>
  <si>
    <t xml:space="preserve">Terra retirada da vala ao lado da boca do poço </t>
  </si>
  <si>
    <t xml:space="preserve">uso de serra cliper sem mascara, Aussencia de passagem de pedestre </t>
  </si>
  <si>
    <t>foi identificado que o banco da retroescavadeira encontra-se quebrado apresentando calço improvisado em madeira. Foi relatado pelo operador que o sistema de freio encontra-se ruim.</t>
  </si>
  <si>
    <t xml:space="preserve">DDS sem tema </t>
  </si>
  <si>
    <t xml:space="preserve">Ausencia de Sinalização </t>
  </si>
  <si>
    <t xml:space="preserve">Possiblidade de Colapuso da estrutura do poste </t>
  </si>
  <si>
    <t xml:space="preserve">Escada de acesso o posto está não conforme, ultimo degrau encontra-se aproximadamente com 1,70 do fundo do posço para ultimo degrau da escada. </t>
  </si>
  <si>
    <t>Frota</t>
  </si>
  <si>
    <t>Durante a inspeção de segurança, foram identificadas algumas não conformidades no veículo. Constatou-se que a seta do lado esquerdo dianteiro não estava em funcionamento. Também foi verificada irregularidade no painel de comando. Além disso, observou-se a presença de desgaste com fissuras em componentes e a ausência de calços, o que representa risco à segurança.</t>
  </si>
  <si>
    <t>Djailson</t>
  </si>
  <si>
    <t>Cesar Antonio</t>
  </si>
  <si>
    <t>Estabilizador direito apresenta danos visíveis, o que pode comprometer a absorção de impacto.</t>
  </si>
  <si>
    <t xml:space="preserve">Ausencia de assinatura do lider na APR, PT preenchida incorretamente </t>
  </si>
  <si>
    <t>Dema Jose</t>
  </si>
  <si>
    <t xml:space="preserve">Sem sinalização na via, Sem tapumes, sem assinatura na PET, Sem endreoço da frente </t>
  </si>
  <si>
    <t xml:space="preserve">Deficiencia de  sinalização como taupumes em volta da Obra, adequar o escoramento da vala </t>
  </si>
  <si>
    <t>Durante a inspeção de segurança do trabalho, foram identificadas diversas não conformidades. Verificou-se que não há sinalização nos postes, estando presente apenas na via. Também foi constatado que a equipe não havia preenchido corretamente os documentos, contendo apenas assinaturas. Observou-se ainda a ausência de marcação do gás e o preenchimento incorreto de registros.</t>
  </si>
  <si>
    <t>Higor Severo</t>
  </si>
  <si>
    <t>Durante atividade de içamento do anel de concreto, foi observado, amarração do peso realizado com cabos comuns sem cinta ou acessório certificado. (ausência de isolamento da área).</t>
  </si>
  <si>
    <t xml:space="preserve">Poste de energia se encontra-se proximo a escavação </t>
  </si>
  <si>
    <t>A5. Risco de choque elétrico</t>
  </si>
  <si>
    <t xml:space="preserve">FALTA DE SINALIZAÇÃO, FALTA DE ISOLAMENTO COM TAPUMES </t>
  </si>
  <si>
    <t>Durante a inspeção de segurança, foi constatado que o caminhão apresentou uma lâmpada queimada, sendo informado pelo motorista que a situação já havia sido repassada à chefia imediata. Além disso, foi identificado que o veículo apresentava um pequeno vazamento, o qual também já havia sido comunicado à chefia.</t>
  </si>
  <si>
    <t>durante a inspeção no local foi identificado que o poste de energia está próximo à escavação. foi observado que o poste sofreu movimentação, o solo em sua volta também sofreu algumas erosões.</t>
  </si>
  <si>
    <t>Durante a inspeção de rotina foi identificado recalque do solo ao redor do poço de vista (PV14) com aproximadamente 12 metros de profundidade. O solo apresenta indícios de afundamento e vazios visíveis</t>
  </si>
  <si>
    <t xml:space="preserve">Foi indetificado recalque so solo ao redor do posço de vista (PV 14) </t>
  </si>
  <si>
    <t xml:space="preserve">Retroesvadeira sem sinal sonoro de ré </t>
  </si>
  <si>
    <t>Condição do sistema de freio: pouca eficiência de frenagem; Assento do operador: calço improvisado de madeira; Adaptação insegura.</t>
  </si>
  <si>
    <t>Caminhão EVD 3653. Caminhão sem disco de tacógrafo. Funcionário ficou estacionado e falhou na autuação. Retro escavadeira SUSTAR36 parcial queimado. Sem borrachas dos pedais, vazamento radiador.</t>
  </si>
  <si>
    <t xml:space="preserve">Durante a inspeção realizada no local, foi verificado que os trabalhadores executavam atividade caracterizada como trabalho em altura e entrada em espaço confinado, conforme disposições das NR-33 e NR-35. </t>
  </si>
  <si>
    <t>No momento da inspeção, havia deficiência de isolamento, no entanto, o líder Higor informou que já tinham providenciado no canteiro.</t>
  </si>
  <si>
    <t>Goiânia Mauá</t>
  </si>
  <si>
    <t>Durante a inspeção visual foi identificado que o extintor encontra-se despressurizado (ponteiro do manômetro fora da faixa verde de operação) e sem o lacre de segurança na alavanca de acionamento. 
Além disso, observou-se ausência da mangueira de descarga, comprometendo totalmente a funcionalidade do equipamento em caso de emergência.</t>
  </si>
  <si>
    <t>Damião Jose</t>
  </si>
  <si>
    <t xml:space="preserve">Durante inspeção de rotina, foi identificado processo erosivo acentuado junto à borda do poço metálico, com afundamento de solo devido vazamento de rede ,( esgoto) A condição apresentava risco de colapso parcial da escavação e queda de nível de trabalhadores ou materiais. </t>
  </si>
  <si>
    <t xml:space="preserve">CT Bandeirantes  </t>
  </si>
  <si>
    <t xml:space="preserve"> Durante inspeção visual realizada no conjunto de içamento, foi identificado cabo de aço em condição inadequada, apresentando fios torcidos e rompidos, ausência de anilha e grampos montados de forma 
incorreta.</t>
  </si>
  <si>
    <t>WJ Perfurações (Terceira)</t>
  </si>
  <si>
    <t xml:space="preserve">Ausência de adesivos de advertência e identificação de segurança no corpo da máquina. NR 12 Botão de emergência inoperante, não realizando a parada imediata. NR 12 </t>
  </si>
  <si>
    <t>CT Benfica</t>
  </si>
  <si>
    <t>Durante a inspeção diária do guincho de coluna, verificou-se que o equipamento encontra-se em boas condições operacionais, apresentando estrutura firme, cabos em bom estado, e funcionamento regular dos comandos e travas</t>
  </si>
  <si>
    <t>Conforme</t>
  </si>
  <si>
    <t xml:space="preserve">Foi realizada inspeção técnica no local em virtude da proximidade com a rede elétrica de alta tensão. </t>
  </si>
  <si>
    <t>Durante a vistoria foi identificado shaft com acúmulo de água em seu interior e perda de material BGS e solo ao redor da boca do poço, evidenciando movimentação de solo e possível erosão localizada. O material fino e o agregado de base desceram parcialmente, reduzindo a compactação e deixando o entorno da estrutura vulnerável. A presença de água subterrânea indica necessidade de drenagem e recomposição do aterro.</t>
  </si>
  <si>
    <t>CT Bandeirantes</t>
  </si>
  <si>
    <t>Durante inspeção no local, foi verificada uma nova frente de construção em andamento sem isolamento da área, expondo trabalhadores e terceiros (inclusive crianças) a riscos de acidentes. O acesso não apresentava sinalização, barreiras físicas ou delimitação adequada conforme determina a NR-18 – Condições e Meio Ambiente de Trabalho na Indústria da Construção, que trata de proteção de áreas de circulação e isolamento de frentes de trabalho.</t>
  </si>
  <si>
    <t xml:space="preserve">Durante inspeção no poço de escavação do túnel liner, observou-se solo predominantemente argiloso, com coloração avermelhada e presença de umidade. O revestimento metálico (liner) encontra-se instalado em toda a extensão visível do poço. </t>
  </si>
  <si>
    <t>Ao chegar à frente de serviço para realizar a vistoria de segurança, constatei que a equipe não estava utilizando o rádio comunicador, conforme previsto na NR aplicável à atividade de escavação. Durante a verificação documental, identifiquei que o trabalhador designado como vigia não se encontrava em seu posto. Diante das não conformidades, determinei imediatamente a paralisação da atividade e convoquei a equipe para orientação sobre a importância do uso do rádio comunicador e do correto preenchimento dos documentos exigidos.</t>
  </si>
  <si>
    <t>CT Souto Maior</t>
  </si>
  <si>
    <t>Não ID</t>
  </si>
  <si>
    <t>Equipamentos energizados expostos a intempéries (chuva), risco de choque elétrico</t>
  </si>
  <si>
    <t xml:space="preserve"> CT Bandeirantes</t>
  </si>
  <si>
    <t xml:space="preserve">Falta de sinalização nos materiais </t>
  </si>
  <si>
    <t xml:space="preserve">CT Lageado </t>
  </si>
  <si>
    <t>Falta guarda corpo e/ou fechamento com chapa tapa vala.</t>
  </si>
  <si>
    <t>Ao chegar na frente de serviço, iniciei a inspeção de segurança e identifiquei que o DDS do dia não continha o tema previsto e tampouco estava assinado pelo responsável.</t>
  </si>
  <si>
    <t xml:space="preserve">Nova construção </t>
  </si>
  <si>
    <t xml:space="preserve">Uso de EPI incorreto </t>
  </si>
  <si>
    <t xml:space="preserve">Necessário troca ou substituição dos pontaletes de madeira (caibro) por pontaletes de Eucalipto conforme projeto de escoramento de valas.  </t>
  </si>
  <si>
    <t>Mola dianteira – lado direito: quebrada. 
Risco: Compromete a estabilidade, direção e segurança operacional, 
podendo causar perda de controle e agravar danos estruturais.</t>
  </si>
  <si>
    <t xml:space="preserve">Atividade paralisada por descumprimento de procedimento, falta de escoramento e isolamento do local. </t>
  </si>
  <si>
    <t xml:space="preserve">Durante a inspeção visual do local, foi identificado solo exposto com sinais evidentes de instabilidade, apresentando rachaduras,  presença de umidade excessiva e acúmulo de água.  </t>
  </si>
  <si>
    <t>Situação Observada Solo com características erosivas e instáveis, apresentando elevada umidade, desagregação das bordas da escavação e sinais de erosão ativa.</t>
  </si>
  <si>
    <t>Irregularidades Identificadas 1. Concha com perfuração (buraco): Constatada a presença de perfuração na concha. 2. Lanterna dianteira esquerda inoperante: Lanterna dianteira esquerda queimada, reduzindo a visibilidade do equipamento, principalmente em condições de baixa luminosidade, contrariando requisitos básicos de segurança operacional. 3. Pneu dianteiro esquerdo desgastado: Pneu dianteiro esquerdo apresenta desgaste acentuado, podendo comprometer a estabilidade, a dirigibilidade do equipamento e aumentar o risco de acidentes.</t>
  </si>
  <si>
    <t xml:space="preserve"> CT Mar de Coral</t>
  </si>
  <si>
    <t>Constatação: Identificado afundamento do solo com trincas e abatimento junto ao tapume, com circulação de moradores próxima ao local. Riscos: Queda de pessoas ao mesmo nível/nível inferior, abertura súbita de cavidade, instabilidade do tapume e acidentes com terceiros.</t>
  </si>
  <si>
    <t>CT Mar de Coral</t>
  </si>
  <si>
    <t>Nova Construção</t>
  </si>
  <si>
    <t>Sistema de ar-condicionado inoperante Ar-condicionado não está funcionando. Condição inadequada para operação prolongada, afetando o conforto térmico e podendo causar fadiga ao operador, especialmente em jornadas longas e altas temperaturas. NR 17</t>
  </si>
  <si>
    <t>A7. Postura inadequada</t>
  </si>
  <si>
    <t>Constatação: Identificado afundamento do solo com trincas e abatimento junto ao tapume, com circulação de moradores próxima ao local. Riscos: Queda de pessoas ao mesmo nível/nível inferior, abertura súbita de cavidade, instabilidade do tapume e acidentes com terceiros.Pessoas na obra sem integração, sem uso de EPI</t>
  </si>
  <si>
    <t xml:space="preserve">Chapa tapa vala, não possui furos para passagem de pinos para fixar a chapa ao solo. Risco: Movimentação da chapa causada por veículos. </t>
  </si>
  <si>
    <t>durante a inspeção de segurança foram identificadas erosões ao redor do pv14, localizado no condomínio do dos sonhos, caracterizadas por desagregação do solo e rebaixamento</t>
  </si>
  <si>
    <t>Oreste Medeiros</t>
  </si>
  <si>
    <t>Fabricio Silva</t>
  </si>
  <si>
    <t xml:space="preserve">Não conformidade no sistema ne iluminação caminhão como; seta, e uma luz de ré queimada </t>
  </si>
  <si>
    <t xml:space="preserve">Parafusos insuficientes na montagem Armico.  
Risco: Queda de pessoas; queda de material; Escoriações </t>
  </si>
  <si>
    <t xml:space="preserve">Falta borracha da patola esquerda retroescavadeira. Risco: Falha no patolamento da máquina (perda de aderência com o solo); Batida contra, devido à falta de aderência ao solo. </t>
  </si>
  <si>
    <t>Fechamento e adequação de tapumes PV 13. Risco: Acesso de pessoas não autorizadas, local com grande circulação de pedestres e crianças.</t>
  </si>
  <si>
    <t xml:space="preserve">Uso de tapumes </t>
  </si>
  <si>
    <t xml:space="preserve">Foi indenficado falha no isolamento em volta da escavação </t>
  </si>
  <si>
    <t xml:space="preserve">sem escoramento, sem apr </t>
  </si>
  <si>
    <t xml:space="preserve">Patola esquerda da retroescavdeira estva sem a borracha </t>
  </si>
  <si>
    <t xml:space="preserve">Gerador sem sistema de aterramento </t>
  </si>
  <si>
    <t xml:space="preserve">CT mar de coral </t>
  </si>
  <si>
    <t xml:space="preserve">Tubos PEAD Armazenados em via, sem sinalização </t>
  </si>
  <si>
    <t>CT Jaguaré</t>
  </si>
  <si>
    <t>Johnatan Queiroz</t>
  </si>
  <si>
    <t xml:space="preserve">Trabalho em altura, Risco de queda </t>
  </si>
  <si>
    <t>Josivaldo Luiz</t>
  </si>
  <si>
    <t xml:space="preserve">Colaboradores da equipe não utilizando oculos de segurança e jugular no capacete </t>
  </si>
  <si>
    <t xml:space="preserve">terra na borda na vala, sem lona de separaçao de material, Sem escoramento </t>
  </si>
  <si>
    <t xml:space="preserve">Ausencia de tapumes na atividade de PEAD, Ausencia de barreira rigida. APR não foi localizada </t>
  </si>
  <si>
    <t xml:space="preserve">Colaboradores da equipe não utilizando oculos de segurança </t>
  </si>
  <si>
    <t>Eng. Robson</t>
  </si>
  <si>
    <t xml:space="preserve">Escadas fixas de acesso ao pv não estao conformes. Solicito adequação </t>
  </si>
  <si>
    <t>A3. Risco de queda; C3. Em condições inseguras</t>
  </si>
  <si>
    <t xml:space="preserve">Colobarador estava dentro do PV 02 sem esta devidamente ancorado no sistema de resgate </t>
  </si>
  <si>
    <t xml:space="preserve">aussencia de sinalização conforme o projeto </t>
  </si>
  <si>
    <t>Marcio Barreto</t>
  </si>
  <si>
    <t xml:space="preserve">Armico inconpleto </t>
  </si>
  <si>
    <t xml:space="preserve">Colaborador posicionado em cima da pá carregadeira </t>
  </si>
  <si>
    <t xml:space="preserve">Falta do uso de EPI´s </t>
  </si>
  <si>
    <t xml:space="preserve">Furos na lona da area de vivencia </t>
  </si>
  <si>
    <t xml:space="preserve">Assoriamento no perimetro do armico </t>
  </si>
  <si>
    <t xml:space="preserve">Uso de epi incorreto </t>
  </si>
  <si>
    <t>erosão do solo do pv 03</t>
  </si>
  <si>
    <t xml:space="preserve">Não conformidade no SIGA E PARE em via movimentada </t>
  </si>
  <si>
    <t xml:space="preserve">Colaborador sem uniforme </t>
  </si>
  <si>
    <t>Carlos Robson</t>
  </si>
  <si>
    <t xml:space="preserve">Ausensencia de documentação de qualidade, ausencia de identificação de água potavel </t>
  </si>
  <si>
    <t>terra na borda na vala, sem lona de separaçao de material</t>
  </si>
  <si>
    <t xml:space="preserve">poste do guicho esta se inclinando na subida do material </t>
  </si>
  <si>
    <t xml:space="preserve">poste do guicho esta se inclinando na subida do material , Isolamento inseguro </t>
  </si>
  <si>
    <t xml:space="preserve">Atividade em altura sem o uso de trava quedas </t>
  </si>
  <si>
    <t>Aparecido (Cidão)</t>
  </si>
  <si>
    <t xml:space="preserve">Sem sinalização na via </t>
  </si>
  <si>
    <t xml:space="preserve">CT Agua Vermelha </t>
  </si>
  <si>
    <t>Fusão Solo (Terceira)</t>
  </si>
  <si>
    <t xml:space="preserve">Colaborador Alef Barbosa, empresa Fusão solo sem integração </t>
  </si>
  <si>
    <t>Falha no uso de EPI</t>
  </si>
  <si>
    <t xml:space="preserve">Uso de calça de saneamento, sem luva de saneamento </t>
  </si>
  <si>
    <t>B5. Mãos e braços; B7. Pés e pernas</t>
  </si>
  <si>
    <t>Paulo Silva</t>
  </si>
  <si>
    <t xml:space="preserve">Solo apresenta erosão </t>
  </si>
  <si>
    <t>Durante a inspeção de segurança na retro nº48, foram constatados os seguintes NC: vazamento de óleo hidráulico no pistão da pá, folga no pistão da concha dianteira, deficiência nos adesivos refletivos, luz de placa inoperante, sinal sonoro de ré com o volume baixo e ausência do</t>
  </si>
  <si>
    <t>Durante inspeção de segurança, foram observados alguns itens sem plano de instalação e de acordo com o projeto.</t>
  </si>
  <si>
    <t>Material Retirado  VCA junto à borda</t>
  </si>
  <si>
    <t>Ausência de sinalização viária, sinalização pedestre ausente. O tapume, serviço estava sendo feito sem isolamento adequado.</t>
  </si>
  <si>
    <t xml:space="preserve">Material armazenado de forma inrregular </t>
  </si>
  <si>
    <t xml:space="preserve">Falha de placa de pedestre </t>
  </si>
  <si>
    <t xml:space="preserve"> Uso de EPI Incorreto , Sem SIGA E PARE </t>
  </si>
  <si>
    <t xml:space="preserve">Durante inspeção realizada no local de trabalho, foi constatada a execução de atividade em vala sem a devida instalação de sistema de escoramento tipo Armco (Armico), configurando condição insegura, com risco de desmoronamento de solo. </t>
  </si>
  <si>
    <t>Durante a inspeção, foi observado que o extintor de incêndio encontrava-se obstruído e com avarias, em desacordo com a NR-23.</t>
  </si>
  <si>
    <t xml:space="preserve">Andre </t>
  </si>
  <si>
    <t>CT Conceição</t>
  </si>
  <si>
    <t>Aduelas transportadas sem Amarração</t>
  </si>
  <si>
    <t>Canteiro D'avó</t>
  </si>
  <si>
    <t>Inspeção de Segurança Durante a inspeção realizada na área de armazenamento de materiais, foi observada a ausência de isolamento/sinalização no material de vergalhões de aço. A condição encontrada apresenta risco de acidentes, como cortes, perfurações e possíveis tropeços para trabalhadores que circulam pelo local.</t>
  </si>
  <si>
    <t xml:space="preserve">Caminhão Basculante Placa GBG7I77. Durante inspeção de segurança realizada em campo, foram identificadas condições inseguras em caminhão basculante em operação, comprometendo a integridade do condutor e de terceiros. No local, constatou-se que a seta lateral esquerda encontra-se inoperante, comprometendo a sinalização do veículo e aumentando o risco de acidentes. Foi identificado ainda que o sistema de ar apresenta vazamento,  ocasionando travamento do veículo. </t>
  </si>
  <si>
    <t xml:space="preserve">Durante inspeção de segurança em via pública, foi identificado que, após intervenções para sondagem de rede de gás e furo direcional, o pavimento asfáltico não foi devidamente recomposto. </t>
  </si>
  <si>
    <t>CT ITI 15</t>
  </si>
  <si>
    <t>Durante a inspeção de campo, foi observada aausência de meio de acesso seguro (escada) para entrada e saída da vala. Os colaboradores estão realizando o acesso por meio de salto, expondo-se a risco de queda e lesões.</t>
  </si>
  <si>
    <t xml:space="preserve">falta da capa de chuva </t>
  </si>
  <si>
    <t xml:space="preserve">Instabilidade so solo </t>
  </si>
  <si>
    <t>Durante a inspeção de segurança, foi identificada uma não conformidade relacionada ao capacete de ferro do PV 10.1.
Foi verificado que o equipamento de proteção encontra-se em altura elevada em relação ao nível do solo, comprometendo sua eficácia na proteção em caso de possível acidente.</t>
  </si>
  <si>
    <t xml:space="preserve">Beatriz </t>
  </si>
  <si>
    <t>Durante inspeção de rotina, foi identificado que o caminhão pipa encontra-se com seta traseira do lado esquerdo inoperante, bem como luz de ré e sinal sonoro de marcha à ré sem funcionamento.</t>
  </si>
  <si>
    <t xml:space="preserve">CT Botelho Mourão  </t>
  </si>
  <si>
    <t xml:space="preserve"> está preste a iniciar as atividades não temos sinalização viária e nem temporária.</t>
  </si>
  <si>
    <t>Durante a inspeção de segurança, foi constatado que o medidor multigases apresentava falha no display, (ERRO CODE) comprometendo a confiabilidade das leituras e a detecção de níveis de oxigênio e gases no interior do poço, caracterizando risco em espaço confinado. Conforme a NR-33, é obrigatória a utilização de equipamento em perfeitas condições de funcionamento.</t>
  </si>
  <si>
    <t>Apoio ao Transito</t>
  </si>
  <si>
    <t>Os serviços de sinalização viária encontram-se em andamento; contudo, foi identificada insuficiência de dispositivos de sinalização. Há necessidade de complementação com placas de advertência (travessia de pedestres, limites de velocidade de 50 km/h e 100 km/h, estreitamento de pista à direita), bem como disponibilização de cavaletes para adequada delimitação da área de intervenção</t>
  </si>
  <si>
    <t>Cia Apoio (Terceira)</t>
  </si>
  <si>
    <t>Durante inspeção na frente de obra, foi realizada a verificação no veículo de apoio de sinalização viária da empresa Cia Apoio. Constatou-se que o veículo de placa QWR242 apresenta pneus com desgaste acentuado, estando em não conformidade com as leis de trânsito vigentes</t>
  </si>
  <si>
    <t>Bruno Nascimento</t>
  </si>
  <si>
    <t xml:space="preserve">Falta sinalização </t>
  </si>
  <si>
    <t>Foi elaborado relatório, pois a área de soldagem encontra-se sem sinalização com cerquite. Segundo o engenheiro Robson e o encarregado Bruno, não há “pirulito” disponível no momento, pois está em produção. Foi registrada a recomendação para realizar a devida sinalização da área.</t>
  </si>
  <si>
    <t>LVL (Terceira)</t>
  </si>
  <si>
    <t>Ausência de banheiro químico para os colaboradores. Falta de área de vivência (local para descanso e alimentação).</t>
  </si>
  <si>
    <t>Ricardo Coutinho</t>
  </si>
  <si>
    <t>Erosão acentuada com formação de cavidade ao redor do PV 07. Rede de esgoto rompida com vazamento ativo e afloramento de água. Poste de energia com estabilidade comprometida devido à proximidade com a área instável.</t>
  </si>
  <si>
    <t>Duto do insuflador de ar rasgado/danificado, comprometendo a renovação do ar em espaço confinado.</t>
  </si>
  <si>
    <t>Vazamento de óleo hidráulico identificado na rampa do caminhão prancha (Placa QSR5J48).</t>
  </si>
  <si>
    <t>Vacol em Teste</t>
  </si>
  <si>
    <t>Trabalhadores executando atividades sem o uso de EPI obrigatório. Ausência de checklist de liberação, APR ou procedimento formal de autorização para o serviço.</t>
  </si>
  <si>
    <t>Nenhum desvio apontado no momento da inspeção; o relatório cita "Nada a apontar" quanto a sinalização e escoramento</t>
  </si>
  <si>
    <t>Haste de fim de curso do guincho danificada (quebrada/deformada). Operação de equipamento com dispositivo de segurança inoperante, gerando risco de queda de carga ou rompimento de cabo.</t>
  </si>
  <si>
    <t>Insuflador de ar parando de funcionar repentinamente durante o uso.  Medidor de gases apresentando erro de leitura (Err Cód 1), impedindo o monitoramento atmosférico.</t>
  </si>
  <si>
    <t>Detectado assoreamento no entorno do PV 02. Risco de instabilidade do solo e deformidade na estrutura do Ármico.</t>
  </si>
  <si>
    <t>Assento do operador com rigidez excessiva, comprometendo a ergonomia.Capô da máquina abrindo involuntariamente durante a utilização.</t>
  </si>
  <si>
    <t>Permissões de Trabalho (PT e PET) com rasuras na data e no número do contrato. Preenchimento incorreto de itens de segurança (marcação de existência de equipamentos de resgate e equipe de salvamento que não estavam presentes).</t>
  </si>
  <si>
    <t>Rocha e Cangussu (Terceira)</t>
  </si>
  <si>
    <t>Ausência de documentação técnica (plano de manutenção e registros). Alarme sonoro de ré inoperante. Extintor de incêndio com rotulagem apenas em idioma chinês.</t>
  </si>
  <si>
    <t>Caminhão (UFI5B96) estacionado sem a utilização de calços nas rodas (item obrigatório para imobilização).</t>
  </si>
  <si>
    <t>W3 Perfuração</t>
  </si>
  <si>
    <t>Funcionário realizando atividade sobre o caminhão prancha sem proteção ou sistema de acesso seguro. Exposição direta ao risco de queda de altura</t>
  </si>
  <si>
    <t>Luz de injeção acesa no painel, indicando falha no sistema eletrônico do motor durante a operação. Risco de perda de potência e parada inesperada do equipamento em área operacional.</t>
  </si>
  <si>
    <t>Guincho com baixa força no sistema de elevação, incapaz de subir cargas. Duto do insuflador de ar rasgado e com diâmetro insuficiente (200 mm) para a profundidade do PV.</t>
  </si>
  <si>
    <t>Valmir Lopes</t>
  </si>
  <si>
    <t>Vala com escoramento inadequado e/ou insuficiente, fora dos padrões e projetos existentes.</t>
  </si>
  <si>
    <t>Nenhum desvio crítico registrado no corpo do texto; o relatório foca na conformidade do check-list, presença de carteira do operador e isolamento da área. Observação Técnica: O operador identificado é Márcio Cardoso.</t>
  </si>
  <si>
    <t>Escada com avarias estruturais graves. Improvisação com amarrações em arame, prática que não garante resistência mecânica.</t>
  </si>
  <si>
    <t>Canteiro Central (Ferraz)</t>
  </si>
  <si>
    <t>Farol dianteiro e indicador de direção (seta) lado direito inoperantes. Luz de ré e luzes de posição inoperantes.Extintor de incêndio fora da validade e despressurizado.</t>
  </si>
  <si>
    <t>Escada instalada no Poço de Visita (PV) insuficiente para alcance total da profundidade. Impossibilidade de acesso seguro até o fundo da estrutura devido à falta de extensão.</t>
  </si>
  <si>
    <t>Equipamento sem buzina (Placa BTZ0A80).</t>
  </si>
  <si>
    <t>Renato (Goiânia)</t>
  </si>
  <si>
    <t>Desvio de função: operador de retroescavadeira realizando operação de guincho de coluna sem capacitação específica</t>
  </si>
  <si>
    <t>Falha no sistema de injeção (luz de alerta acesa no painel há vários dias).Equipamento perdendo força e desligando involuntariamente durante a operação.</t>
  </si>
  <si>
    <t>Serra Clipper com falha no pedal de trava de acionamento. Equipamento sem botão de parada de emergência (falta de conformidade com a NR 12).</t>
  </si>
  <si>
    <t>Escada de acesso sem fixação. Ausência de dispositivo de resgate para situações de emergência.</t>
  </si>
  <si>
    <t>Escada de acesso sem fixação ao longo do trecho. Sinalização e isolamento deficiente (PV 07)</t>
  </si>
  <si>
    <t>Nenhum desvio crítico apontado; local isolado, documentações em ordem e uso correto de equipamentos.</t>
  </si>
  <si>
    <t>Nenhum desvio apontado; equipe utilizando EPIs e documentos preenchidos</t>
  </si>
  <si>
    <t>Antonio Vidal</t>
  </si>
  <si>
    <t>Furo direcional sem isolamento lateral. Bomba de esgotamento de água posicionada de maneira inadequada, sem anteparo de contenção de solo.</t>
  </si>
  <si>
    <t>Poço de Visita (PV 07) com sinalização inadequada ou inexistente. Falta de visibilidade para pedestres e veículos.</t>
  </si>
  <si>
    <t>Colaboradores não utilizavam todos os EPIs (óculos, luva e jugular) de forma correta. Escada sem fixação ao longo do PV. Equipe não havia assinado a PT (Permissão de Trabalho) para trabalho em altura antes do início.</t>
  </si>
  <si>
    <t>Atividades iniciadas sem a devida formalização e assinatura dos documentos obrigatórios (PT e DSS).</t>
  </si>
  <si>
    <t>Retrovisores sem fixação adequada. Lanternas e faróis traseiros inoperantes. Sinal sonoro de ré com baixa intensidade.</t>
  </si>
  <si>
    <t>Nenhum desvio crítico no momento da inspeção (o relatório conclui que o local apresenta condições seguras e equipamentos funcionando). Observação técnica: Presença monitorada de monóxido de carbono (22 ppm), exigindo ventilação contínua.</t>
  </si>
  <si>
    <t>Ato inseguro caracterizado por execução inadequada de tarefa em poço (1,40 m de profundidade), com o colaborador debruçado ao nível do solo, gerando risco de queda.</t>
  </si>
  <si>
    <t>Solo no entorno do Poço de Visita (PV) com rachaduras e fissuras visíveis, indicando instabilidade</t>
  </si>
  <si>
    <t>Ausência de sinalização para pedestres. Deficiência de isolamento da área, não garantindo a segregação entre pedestres e a zona operacional.</t>
  </si>
  <si>
    <t>Claudinei Ferraz</t>
  </si>
  <si>
    <t>Abertura ao lado do PV. Guarda-corpo abaixo de 1,20m.</t>
  </si>
  <si>
    <t>Trabalhador no interior de PV (espaço confinado) sem medidor de gases na zona respiratória.</t>
  </si>
  <si>
    <t>Não conformidade nos sistemas de sinalização e iluminação da retroescavadeira nº 18 (lanterna traseira direita e farol traseiro direito inoperantes).</t>
  </si>
  <si>
    <t>Deficiência estrutural na base de fixação (concreto com rachaduras e desagregação) do poste do guincho de coluna.  
Deficiência no isolamento da área (ausência de barreiras físicas e sinalização).</t>
  </si>
  <si>
    <t>Veículo com luz de freio queimada no lado esquerdo.</t>
  </si>
  <si>
    <t>CT Pacheco</t>
  </si>
  <si>
    <t>Ausência de placas de sinalização viária no almoxarifado para reposição, embora a Permissão de Trabalho, EPIs e isolamento estivessem conformes.</t>
  </si>
  <si>
    <t>Área de Material e Ferramentas com isolamento insuficiente.Quantidade insuficiente de pranchas na escavação para retirada de haste.</t>
  </si>
  <si>
    <t>A1. Bater contra / Ser atingido por; A3. Risco de queda</t>
  </si>
  <si>
    <t>Colisão causada por terceiro realizando manobra perigosa ("cavalo de pau").  Condutor do veículo envolvido (Kadett BGU-7501) evadiu-se do local.</t>
  </si>
  <si>
    <t>VCA (Vala de Carga/Acesso) do PV 2 não fechada adequadamente.</t>
  </si>
  <si>
    <t>Extintor com pino danificado e exposto diretamente ao solo (falta de suporte).Lacre de segurança do pino do extintor rompido/danificado.</t>
  </si>
  <si>
    <t>Pneus dianteiros da retroescavadeira excessivamente desgastados</t>
  </si>
  <si>
    <t>Tampa da boca de lobo danificada. Sinalização irregular, oferecendo risco de queda a pedestres.</t>
  </si>
  <si>
    <t>Área de atividade com espaços abertos e risco de queda. Vala (VCA) sem escoramento na margem direita</t>
  </si>
  <si>
    <t>Farol dianteiro esquerdo sem funcionamento / Sem trava do capô / Dentes da concha desgastados /Borracha das patolas desgastada.</t>
  </si>
  <si>
    <t>Lanterna do farol alto lado esquerdo apagada. Faixas refletivas da tampa do basculante desgastadas.</t>
  </si>
  <si>
    <t>Retroescavadeira apresenta desgaste no pneu traseiro lado direito.</t>
  </si>
  <si>
    <t>Pneu traseiro lado direito com desgaste acentuado. Extintor de incêndio com visor/manômetro embaçado.</t>
  </si>
  <si>
    <t>Lanterna de freio do caminhão queimada (não ajustada). Extintor de incêndio danificado (aguardando reposição)</t>
  </si>
  <si>
    <t>Colaboradores executando atividades sem o uso de cinto de segurança (NR-35). Andaimes com condições irregulares de montagem, desprovidos de guarda-corpo e de sapatas de apoio (NR-18).</t>
  </si>
  <si>
    <t>Falta ou deficiência na sinalização de advertência e na aplicação correta do sistema "Siga e Pare" em via com manutenção</t>
  </si>
  <si>
    <t>Isolamento e tapumagem da área de trabalho deficientes ou inexistentes.  
Falta de organização e limpeza na área de vivência e de ferramentas.  
Escada de acesso sem ancoragem a cada três metros e sem extensão até o fundo do poço.  
Estrutura do ponto de ancoragem com fissura, amassamento e deformação.  
Falta de sistema de resgate (guincho de coluna) instalado para trabalho em espaço confinado.</t>
  </si>
  <si>
    <t>Ausência de sistema de resgate (guincho de coluna ou equivalente) para execução de trabalho em espaço confinado, conforme a NR-33.</t>
  </si>
  <si>
    <t>Bomba d'água instalada de maneira inadequada. Mangueira do compressor sem dispositivo de antichicoteamento. Check-list de betoneira sem preenchimento e assinatura.</t>
  </si>
  <si>
    <t>Armico montado incorretamente, com falta de parafuso de aperto.</t>
  </si>
  <si>
    <t>Extintor de incêndio avariado. Insuflador de ar (modelo 200) sendo utilizado com duto de ar incompatível (modelo 300)</t>
  </si>
  <si>
    <t>Gerador operando sem o devido aterramento elétrico. Insuflador de ar inoperante (não está funcionando)</t>
  </si>
  <si>
    <t>Guincho de coluna apresenta falhas no momento da elevação de carga.Equipamento sendo operado por um ajudante, função não autorizada para esta atividade.</t>
  </si>
  <si>
    <t>Serra Clipper Nº 293 com o duto de água de resfriamento e o guia de corte inoperantes.</t>
  </si>
  <si>
    <t>Equipe utilizando garrafa PET como funil para o abastecimento de combustível do gerador.</t>
  </si>
  <si>
    <t>Nenhum desvio crítico registrado; obra sinalizada, check-list preenchido e documentação em ordem</t>
  </si>
  <si>
    <t>Nenhum desvio crítico registrado; o relatório atesta que a obra está sinalizada, o check-list está preenchido e as documentações estão em ordem.</t>
  </si>
  <si>
    <t>Serra Clipper Nº 293 com o duto de água (resfriamento e controle de poeira) inoperante. Guia de corte do equipamento inoperante, comprometendo a precisão e segurança da operação.</t>
  </si>
  <si>
    <t>Ferrolho de fechamento da portinhola da escada fixa danificado/quebrado, impedindo o travamento seguro. Condições de fixação da escada não conformes, comprometendo a estabilidade da estrutura.</t>
  </si>
  <si>
    <t>Ausência de sinalização viária adequada no local de trabalho, contrariando a NR-18.</t>
  </si>
  <si>
    <t>Nenhum desvio crítico anotado no check-list; focado na conformidade de EPIs e documentação para atividade de escavação de valas.</t>
  </si>
  <si>
    <t>Informações incompletas no preenchimento do Check-list de equipamento e no registro de DDS</t>
  </si>
  <si>
    <t>Nenhum desvio registrado; o relatório destaca que a equipe está utilizando todos os EPIs e a Permissão de Trabalho está preenchida.</t>
  </si>
  <si>
    <t>Nenhum desvio apontado; atividade de acabamento em PV com uso adequado de equipamentos de segurança</t>
  </si>
  <si>
    <t>Dispositivo trava-quedas apresentando condições inadequadas de uso, comprometendo a eficácia da proteção contra quedas.</t>
  </si>
  <si>
    <t>Preenchimento incorreto e incompleto de documentos obrigatórios (Check-list e DDS), comprometendo a análise de riscos</t>
  </si>
  <si>
    <t>Imperio da Água (Terceira)</t>
  </si>
  <si>
    <t>Caminhão-pipa (Placa NNK6148) encontra-se sem a sirene de ré</t>
  </si>
  <si>
    <t>Nenhum desvio crítico apontado; o relatório registra conformidade em EPIs, sinalização e documentação durante a regularização do PV.</t>
  </si>
  <si>
    <t>Gancho acoplado à retroescavadeira sem trava de segurança, contrariando a NR-11 e NR-12.</t>
  </si>
  <si>
    <t>Nenhum desvio crítico anotado no check-list; focado na sinalização adequada e documentação da transferência do PV 06</t>
  </si>
  <si>
    <t>Obra sem sinalização noturna.  
Gerador sem aterramento.  
Guincho de coluna sem aterramento (embora não estivesse em uso no momento).</t>
  </si>
  <si>
    <t>Preenchimento incorreto de documentos obrigatórios (Checklist e DDS), com informações incompletas.</t>
  </si>
  <si>
    <t>Gerador sem o cabo de aterramento.  
Tomada do equipamento com sinais de derretimento.</t>
  </si>
  <si>
    <t>Equipamento apresentando desarme frequente por possível curto-circuito.  
Necessidade de substituição do grupo gerador para garantir a segurança em espaço confinado.</t>
  </si>
  <si>
    <t>Identificada erosão do solo ao redor do Poço de Visita, com sinais de instabilidade do terreno</t>
  </si>
  <si>
    <t>Colaborador identificado no interior de PV (8 metros de profundidade) sem a devida emissão da PET (Permissão de Entrada e Trabalho).  
Ausência de controle prévio de riscos atmosféricos e de ventilação.</t>
  </si>
  <si>
    <t>Ausência de extintor de incêndio na cabine do equipamento</t>
  </si>
  <si>
    <t>Gerador sem aterramento elétrico (líder orientado sobre a falta do fio para fixar a haste).  
Poço de Visita (PV) sem escada instalada até o final da estrutura.</t>
  </si>
  <si>
    <t>Patola direita com desgaste acentuado.  
Patola esquerda sem a borracha de apoio.  
Pneus com desgastes acentuados e sinais de deterioração.</t>
  </si>
  <si>
    <t>EPIs (jardineira de saneamento) apresentando baixa durabilidade, não suportando as condições de trabalho e rasgando prematuramente.</t>
  </si>
  <si>
    <t>B6. Tronco</t>
  </si>
  <si>
    <t>Escada fixa posicionada de forma inadequada, obstruindo a portiola de acesso e forçando a saída de colaboradores pelo vão lateral.  
Poste para instalação do guincho de coluna apresenta inclinação, indicando instabilidade estrutural.</t>
  </si>
  <si>
    <t>HidroSol (Terceira)</t>
  </si>
  <si>
    <t>Extintor de incêndio sem lacre de segurança.  
Lanterna dianteira direita inoperante.  
Seta dianteira esquerda inoperante.</t>
  </si>
  <si>
    <t>Colaborador (Atilson Sousa Baraúna) avistado transitando na área de serviço sem o uso do EPI (Capacete).  
O relatório destaca que se trata de uma reincidência comportamental.</t>
  </si>
  <si>
    <t>Colisão lateral entre um ônibus e a VTR de apoio ao trânsito.  
A ocorrência resultou em danos materiais na porta esquerda do veículo.</t>
  </si>
  <si>
    <t>Atividade executada sem o devido isolamento da retroescavadeira.  
Atividade pausada para sinalização com cerquite devido à via estreita.</t>
  </si>
  <si>
    <t>Atividade de escavação executada sem isolamento e sinalização no entorno da área de trabalho. 
Classificada como não conformidade gravíssima devido ao fluxo de pedestres.</t>
  </si>
  <si>
    <t>Retroescavadeira (TJC0146) não possui sirene de ré.</t>
  </si>
  <si>
    <t>Nenhum desvio crítico apontado; o relatório registra a conformidade da compactação da vala e preenchimento de documentos.</t>
  </si>
  <si>
    <t>Escada de acesso não está parafusada/fixada.  
Guincho operando sem o devido aterramento elétrico.</t>
  </si>
  <si>
    <t>Insuflador de ar inoperante e com o duto rasgado, comprometendo a ventilação em espaço confinado</t>
  </si>
  <si>
    <t>nsuflador de ar desligado durante atividade em espaço confinado. 
Colaboradores sem o uso da máscara de proteção respiratória PFF2.</t>
  </si>
  <si>
    <t>Utilização inadequada de anéis de Armico fixados com arames como guarda-corpo improvisado.  
Escada de acesso abaixo do nível da rua, impedindo a abertura completa da portiola.  
Poste do guincho sem chumbamento e sem solda na fixação, com risco de tombamento.</t>
  </si>
  <si>
    <t>Colaboradores trabalhando sem o uso de óculos de segurança, em desacordo com a NR-06.</t>
  </si>
  <si>
    <t>B3. Olhos e rosto</t>
  </si>
  <si>
    <t>Retroescavadeira (Placa TIR2A74) operando sem extintor de incêndio</t>
  </si>
  <si>
    <t>Equipamento com três faróis queimados (dois traseiros e um frontal).  
Vazamento de óleo hidráulico.</t>
  </si>
  <si>
    <t>Equipe não possui luva anti impacto.  
Frente de serviço não está sinalizada por completo.</t>
  </si>
  <si>
    <t>Escada não está parafusada.  
Guincho sem o devido aterramento elétrico.</t>
  </si>
  <si>
    <t>Falta de escoramento em vala com aproximadamente 3 metros de profundidade.  
Material escavado depositado na borda da vala, sem o distanciamento mínimo de 1,25 metros.</t>
  </si>
  <si>
    <t>Entrada de colaboradores no interior de vala sem a prévia execução de escoramento ou proteção coletiva (Armco/Blindado).</t>
  </si>
  <si>
    <t>Motorista da empresa Hidrofaz (João Mateus Abi) identificado atuando na obra sem ter passado pelo processo de integração de segurança obrigatório.</t>
  </si>
  <si>
    <t>Preenchimento incorreto do checklist do caminhão, com informações incompletas e inconsistentes em itens de segurança obrigatórios.</t>
  </si>
  <si>
    <t>Falha grave no sistema de estacionamento ("maneco" inoperante).  
Reincidência: o veículo não realizou os reparos apontados em inspeção anterior.</t>
  </si>
  <si>
    <t>Colaborador operando compactador sem luva antivibração e protetor auricular tipo concha.  
Caracterizada reincidência de desvio identificado anteriormente em 29/04/2026</t>
  </si>
  <si>
    <t>B5. Mãos e braços</t>
  </si>
  <si>
    <t>Identificada leve inclinação na estrutura do Poço de Visita (PV 14) antes do início das atividades.  
Risco de comprometimento da estabilidade estrutural.</t>
  </si>
  <si>
    <t>Nenhuma irregularidade encontrada durante a inspeção.  
Apresentado o novo Relatório de Cálculo Estrutural ao líder.</t>
  </si>
  <si>
    <t>Frente de serviço sem o devido isolamento por tapumes ou barreiras físicas.</t>
  </si>
  <si>
    <t>Nenhuma irregularidade encontrada no momento da inspeção.  
Apresentado o novo Relatório de Cálculo Estrutural.</t>
  </si>
  <si>
    <t>Extintor de incêndio obstruído e sem placa de sinalização ao lado da portaria de entrada.
Armários do vestiário danificados.
Ausência de isolamento entre a área comum (Bicicletário) e a área operacional (Pátio de Veículos).
Carpintaria sem extintor de incêndio.
Madeiras armazenadas na carpintaria sem identificação ou destinação.
Área de armazenamento dos tapumes com as pontas dos pregos para cima, gerando risco de perfuração.
Escadas danificadas e armazenadas em locais de fácil acesso, sem a indicação de "PROIBIDO UTILIZAR - DANIFICADA".
Área de solda sem extintor de incêndio.
Área de solda sem a devida sinalização de segurança (Uso Obrigatório de EPI).</t>
  </si>
  <si>
    <t>Leandro Rodrigues</t>
  </si>
  <si>
    <t>Sinalização/isolamento insuficiente ; martelete e compressor sem dispositivo anti-chicoteamento.</t>
  </si>
  <si>
    <t>Escada de acesso ao almoxarifado sem corrimão e sem fita antiderrapante nos degraus.</t>
  </si>
  <si>
    <t>Inspeção veicular no Caminhão Nº 11 identificou a lanterna traseira esquerda inoperante, comprometendo a sinalização de trânsito</t>
  </si>
  <si>
    <t>Inspeção veicular no Caminhão Placa BDL7A44 identificou a seta direita e a luz auxiliar esquerda inoperantes, gerando riscos de acidentes.</t>
  </si>
  <si>
    <t>Documentação não estava preenchida (atividade paralisada para regularização).</t>
  </si>
  <si>
    <t>Local sinalizado apenas com cerquite (orientada a substituição por tapume).</t>
  </si>
  <si>
    <t>CT João Canzi</t>
  </si>
  <si>
    <t>Ausência de sinalização viária adequada (cones, cavaletes e placas)</t>
  </si>
  <si>
    <t>Conjunto oxicorte (maçarico) com mangueiras ressecadas e ausência de válvulas corta-chama.</t>
  </si>
  <si>
    <t>Identificada a ausência de placas de sinalização viária nas vias próximas à área da obra, gerando riscos de acidentes.</t>
  </si>
  <si>
    <t>CT São Lucas</t>
  </si>
  <si>
    <t>A retroescavadeira nº 49 apresentava o pino de fixação de uma das patolas a deslocar-se, comprometendo a estabilidade e gerando risco de acidente (equipamento paralisado de imediato).</t>
  </si>
  <si>
    <t>Escavação com profundidade de 1,40m sem escada para acesso/saída de trabalhadores.</t>
  </si>
  <si>
    <t>Uso de material inadequado no sistema de escoramento da vala, gerando risco de soterramento</t>
  </si>
  <si>
    <t>Uso de escada sem ancoragem (Ato Inseguro).</t>
  </si>
  <si>
    <t>Isolamento insuficiente e insuflador desligado/incompatível com o mangote.</t>
  </si>
  <si>
    <t>Vazamento de óleo hidráulico em equipamento (Munck) contaminando o solo.</t>
  </si>
  <si>
    <t>Trabalho em altura (acima de 2m) realizado sem o uso de cinto de segurança tipo paraquedista.</t>
  </si>
  <si>
    <t>Falta de aterramento do tapume; falta de lavatório no refeitório; escada manual fora de padrão; falta de cadeado no quadro elétrico; poste instalado de forma inadequada (sem documentação técnica).</t>
  </si>
  <si>
    <t>Falhas/ausência de sinalização viária nas proximidades da área da obra.</t>
  </si>
  <si>
    <t>Nenhum desvio</t>
  </si>
  <si>
    <t>Nenhum desvio impeditivo. Relatório de acompanhamento de atividade em área com risco de contaminação química e atmosférica em espaço confinado (PV), registrando o uso correto de todos os EPIs e a realização do monitoramento de gases</t>
  </si>
  <si>
    <t>Abertura no entorno do Poço de Visita (PV) com risco de queda.</t>
  </si>
  <si>
    <t>Vegetação alta (mato) e acúmulo de entulho, propiciando animais peçonhentos.</t>
  </si>
  <si>
    <t>Armazenamento inadequado de materiais (tubos e conexões) obstruindo a área de vivência.</t>
  </si>
  <si>
    <t>Proximidade de rede elétrica aérea sem isolamento de proteção.</t>
  </si>
  <si>
    <t>Na serra Clipper MQS 252, a trava de segurança do disco estava inoperante e a botoeira de emergência não realizava a parada imediata do equipamento</t>
  </si>
  <si>
    <t>Escada de fibra em más condições de uso, apresentando uma avaria estrutural na sua parte inferior.</t>
  </si>
  <si>
    <t>Sem desvio</t>
  </si>
  <si>
    <t>Ausência de guarda-corpo e tela tipo POP em estrutura tipo Armco que se encontra em fase de montagem.</t>
  </si>
  <si>
    <t>Reincidência no PV 11: falta de isolamento, ausência de guarda-corpo na borda da escavação e falta de controle de acesso.</t>
  </si>
  <si>
    <t>Guincho de coluna com haste de fim de curso danificada e irregularidades na trava de segurança do gancho e estrutura</t>
  </si>
  <si>
    <t>Gilvanio / Canário</t>
  </si>
  <si>
    <t>Nenhum desvio impeditivo (Relatório de Análise de Área Contaminada constatou o uso correto de todos os EPIs).</t>
  </si>
  <si>
    <t>Serralheria</t>
  </si>
  <si>
    <t>Presença de fiações elétricas expostas na serralheria, caracterizando risco grave de choque elétrico. Atividade paralisada de imediato</t>
  </si>
  <si>
    <t>Abertura no piso ao redor do PV 11 sem proteção adequada e escada de acesso interna não fixada.</t>
  </si>
  <si>
    <t>Retroescavadeira apresentando vazamento no sistema hidráulico.</t>
  </si>
  <si>
    <t>Retroescavadeira operando em solo instável sem o uso de pranchas de madeira para patolamento.</t>
  </si>
  <si>
    <t>Volume de terra (material de aterro) depositado na borda da vala</t>
  </si>
  <si>
    <t>Emanuel (Goiania)</t>
  </si>
  <si>
    <t>Nenhum desvio. Relatório de adequação atestando que, após as orientações, as equipes regularizaram o uso correto dos óculos de segurança e demais EPIs obrigatórios.</t>
  </si>
  <si>
    <t>Atividade de escavação (beira de córrego com profundidade de 1,80m) planejada para ser realizada sem o uso de sistema de escoramento/contenção.</t>
  </si>
  <si>
    <t>Ausência de guarda-corpo/proteção coletiva na abertura do PV 08 e falta de escada fixa para acesso seguro.</t>
  </si>
  <si>
    <t>Escavação sem a devida sinalização/isolamento e falta de escada de acesso.</t>
  </si>
  <si>
    <t>Soldador operando diâmetro acima de sua qualificação ; ausência de isolamento e tapumes</t>
  </si>
  <si>
    <t>Caminhão basculante operando sem a "carioca" (tela de proteção lateral/superior).</t>
  </si>
  <si>
    <t>Extintor de incêndio do veículo de apoio com carga vencida e sem sinalização.</t>
  </si>
  <si>
    <t>Colaborador realizando lixamento de tubulação sem o uso de protetor facial (viseira) e luvas adequadas.</t>
  </si>
  <si>
    <t>Escavação com cerca de 2,5 metros de profundidade aberta sem a instalação do sistema de contenção (Armco).</t>
  </si>
  <si>
    <t>A retroescavadeira Gdj1h52 operava com os pneus dianteiros carecas, o capô sem trava (abrindo de forma involuntária) e o banco com a trava quebrada, virando a todo o instante.</t>
  </si>
  <si>
    <t>Ausência de sinalização noturna no local da obra</t>
  </si>
  <si>
    <t>Organização e limpeza (5S) deficiente com acúmulo de detritos e restos de comida na frente de obra.</t>
  </si>
  <si>
    <t>GR Drill</t>
  </si>
  <si>
    <t>Colaboradores executando atividades sem a utilização de EPIs obrigatórios (óculos de proteção e protetor auricular).</t>
  </si>
  <si>
    <t>Trabalhadores posicionados/interagindo no interior da escavação sob movimentação de carga suspensa (Risco Grave).</t>
  </si>
  <si>
    <t>Equipe executando atividade em vala sem o devido sistema de escoramento.</t>
  </si>
  <si>
    <t>Armazenamento de tubos PEAD ocupando totalmente a calçada e obstruindo a passagem de pedestres. Risco de movimentação ou rolamento por estar em área inclinada.</t>
  </si>
  <si>
    <t>Deficiência no isolamento perimetral da máquina perfuratriz; implantação de rota de pedestres em desacordo com a largura mínima exigida pela NBR-9050.</t>
  </si>
  <si>
    <t>Atividade de VCA com sinalização adequada e documentação obrigatória preenchida.</t>
  </si>
  <si>
    <t>Foi identificada a movimentação estrutural e inclinação de um poste de utilidade pública localizado na calçada, decorrente de uma escavação de vala realizada nas proximidades na semana anterior.</t>
  </si>
  <si>
    <t>CT Lourdes</t>
  </si>
  <si>
    <t>Identificado processo severo de erosão e trincas no solo no entorno imediato das paredes dos PVs. As barreiras New Jersey de concreto foram posicionadas de maneira inadequada, diretamente sobre a faixa de solo rompida/cedendo, gerando risco iminente de tombamento para dentro da vala e agravamento da erosão. Constatada também ausência de sinalização noturna nos PVs 02 e 03.</t>
  </si>
  <si>
    <t>Acabamento em Poço de Visita (PV) executado sem escoramento/Armco; trabalhadores flagrados sob carga suspensa e ausência de corda guia no içamento</t>
  </si>
  <si>
    <t>Atividade de termofusão/solda PEAD sendo executada em via pública sem barreiras de isolamento ou sinalização preventiva; ausência de preenchimento prévio dos check-lists do gerador e da máquina.</t>
  </si>
  <si>
    <t>Pneu dianteiro esquerdo com rasgo; maçaneta esquerda com dificuldade de abertura; ausência de porca de fixação na roda dianteira esquerda; cabine necessitando de limpeza e organização.</t>
  </si>
  <si>
    <t>Frente de trabalho com sinalização implantada e preenchimento correto de documentos.</t>
  </si>
  <si>
    <t>Constatou-se que os dispositivos de sinalização noturna (sinalizadores luminosos) do PV 16 foram furtados, deixando a abertura e a barreira em via pública sem a devida identificação visual para períodos de baixa luminosidade.</t>
  </si>
  <si>
    <t>Mangote flexível do insuflador mecânico de ar apresentando múltiplos rasgos em sua extensão, comprometendo diretamente a vazão e a renovação de oxigênio em espaço confinado.</t>
  </si>
  <si>
    <t>Retroescavadeira FYG7F29 operando com vazamento de fluido hidráulico ativo no estabilizador esquerdo e no cilindro da concha da pá carregadeira</t>
  </si>
  <si>
    <t>Atividade de solda em tubo PEAD e operação de retroescavadeira sendo executadas sem barreira rígida para segregação e isolamento da área de risco.</t>
  </si>
  <si>
    <t>Caminhão-prancha estacionado em área de declive sem a utilização de calços de roda, gerando risco de movimentação involuntária.</t>
  </si>
  <si>
    <t>Inspeção rotineira atestando sinalização conforme e documentação regularizada.</t>
  </si>
  <si>
    <t>Retroescavadeira com vazamento ativo de óleo diesel no motor, gerando risco de contaminação de solo e princípio de incêndio. / Suporte da mangueira hidráulica com ausência de parafuso de fixação (falta de estabilidade no sistema). / Operador realizando atividades em campo sem portar o check-list diário de inspeção do equipamento.</t>
  </si>
  <si>
    <t>Dispositivo "carioca" (tela de proteção superior/lateral contra projeção de objetos) do caminhão caçamba danificado e amassado, inviabilizando o fechamento seguro da lona do veículo.</t>
  </si>
  <si>
    <t>Erosão ativa e solo instável no entorno do PV; chapas de Armco deformadas/amassadas e presença de acúmulo de água no fundo da escavação.</t>
  </si>
  <si>
    <t>Colaboradores flagrados trabalhando embaixo de carga suspensa (braço da retroescavadeira), sem o uso de óculos de segurança e com falhas no isolamento da vala.</t>
  </si>
  <si>
    <t>Colaborador executando atividade operacional sem fazer uso dos óculos de segurança obrigatórios.</t>
  </si>
  <si>
    <t>Colaborador realizando o corte de pavimento com serra Clipper sem utilizar máscara de proteção respiratória, exposto diretamente à poeira e fuligem.</t>
  </si>
  <si>
    <t>B2. Sistema respiratório</t>
  </si>
  <si>
    <t>Início de atividade em VCA registrando conformidade em documentação, check-lists e uso integral de EPIs.</t>
  </si>
  <si>
    <t>Área de operação de máquina perfuratriz sem isolamento operacional, sem controle de pedestres e sem sistema "Siga e Pare" para coordenação do fluxo de veículos. Falta de isolamento e desvio seguro para pedestres no entorno da perfuratriz.</t>
  </si>
  <si>
    <t>A equipe estava em fase de início da atividade de VCA com toda a documentação e sinalização perimetral em conformidade</t>
  </si>
  <si>
    <t>Colaboradores flagrados executando atividades operacionais em campo sem fazer uso de óculos de segurança e protetor auricular.</t>
  </si>
  <si>
    <t>Desvio de função operacional: motorista flagrado operando e conduzindo caminhão hidrovácuo sem possuir o registro em carteira e capacitação específicos.</t>
  </si>
  <si>
    <t>Motorista flagrado operando caminhão hidrovácuo com ausência de enquadramento funcional e habilitação técnica interna.</t>
  </si>
  <si>
    <t>Veículo pesado (Placa: QIQ9H81) operando com um dos faróis dianteiros queimado; suporte do batente da mola da suspensão com trinca estrutural visível.</t>
  </si>
  <si>
    <t>Colaborador Leandro Moreno flagrado sem capacete; Líder Márcio executando atividades sem óculos de segurança.</t>
  </si>
  <si>
    <t>Desvios no uso de óculos e proteção de crânio pela equipe.</t>
  </si>
  <si>
    <t>Nenhum desvio. DDS realizado com foco em prevenção de interferências com redes de utilidades (gás), com documentação e sinalização em conformidade.</t>
  </si>
  <si>
    <t>Material e terra provenientes da escavação depositados diretamente na borda da vala, descumprindo o limite regulamentar mínimo de afastamento de 1 metro.</t>
  </si>
  <si>
    <t>Colaborador Bruno Falcão atolou na lama no interior do PV e relatou tontura por forte odor de gás (monóxido de carbono do caminhão vácuo). Condições monitoradas, mas gerou resposta de emergência para resgate.</t>
  </si>
  <si>
    <t>Área operacional da escavação com isolamento e sinalização coletiva (tapumes/cerquites) totalmente inadequados, sem prover espaço seguro para circulação de pedestres.</t>
  </si>
  <si>
    <t>tividade de VCA com 1,20 m de profundidade, com área sinalizada, documentos e check-lists devidamente preenchidos e colaboradores utilizando EPIs.</t>
  </si>
  <si>
    <t>Nenhum desvio. Relatório formaliza boas práticas: solo retirado depositado direto no caminhão (sem acúmulo na borda), área isolada e colaboradores com óculos de segurança.</t>
  </si>
  <si>
    <t>Durante atividade de reescavação para instalação de tubo de queda, foi utilizada uma escada portátil posicionada de forma inadequada (ultrapassando mais de 1 metro além da borda de apoio) e sem sistema de guarda-corpo perimetral na abertura</t>
  </si>
  <si>
    <t>Ausência de guarda-corpo no PV (risco de queda). / Ausência de insuflador/exaustor para ventilação mecânica. / Ausência de detector de gases para monitoramento atmosférico contínuo. / Deficiência no isolamento geral e sinalização da área. / Escada de acesso interna sem fixação e estabilização adequadas (solo instável).</t>
  </si>
  <si>
    <t>Constatados sinais de erosão no solo e afundamento no entorno do PV; barreira rígida do tipo New Jersey mal posicionada (instalada sobre a área instável/de erosão, gerando risco de tombamento); prolongamento do tapume insuficiente.</t>
  </si>
  <si>
    <t>Jacson</t>
  </si>
  <si>
    <t>Solo apresentando severa instabilidade estrutural no entorno do PV 02; barreiras New Jersey de concreto pesadas instaladas em condições instáveis e perigosamente próximas ao tapume no PV 03.</t>
  </si>
  <si>
    <t>Incidente registrado: projeção inesperada de fragmento de arame metálico contra a face do funcionário Gabriel durante corte de amarração de tela com alicate.</t>
  </si>
  <si>
    <t>Nenhum desvio. Inspeção em vala de 1,10 m de profundidade, atestando conformidade com documentação e sinalização perimetral.</t>
  </si>
  <si>
    <t>Nenhum desvio operacional. Frentes em espaço confinado operando sob monitoramento atmosférico contínuo e com uso integral de EPIs de saneamento (Luvas de PVC e jardineira).</t>
  </si>
  <si>
    <t>Colaborador realizando atividade de limpeza no interior do PV 03 fazendo uso de luva inadequada para risco químico/saneamento (utilizava luva nitrílica azul Volk em vez da luva de PVC verde impermeável exigida).</t>
  </si>
  <si>
    <t>Identificada a ausência de sinalização viária regulamentar (conforme NR-18) no entorno das atividades de escavação e trabalho em altura executadas na via pública.</t>
  </si>
  <si>
    <t>Excesso de terra/material escavado depositado excessivamente próximo à borda do shaft, gerando sobrecarga e risco de desmoronamento para o interior da abertura.</t>
  </si>
  <si>
    <t>Deficiência na sinalização/isolamento perimetral da área de corte da serra Clipper; ausência de preenchimento dos check-lists diários da serra e da mini escavadeira.</t>
  </si>
  <si>
    <t>O colaborador Eduir Camargo de Faria, operador de retroescavadeira, foi flagrado atuando com a carteirinha de autorização e os treinamentos obrigatórios das normas regulamentadoras vencidos e desatualizados (NR-11, NR-12, NR-18 e reciclagem profissional com validades expiradas).</t>
  </si>
  <si>
    <t>A frente de trabalho foi inspecionada no momento em que iniciava a montagem do sistema de guarda-corpo perimetral, constando área devidamente sinalizada e documentações operacionais preenchidas de forma regular.</t>
  </si>
  <si>
    <t>Rodrigo (Pátio)</t>
  </si>
  <si>
    <t>A prancha utilizada para a descida da mini escavadeira encontra-se danificada e com desalinhamento estrutural, comprometendo a estabilidade da máquina e gerando risco de tombamento.</t>
  </si>
  <si>
    <t>Total</t>
  </si>
  <si>
    <t>Natureza da Lesão</t>
  </si>
  <si>
    <t>Parte do Corpo Atingida</t>
  </si>
  <si>
    <t>Situação Geradora</t>
  </si>
  <si>
    <t>Escoriação ou Ferimento Superficial</t>
  </si>
  <si>
    <t>Crânio</t>
  </si>
  <si>
    <t>Aprisionamento</t>
  </si>
  <si>
    <t>Corte, Laceração ou Ferida Aberta</t>
  </si>
  <si>
    <t>Ouvido</t>
  </si>
  <si>
    <t>Atrito ou Abrasão</t>
  </si>
  <si>
    <t>Contusão ou Esmagamento</t>
  </si>
  <si>
    <t>Olho</t>
  </si>
  <si>
    <t>Batida Contra</t>
  </si>
  <si>
    <t>Distensão ou Torção</t>
  </si>
  <si>
    <t>Nariz</t>
  </si>
  <si>
    <t>Impacto de Objeto</t>
  </si>
  <si>
    <t>Inflamação</t>
  </si>
  <si>
    <t>Boca</t>
  </si>
  <si>
    <t>Queda em Mesmo Nível</t>
  </si>
  <si>
    <t>Luxação</t>
  </si>
  <si>
    <t>Face</t>
  </si>
  <si>
    <t>Queda com Diferença de Nível</t>
  </si>
  <si>
    <t>Fratura</t>
  </si>
  <si>
    <t>Mandíbula</t>
  </si>
  <si>
    <t>Reação do Corpo a Movimento</t>
  </si>
  <si>
    <t>Queimadura ou Escaldadura</t>
  </si>
  <si>
    <t>Pescoço</t>
  </si>
  <si>
    <t>Esforço Excessivo</t>
  </si>
  <si>
    <t>Queimadura por Eletricidade</t>
  </si>
  <si>
    <t>Outras Partes da Cabeça</t>
  </si>
  <si>
    <t>Exposição à Energia Elétrica</t>
  </si>
  <si>
    <t>Queimadura Química</t>
  </si>
  <si>
    <t>Partes Múltiplas da Cabeça</t>
  </si>
  <si>
    <t>Contato com Objeto a Temperatura Extrema</t>
  </si>
  <si>
    <t>Queimadura de Sol</t>
  </si>
  <si>
    <t>Braço (entre o punho e o ombro)</t>
  </si>
  <si>
    <t>Contato com Substância a Temperatura Extrema</t>
  </si>
  <si>
    <t>Congelamento ou Geladura</t>
  </si>
  <si>
    <t>Braço (acima do cotovelo)</t>
  </si>
  <si>
    <t>Exposição à Temperatura Ambiente Extrema</t>
  </si>
  <si>
    <t>Asfixia</t>
  </si>
  <si>
    <t>Cotovelo</t>
  </si>
  <si>
    <t>Inalação de Substância</t>
  </si>
  <si>
    <t>Afogamento</t>
  </si>
  <si>
    <t>Antebraço</t>
  </si>
  <si>
    <t>Ingestão de Substância</t>
  </si>
  <si>
    <t>Estrangulamento</t>
  </si>
  <si>
    <t>Punho</t>
  </si>
  <si>
    <t>Absorção de Substância por Contato</t>
  </si>
  <si>
    <t>Internação ou Insolação</t>
  </si>
  <si>
    <t>Mão</t>
  </si>
  <si>
    <t>Imersão ou Afogamento</t>
  </si>
  <si>
    <t>Eletrocussão</t>
  </si>
  <si>
    <t>Dedo da Mão</t>
  </si>
  <si>
    <t>Exposição à Radiação Não Ionizante</t>
  </si>
  <si>
    <t>Hérnia</t>
  </si>
  <si>
    <t>Partes Múltiplas de Membros Superiores</t>
  </si>
  <si>
    <t>Exposição à Radiação Ionizante</t>
  </si>
  <si>
    <t>Amputação</t>
  </si>
  <si>
    <t>Ombro</t>
  </si>
  <si>
    <t>Exposição ao Ruído</t>
  </si>
  <si>
    <t>Diminuição de Sentido</t>
  </si>
  <si>
    <t>Tórax</t>
  </si>
  <si>
    <t>Exposição à Vibração</t>
  </si>
  <si>
    <t>Perda de Sentido</t>
  </si>
  <si>
    <t>Dorso</t>
  </si>
  <si>
    <t>Exposição à Pressão Ambiente Anormal</t>
  </si>
  <si>
    <t>Concussão Cerebral</t>
  </si>
  <si>
    <t>Abdome</t>
  </si>
  <si>
    <t>Exposição à Poluição</t>
  </si>
  <si>
    <t>Outras Lesões Imediatas</t>
  </si>
  <si>
    <t>Quadris</t>
  </si>
  <si>
    <t>Ataque de Ser Vivo</t>
  </si>
  <si>
    <t>Doença Contagiosa ou Infecciosa</t>
  </si>
  <si>
    <t>Outras partes do Tronco</t>
  </si>
  <si>
    <t>Agressão Física</t>
  </si>
  <si>
    <t>Pneumoconiose</t>
  </si>
  <si>
    <t>Partes Múltiplas do Tronco</t>
  </si>
  <si>
    <t>Outros</t>
  </si>
  <si>
    <t>Dermatose</t>
  </si>
  <si>
    <t>Perna (entre o tornozelo e a pélvis)</t>
  </si>
  <si>
    <t>Envenenamento Sistêmico</t>
  </si>
  <si>
    <t>Coxa</t>
  </si>
  <si>
    <t>Diminuição Mediata de Sentido</t>
  </si>
  <si>
    <t>Joelho</t>
  </si>
  <si>
    <t>Perda Mediata de Sentido</t>
  </si>
  <si>
    <t>Perna (entre o tornozelo e o joelho)</t>
  </si>
  <si>
    <t>Efeito Mediato de Radiação</t>
  </si>
  <si>
    <t>Tornozelo</t>
  </si>
  <si>
    <t>Outras Doenças ou Lesões Mediatas</t>
  </si>
  <si>
    <t>Pé</t>
  </si>
  <si>
    <t>Múltiplas Lesões</t>
  </si>
  <si>
    <t>Dedo do Pé</t>
  </si>
  <si>
    <t>Outras Lesões</t>
  </si>
  <si>
    <t>Partes Múltiplas de Membros Inferiores</t>
  </si>
  <si>
    <t>Partes Múltiplas do Corpo</t>
  </si>
  <si>
    <t>Aparelho Circulatório</t>
  </si>
  <si>
    <t>Aparelho Respiratório</t>
  </si>
  <si>
    <t>Sistema Nervoso</t>
  </si>
  <si>
    <t>Aparelho Digestivo</t>
  </si>
  <si>
    <t>Aparelho Gênito-Urinário</t>
  </si>
  <si>
    <t>Sistema Musculoesquelético</t>
  </si>
  <si>
    <t>Outros Sistemas e Aparelhos</t>
  </si>
  <si>
    <t xml:space="preserve">C. Equipamento de Proteção Coletiva	</t>
  </si>
  <si>
    <t xml:space="preserve">D. Ferramentas e Equipamentos Leves	</t>
  </si>
  <si>
    <t>E. Equipamentos Pesados</t>
  </si>
  <si>
    <t>F. Procedimentos e Técnicas</t>
  </si>
  <si>
    <t xml:space="preserve">G. Organização e Limpeza	</t>
  </si>
  <si>
    <t>C4.</t>
  </si>
  <si>
    <t>C5.</t>
  </si>
  <si>
    <t>C6.</t>
  </si>
  <si>
    <t>F5.</t>
  </si>
  <si>
    <t>F6.</t>
  </si>
  <si>
    <t>E1.</t>
  </si>
  <si>
    <t>C7.</t>
  </si>
  <si>
    <t>Bater contra / Ser atingido por (Ex: retroescavadeira, tráfego local)</t>
  </si>
  <si>
    <t>Cabeça (Ex: capacete sem jugular)</t>
  </si>
  <si>
    <t>Sem isolamento ou Insuficiente (Ex: falta de tapumes/grades na vala)</t>
  </si>
  <si>
    <t>Impróprias para o serviço (Ex: rompedores, bombas de sucção)</t>
  </si>
  <si>
    <t>G1.</t>
  </si>
  <si>
    <t>Local sujo (Ex: lama / efluente espalhado na via pública)</t>
  </si>
  <si>
    <t>Ficar preso / Soterramento (Ex: valas sem escoramento)</t>
  </si>
  <si>
    <t>Sistema respiratório (Ex: gases em PVs)</t>
  </si>
  <si>
    <t>E2.</t>
  </si>
  <si>
    <t>G2.</t>
  </si>
  <si>
    <t>Local desorganizado / Obstrução de calçadas e passagens de pedestres</t>
  </si>
  <si>
    <t>Risco de queda (Ex: valas abertas, poços de visita)</t>
  </si>
  <si>
    <t>Olhos e rosto (Ex: projeção de partículas)</t>
  </si>
  <si>
    <t>E3.</t>
  </si>
  <si>
    <t>G3.</t>
  </si>
  <si>
    <t>Risco de queimadura / Contato térmico</t>
  </si>
  <si>
    <t>Ouvidos (Ex: ruído de martelete)</t>
  </si>
  <si>
    <t>Escoramento divergente do Projeto / Ausência de escoramento de vala</t>
  </si>
  <si>
    <t>E4.</t>
  </si>
  <si>
    <t>G4.</t>
  </si>
  <si>
    <t>Risco de choque elétrico (Ex: redes subterrâneas/aéreas)</t>
  </si>
  <si>
    <t>Mãos e braços (Ex: luvas inadequadas para esgoto/abrasivos)</t>
  </si>
  <si>
    <t>Sinalização Viária Insuficiente (Ex: falta de cones, placas de desvio, barreiras)</t>
  </si>
  <si>
    <t>Ausência de Análise Preliminar de Risco (APR) no local</t>
  </si>
  <si>
    <t>Risco de Contaminação / Agentes biológicos (Ex: esgoto bruto)</t>
  </si>
  <si>
    <t>Tronco (Ex: falta de vestimenta de alta visibilidade)</t>
  </si>
  <si>
    <t>Trabalho em espaço confinado (PV) sem vigia ou exaustão</t>
  </si>
  <si>
    <t>Pés e pernas (Ex: bota de PVC em falta para áreas úmidas)</t>
  </si>
  <si>
    <t>Falta de passadiços / Passarelas para pedestres</t>
  </si>
  <si>
    <t>Esforço inadequado / Movimentação manual de tubos</t>
  </si>
  <si>
    <t>Em condições inseguras (Ex: Extensões elétricas danificadas em contato com água)</t>
  </si>
  <si>
    <t>Não autorizado, Capacitado e Habilitado</t>
  </si>
  <si>
    <t>Condições Inseguras (Ex: Patolamento inadequado de equipamentos em solo instável)</t>
  </si>
  <si>
    <t>E5.</t>
  </si>
  <si>
    <t>Resíduos dispostos incorretamente (Ex: Solo escavado depositado na borda da vala)</t>
  </si>
  <si>
    <t>Organização documental (Ex: A pasta de Segurança está completa e conservada)</t>
  </si>
  <si>
    <t>Não existem projetos / procedimentos escritos (Ex: PET para espaço confinado/PV)</t>
  </si>
  <si>
    <t>Adequados e não seguidos (Ex: Utilização do Trava Quedas)</t>
  </si>
  <si>
    <t>Existente e não seguidos (Ex: Projeto de Armico)</t>
  </si>
  <si>
    <t>Ausência de responsavel (Ex: Operação próxima a redes elétricas ou bordas de valas sem supervisão)</t>
  </si>
  <si>
    <t>Inadequados para atividade (Ex: abertura de vala sem verificação de interferências cadastradas)</t>
  </si>
  <si>
    <t>Retroescavadeira / Caminhão em condições inadequadas (Ex: Sem alarme de ré funcionando ou Vazamento Hidraulico)</t>
  </si>
  <si>
    <t>Falta de isolamento do raio de ação de equipamentos pesados (Ex: Movimentações com caminhão Munck)</t>
  </si>
  <si>
    <t>Não Identificado, Autorizado, Capacitado e Habilitado</t>
  </si>
  <si>
    <t>C8.</t>
  </si>
  <si>
    <t>Insuflação e/ou Exaustão de Ar inadequado (Ex: Não utilização do insuflador de Ar)</t>
  </si>
  <si>
    <t xml:space="preserve">Em condições inseguras (Ex: Falta de Guarda Corpo ou Insuficiente) </t>
  </si>
  <si>
    <t>Postura inadequada</t>
  </si>
  <si>
    <t>D1. Impróprias para o serviço</t>
  </si>
  <si>
    <t>A2. Ficar preso / Soterramento; F2. Não existem procedimentos escritos</t>
  </si>
  <si>
    <t>C5. Sinalização Viária Insuficiente; E1. Retroescavadeira / Caminhão em condições inadequadas</t>
  </si>
  <si>
    <t>C4. Escoramento divergente / Ausência de escoramento</t>
  </si>
  <si>
    <t>C3. Em condições inseguras; E1. Retroescavadeira / Caminhão em condições inadequadas</t>
  </si>
  <si>
    <t>A4. Risco de queimadura / Contato térmico</t>
  </si>
  <si>
    <t>A3. Risco de queda; C4. Escoramento divergente / Ausência de escoramento; D4. Não autorizado, Capacitado e Habilitado</t>
  </si>
  <si>
    <t>E1. Retroescavadeira / Caminhão em condições inadequadas</t>
  </si>
  <si>
    <t>A6. Risco de Contaminação / Agentes biológicos; C3. Em condições inseguras; E1. Retroescavadeira / Caminhão em condições inadequadas</t>
  </si>
  <si>
    <t>A6. Risco de Contaminação / Agentes biológicos</t>
  </si>
  <si>
    <t>A4. Risco de queimadura / Contato térmico; G1. Local sujo</t>
  </si>
  <si>
    <t>A3. Risco de queda; C4. Escoramento divergente / Ausência de escoramento; C5. Sinalização Viária Insuficiente</t>
  </si>
  <si>
    <t>A2. Ficar preso / Soterramento; C4. Escoramento divergente / Ausência de escoramento</t>
  </si>
  <si>
    <t>A4. Risco de queimadura / Contato térmico; A6. Risco de Contaminação / Agentes biológicos; C3. Em condições inseguras; D1. Impróprias para o serviço; E1. Retroescavadeira / Caminhão em condições inadequadas; G4. Resíduos dispostos incorretamente</t>
  </si>
  <si>
    <t>A1. Bater contra / Ser atingido por; C5. Sinalização Viária Insuficiente; D4. Não autorizado, Capacitado e Habilitado; E1. Retroescavadeira / Caminhão em condições inadequadas</t>
  </si>
  <si>
    <t>A3. Risco de queda; C4. Escoramento divergente / Ausência de escoramento; F3. Adequados e não seguidos</t>
  </si>
  <si>
    <t>C7. Falta de passadiços / Passarelas; G2. Local desorganizado / Obstrução</t>
  </si>
  <si>
    <t>A4. Risco de queimadura / Contato térmico; A6. Risco de Contaminação / Agentes biológicos; E1. Retroescavadeira / Caminhão em condições inadequadas</t>
  </si>
  <si>
    <t>C5. Sinalização Viária Insuficiente</t>
  </si>
  <si>
    <t>F3. Adequados e não seguidos</t>
  </si>
  <si>
    <t>A3. Risco de queda; C4. Escoramento divergente / Ausência de escoramento</t>
  </si>
  <si>
    <t>G3. Organização documental</t>
  </si>
  <si>
    <t>B2. Sistema respiratório; B3. Olhos e rosto; C7. Falta de passadiços / Passarelas</t>
  </si>
  <si>
    <t>C3. Em condições inseguras; E1. Retroescavadeira / Caminhão em condições inadequadas; E2. Condições Inseguras equipamentos pesados</t>
  </si>
  <si>
    <t>A1. Bater contra / Ser atingido por; C5. Sinalização Viária Insuficiente</t>
  </si>
  <si>
    <t>C4. Escoramento divergente / Ausência de escoramento; C5. Sinalização Viária Insuficiente</t>
  </si>
  <si>
    <t>A8. Esforço inadequado / Movimentação manual; B7. Pés e pernas</t>
  </si>
  <si>
    <t>E1. Retroescavadeira / Caminhão em condições inadequadas; E2. Condições Inseguras equipamentos pesados</t>
  </si>
  <si>
    <t>A2. Ficar preso / Soterramento; A3. Risco de queda</t>
  </si>
  <si>
    <t>A1. Bater contra / Ser atingido por; C1. Sem isolamento ou Insuficiente; C5. Sinalização Viária Insuficiente</t>
  </si>
  <si>
    <t>F6. Trabalho em espaço confinado sem vigia ou exaustão</t>
  </si>
  <si>
    <t>C4. Escoramento divergente / Ausência de escoramento; F2. Não existem procedimentos escritos; F3. Adequados e não seguidos</t>
  </si>
  <si>
    <t>A1. Bater contra / Ser atingido por; B7. Pés e pernas; C7. Falta de passadiços / Passarelas</t>
  </si>
  <si>
    <t>C4. Escoramento divergente / Ausência de escoramento; F2. Não existem procedimentos escritos</t>
  </si>
  <si>
    <t>B1. Cabeça; B3. Olhos e rosto</t>
  </si>
  <si>
    <t>D4. Não autorizado, Capacitado e Habilitado</t>
  </si>
  <si>
    <t>A1. Bater contra / Ser atingido por; C1. Sem isolamento ou Insuficiente; C5. Sinalização Viária Insuficiente; C7. Falta de passadiços / Passarelas</t>
  </si>
  <si>
    <t>C7. Falta de passadiços / Passarelas</t>
  </si>
  <si>
    <t>A4. Risco de queimadura / Contato térmico; B4. Ouvidos</t>
  </si>
  <si>
    <t>C3. Em condições inseguras; C5. Sinalização Viária Insuficiente</t>
  </si>
  <si>
    <t>A3. Risco de queda; B1. Cabeça</t>
  </si>
  <si>
    <t>A2. Ficar preso / Soterramento; B2. Sistema respiratório</t>
  </si>
  <si>
    <t>C5. Sinalização Viária Insuficiente; C7. Falta de passadiços / Passarelas</t>
  </si>
  <si>
    <t>C3. Em condições inseguras; C5. Sinalização Viária Insuficiente; E1. Retroescavadeira / Caminhão em condições inadequadas</t>
  </si>
  <si>
    <t>A6. Risco de Contaminação / Agentes biológicos; G2. Local desorganizado / Obstrução</t>
  </si>
  <si>
    <t>A2. Ficar preso / Soterramento; C3. Em condições inseguras; C8. Insuflação e/ou Exaustão de Ar inadequado</t>
  </si>
  <si>
    <t>C3. Em condições inseguras; C4. Escoramento divergente / Ausência de escoramento</t>
  </si>
  <si>
    <t>F2. Não existem procedimentos escritos</t>
  </si>
  <si>
    <t>B2. Sistema respiratório; C8. Insuflação e/ou Exaustão de Ar inadequado</t>
  </si>
  <si>
    <t>C3. Em condições inseguras; C8. Insuflação e/ou Exaustão de Ar inadequado</t>
  </si>
  <si>
    <t>A4. Risco de queimadura / Contato térmico; E1. Retroescavadeira / Caminhão em condições inadequadas</t>
  </si>
  <si>
    <t>A1. Bater contra / Ser atingido por; C1. Sem isolamento ou Insuficiente</t>
  </si>
  <si>
    <t>A3. Risco de queda; B1. Cabeça; B3. Olhos e rosto; B5. Mãos e braços; F2. Não existem procedimentos escritos</t>
  </si>
  <si>
    <t>C8. Insuflação e/ou Exaustão de Ar inadequado</t>
  </si>
  <si>
    <t>C5. Sinalização Viária Insuficiente; F2. Não existem procedimentos escritos</t>
  </si>
  <si>
    <t>C1. Sem isolamento ou Insuficiente; C4. Escoramento divergente / Ausência de escoramento</t>
  </si>
  <si>
    <t>A4. Risco de queimadura / Contato térmico; C3. Em condições inseguras</t>
  </si>
  <si>
    <t>A3. Risco de queda; C3. Em condições inseguras; C5. Sinalização Viária Insuficiente; C7. Falta de passadiços / Passarelas</t>
  </si>
  <si>
    <t>A4. Risco de queimadura / Contato térmico; C3. Em condições inseguras; E1. Retroescavadeira / Caminhão em condições inadequadas</t>
  </si>
  <si>
    <t>A3. Risco de queda; E1. Retroescavadeira / Caminhão em condições inadequadas</t>
  </si>
  <si>
    <t>A2. Ficar preso / Soterramento</t>
  </si>
  <si>
    <t>A4. Risco de queimadura / Contato térmico; C3. Em condições inseguras; C8. Insuflação e/ou Exaustão de Ar inadequado</t>
  </si>
  <si>
    <t>B1. Cabeça</t>
  </si>
  <si>
    <t>C4. Escoramento divergente / Ausência de escoramento; G4. Resíduos dispostos incorretamente</t>
  </si>
  <si>
    <t>B4. Ouvidos; B5. Mãos e braços</t>
  </si>
  <si>
    <t>A1. Bater contra / Ser atingido por; A4. Risco de queimadura / Contato térmico; B4. Ouvidos; C3. Em condições inseguras; C5. Sinalização Viária Insuficiente</t>
  </si>
  <si>
    <t>C1. Sem isolamento ou Insuficiente; C8. Insuflação e/ou Exaustão de Ar inadequado</t>
  </si>
  <si>
    <t>C3. Em condições inseguras; E4. Falta de isolamento do raio de ação</t>
  </si>
  <si>
    <t>A1. Bater contra / Ser atingido por; A5. Risco de choque elétrico; D4. Não autorizado, Capacitado e Habilitado</t>
  </si>
  <si>
    <t>C5. Sinalização Viária Insuficiente; G2. Local desorganizado / Obstrução</t>
  </si>
  <si>
    <t>G4. Resíduos dispostos incorretamente</t>
  </si>
  <si>
    <t>A4. Risco de queimadura / Contato térmico; C5. Sinalização Viária Insuficiente</t>
  </si>
  <si>
    <t>B3. Olhos e rosto; B5. Mãos e braços</t>
  </si>
  <si>
    <t>B3. Olhos e rosto; B4. Ouvidos</t>
  </si>
  <si>
    <t>E4. Falta de isolamento do raio de ação</t>
  </si>
  <si>
    <t>C5. Sinalização Viária Insuficiente; D4. Não autorizado, Capacitado e Habilitado</t>
  </si>
  <si>
    <t>A2. Ficar preso / Soterramento; C8. Insuflação e/ou Exaustão de Ar inadequado</t>
  </si>
  <si>
    <t>B7. Pés e pernas</t>
  </si>
  <si>
    <t>G1. Local sujo</t>
  </si>
  <si>
    <t>A1. Bater contra / Ser atingido por; C5. Sinalização Viária Insuficiente; C7. Falta de passadiços / Passarelas</t>
  </si>
  <si>
    <t>A3. Risco de queda; C5. Sinalização Viária Insuficiente</t>
  </si>
  <si>
    <t>C1. Sem isolamento ou Insuficiente</t>
  </si>
  <si>
    <t>A2. Ficar preso / Soterramento; A3. Risco de queda; C4. Escoramento divergente / Ausência de escoramento</t>
  </si>
  <si>
    <t>A2. Ficar preso / Soterramento; A5. Risco de choque elétrico</t>
  </si>
  <si>
    <t>A8. Esforço inadequado / Movimentação manual; C3. Em condições inseguras; D1. Impróprias para o serviço</t>
  </si>
  <si>
    <t>C3. Em condições inseguras; C5. Sinalização Viária Insuficiente; D3. Em condições inseguras</t>
  </si>
  <si>
    <t>D3. Em condições inseguras</t>
  </si>
  <si>
    <t>A5. Risco de choque elétrico; F1. Inadequados para atividade</t>
  </si>
  <si>
    <t>A2. Ficar preso / Soterramento; G1. Local sujo; G4. Resíduos dispostos incorretamente</t>
  </si>
  <si>
    <t>A2. Ficar preso / Soterramento; G1. Local sujo</t>
  </si>
  <si>
    <t>A1. Bater contra / Ser atingido por; A2. Ficar preso / Soterramento; A3. Risco de queda; B7. Pés e pernas</t>
  </si>
  <si>
    <t>A1. Bater contra / Ser atingido por; A2. Ficar preso / Soterramento; A3. Risco de queda; B7. Pés e pernas; D4. Não autorizado, Capacitado e Habilitado</t>
  </si>
  <si>
    <t>A2. Ficar preso / Soterramento; A5. Risco de choque elétrico; A6. Risco de Contaminação / Agentes biológicos; C3. Em condições inseguras</t>
  </si>
  <si>
    <t>A3. Risco de queda; C3. Em condições inseguras; D3. Em condições inseguras</t>
  </si>
  <si>
    <t>C3. Em condições inseguras; C8. Insuflação e/ou Exaustão de Ar inadequado; D3. Em condições inseguras</t>
  </si>
  <si>
    <t>D3. Em condições inseguras; E1. Retroescavadeira / Caminhão em condições inadequadas</t>
  </si>
  <si>
    <t>A2. Ficar preso / Soterramento; C5. Sinalização Viária Insuficiente; D3. Em condições inseguras</t>
  </si>
  <si>
    <t>A2. Ficar preso / Soterramento; A3. Risco de queda; D3. Em condições inseguras; G2. Local desorganizado / Obstrução</t>
  </si>
  <si>
    <t>A2. Ficar preso / Soterramento; D3. Em condições inseguras</t>
  </si>
  <si>
    <t>A5. Risco de choque elétrico; C3. Em condições inseguras; C8. Insuflação e/ou Exaustão de Ar inadequado</t>
  </si>
  <si>
    <t>A5. Risco de choque elétrico; C5. Sinalização Viária Insuficiente; D3. Em condições inseguras</t>
  </si>
  <si>
    <t>A3. Risco de queda; A5. Risco de choque elétrico; D3. Em condições inseguras</t>
  </si>
  <si>
    <t>A5. Risco de choque elétrico; D3. Em condições inseguras</t>
  </si>
  <si>
    <t>C3. Em condições inseguras; D3. Em condições inseguras</t>
  </si>
  <si>
    <t>C4. Escoramento divergente / Ausência de escoramento; E1. Retroescavadeira / Caminhão em condições inadequadas; E2. Condições Inseguras equipamentos pesados</t>
  </si>
  <si>
    <t>A2. Ficar preso / Soterramento; C5. Sinalização Viária Insuficiente</t>
  </si>
  <si>
    <t>A8. Esforço inadequado / Movimentação manual; C4. Escoramento divergente / Ausência de escoramento</t>
  </si>
  <si>
    <t>A4. Risco de queimadura / Contato térmico; A6. Risco de Contaminação / Agentes biológicos; C3. Em condições inseguras; E1. Retroescavadeira / Caminhão em condições inadequadas</t>
  </si>
  <si>
    <t>A2. Ficar preso / Soterramento; E2. Condições Inseguras equipamentos pesados</t>
  </si>
  <si>
    <t>B3. Olhos e rosto; E1. Retroescavadeira / Caminhão em condições inadequadas</t>
  </si>
  <si>
    <t>A1. Bater contra / Ser atingido por; A2. Ficar preso / Soterramento; C5. Sinalização Viária Insuficiente</t>
  </si>
  <si>
    <t>A1. Bater contra / Ser atingido por; A2. Ficar preso / Soterramento; B7. Pés e pernas; C5. Sinalização Viária Insuficiente</t>
  </si>
  <si>
    <t>D1. Impróprias para o serviço; E1. Retroescavadeira / Caminhão em condições inadequadas</t>
  </si>
  <si>
    <t>A1. Bater contra / Ser atingido por; C5. Sinalização Viária Insuficiente; F2. Não existem procedimentos escritos</t>
  </si>
  <si>
    <t>A2. Ficar preso / Soterramento; A3. Risco de queda; A6. Risco de Contaminação / Agentes biológicos; C3. Em condições inseguras; G4. Resíduos dispostos incorretamente</t>
  </si>
  <si>
    <t>A3. Risco de queda; B7. Pés e pernas; C4. Escoramento divergente / Ausência de escoramento</t>
  </si>
  <si>
    <t>A6. Risco de Contaminação / Agentes biológicos; F2. Não existem procedimentos escritos</t>
  </si>
  <si>
    <t>A1. Bater contra / Ser atingido por; C1. Sem isolamento ou Insuficiente; C3. Em condições inseguras</t>
  </si>
  <si>
    <t>F1. Inadequados para atividade</t>
  </si>
  <si>
    <t>G2. Local desorganizado / Obstrução</t>
  </si>
  <si>
    <t>A1. Bater contra / Ser atingido por; B6. Tronco; C5. Sinalização Viária Insuficiente</t>
  </si>
  <si>
    <t>A8. Esforço inadequado / Movimentação manual</t>
  </si>
  <si>
    <t>D1. Impróprias para o serviço; D3. Em condições inseguras</t>
  </si>
  <si>
    <t>A2. Ficar preso / Soterramento; A3. Risco de queda; D3. Em condições inseguras</t>
  </si>
  <si>
    <t>C2. Inadequados para atividade; C3. Em condições inseguras</t>
  </si>
  <si>
    <t>A3. Risco de queda; C4. Escoramento divergente / Ausência de escoramento; D3. Em condições inseguras; E2. Condições Inseguras equipamentos pesados</t>
  </si>
  <si>
    <t>C1. Sem isolamento ou Insuficiente; C3. Em condições inseguras; C5. Sinalização Viária Insuficiente</t>
  </si>
  <si>
    <t>STATUS</t>
  </si>
  <si>
    <t>Atendido</t>
  </si>
  <si>
    <t>Monitoramento Incorreto ou Equipamento danificado (Ex: Detector de gás)</t>
  </si>
  <si>
    <t>A2. Ficar preso / Soterramento; A3. Risco de queda; A8. Esforço inadequado / Movimentação manual; B2. Sistema respiratório; Monitoramento Incorreto ou Equipamento danificado (Ex: Detector de gás); F2. Não existem procedimentos escritos</t>
  </si>
  <si>
    <t>A3. Risco de queda; B2. Sistema respiratório; C5. Sinalização Viária Insuficiente; Monitoramento Incorreto ou Equipamento danificado (Ex: Detector de gás); C8. Insuflação e/ou Exaustão de Ar inadequado; E2. Condições Inseguras equipamentos pesados</t>
  </si>
  <si>
    <t>INSPEÇÃO EM SAÚDE E SEGURANÇA DO TRABALHO</t>
  </si>
  <si>
    <t>Endereço da Obra:</t>
  </si>
  <si>
    <t>Equipe:</t>
  </si>
  <si>
    <t>1- RISCOS ASSOCIADOS A ATIVIDADE</t>
  </si>
  <si>
    <t>LEGENDA</t>
  </si>
  <si>
    <t>C</t>
  </si>
  <si>
    <t>CONFORME</t>
  </si>
  <si>
    <t>NC</t>
  </si>
  <si>
    <t>NÃO CONFORME</t>
  </si>
  <si>
    <t>NA</t>
  </si>
  <si>
    <t>NÃO APLICÁVEL</t>
  </si>
  <si>
    <r>
      <rPr>
        <b/>
        <sz val="6"/>
        <color theme="1"/>
        <rFont val="Arial"/>
        <family val="2"/>
      </rPr>
      <t>CONSÓRCIO DESENVOLVIMENTO SUSTENTÁVEL INTEGRA - 6A</t>
    </r>
    <r>
      <rPr>
        <sz val="6"/>
        <color theme="1"/>
        <rFont val="Arial"/>
        <family val="2"/>
      </rPr>
      <t xml:space="preserve"> - CNPJ: 58.750.016/0001-00 está localizado na
 Av. TANCREDO DE ALMEIDA NEVES N° 2840 - FERRAZ DE VASCONCELOS - SP - CEP 08539-000</t>
    </r>
  </si>
  <si>
    <t>Data Emissão</t>
  </si>
  <si>
    <t>Nº Frota</t>
  </si>
  <si>
    <t>______/_______/_______</t>
  </si>
  <si>
    <r>
      <t>Horário:</t>
    </r>
    <r>
      <rPr>
        <sz val="9"/>
        <color theme="1"/>
        <rFont val="Calibri"/>
        <family val="2"/>
        <scheme val="minor"/>
      </rPr>
      <t xml:space="preserve">  ________</t>
    </r>
    <r>
      <rPr>
        <b/>
        <sz val="12"/>
        <color theme="1"/>
        <rFont val="Calibri"/>
        <family val="2"/>
        <scheme val="minor"/>
      </rPr>
      <t>:</t>
    </r>
    <r>
      <rPr>
        <sz val="9"/>
        <color theme="1"/>
        <rFont val="Calibri"/>
        <family val="2"/>
        <scheme val="minor"/>
      </rPr>
      <t>________</t>
    </r>
  </si>
  <si>
    <r>
      <t xml:space="preserve">Relatório Nº </t>
    </r>
    <r>
      <rPr>
        <sz val="9"/>
        <color theme="1"/>
        <rFont val="Calibri"/>
        <family val="2"/>
        <scheme val="minor"/>
      </rPr>
      <t xml:space="preserve"> _______/26</t>
    </r>
  </si>
  <si>
    <t>Bater contra / Ser atingido por 
(Ex: retroescavadeira, tráfego local)</t>
  </si>
  <si>
    <t>Ficar preso / Soterramento 
(Ex: valas sem escoramento)</t>
  </si>
  <si>
    <t>Risco de queda (Ex: valas abertas, poços
de visita)</t>
  </si>
  <si>
    <t>Risco de choque elétrico (Ex: redes
subterrâneas/aéreas)</t>
  </si>
  <si>
    <t>Risco de Contaminação / Agentes 
biológicos (Ex: esgoto bruto)</t>
  </si>
  <si>
    <t>Esforço inadequado / Movimentação
 manual de tubos</t>
  </si>
  <si>
    <t>B. Equipamento de Proteção Individual</t>
  </si>
  <si>
    <t>C. Equipamento de Proteção Coletiva</t>
  </si>
  <si>
    <t>D. Ferramentas e Equipamentos Leves</t>
  </si>
  <si>
    <t>G. Organização e Limpeza</t>
  </si>
  <si>
    <t>F7.</t>
  </si>
  <si>
    <t>PAE no local e compreendido pela equipe.</t>
  </si>
  <si>
    <t>Condições Inseguras (Ex: Patolamento inadequado de equip. em solo instável)</t>
  </si>
  <si>
    <t>Retroescavadeira / Caminhão em cond. inadequadas (Ex: Prob. Mecân)</t>
  </si>
  <si>
    <t>Sem isolamento do raio de ação de equip. pesados (Ex: Caminhão Munck)</t>
  </si>
  <si>
    <t>Monitoramento Incorreto ou Equip. danificado (Ex: Detector de gás)</t>
  </si>
  <si>
    <t>Insuflação e/ou Exaustão de Ar inad. (Ex: Não utilização do insuflador de Ar)</t>
  </si>
  <si>
    <t>Ausência de resp.(Ex: Op. próxima a redes elét. ou valas sem supervisão)</t>
  </si>
  <si>
    <t>Inadequados p/ atividade (Ex: abertura de vala s/verificação de interferências)</t>
  </si>
  <si>
    <t>Não existem projetos / procedimentos escritos (Ex: PET para espaço conf./PV)</t>
  </si>
  <si>
    <t>Resíduos dispostos incorretamente (Ex: Solo escavado deposit. na borda da vala</t>
  </si>
  <si>
    <t>2 - DDS - Diálogo Diário de Segurança - Inspeção de Segurança do Trabalho / Comportamentos de Risco</t>
  </si>
  <si>
    <t>Tema do DDS do dia:</t>
  </si>
  <si>
    <r>
      <t>Apontamentos relativos a Comportamentos Inseguros (1.1):</t>
    </r>
    <r>
      <rPr>
        <sz val="9"/>
        <color theme="0" tint="-0.14999847407452621"/>
        <rFont val="Calibri"/>
        <family val="2"/>
        <scheme val="minor"/>
      </rPr>
      <t xml:space="preserve"> Inserir nome dos funcionários</t>
    </r>
  </si>
  <si>
    <t>2.1 -  "Não Conformidades" Identificadas</t>
  </si>
  <si>
    <t>2.2 - Adoção de Medidas Corretivas para " Não Conformidades"</t>
  </si>
  <si>
    <t>Item</t>
  </si>
  <si>
    <t>2.3 - "Não Conformidades" para Adequação posterior a "Inspeção de Segurança do Trabalho"</t>
  </si>
  <si>
    <t xml:space="preserve">                        Responsável Equipe                                              Supervisor/Encarregado de obras                               Eng° Segurança Trabalho                                         Téc. Segurança Trabalho</t>
  </si>
  <si>
    <t>Imagem N° 01</t>
  </si>
  <si>
    <t>Imagem N° 02</t>
  </si>
  <si>
    <t>Imagem N° 03</t>
  </si>
  <si>
    <t>Imagem N° 04</t>
  </si>
  <si>
    <t>Imagem N° 05</t>
  </si>
  <si>
    <t>Imagem N° 06</t>
  </si>
  <si>
    <t>CT Machado</t>
  </si>
  <si>
    <t>Caminhão Basculante Placa FOJ3H13 com pneus carecas (risco de perda de tração), dificuldade de engate da 1ª mudança e assento da cabine secundária com encosto partido.</t>
  </si>
  <si>
    <t>Execução de atividades de obras e movimentação de terras na via pública sem qualquer isolamento físico perimetral ou barreiras de sinalização.</t>
  </si>
  <si>
    <t>Solo e material proveniente da escavação armazenados diretamente na borda/crista da vala, gerando sobrecarga estática e risco de queda de detritos sobre os trabalhadores.</t>
  </si>
  <si>
    <t>E2. Equipamento/Material em solo instável; G2. Local desorganizado</t>
  </si>
  <si>
    <t>Fabio Encarregado</t>
  </si>
  <si>
    <t>Identificada erosão severa de solo na via, comprometendo a estabilidade estrutural para tráfego de cargas. Área interditada para trânsito de camiões e retroescavadeiras até à contenção.</t>
  </si>
  <si>
    <t>E2. Equipamento/Material em solo instável (Risco de afundamento)</t>
  </si>
  <si>
    <t>Retroescavadeira de identificação BTS9A80 flagrada em operação em campo com ausência total do extintor de incêndio veicular.</t>
  </si>
  <si>
    <t>E1. Retroescavadeira / Camião em condições inadequadas</t>
  </si>
  <si>
    <t>Retroescavadeira prefixo FYG7F29 operando com vazamento hidráulico crítico e ativo no cilindro da concha da pá carregadeira.</t>
  </si>
  <si>
    <t>E1. Retroescavadeira em condições inadequadas; G1. Local sujo (Contaminação do solo por óleo)</t>
  </si>
  <si>
    <t>Inspeção programada na retroescavadeira FYG7F29 constatou preenchimento de check-lists diários regularizado, sinalização perimetral conforme e equipa alinhada.</t>
  </si>
  <si>
    <t>Inspeção técnica em atividade de VCA (1,20 m de profundidade) atestou organização, limpeza, check-lists assinados e uso integral de EPIs pela equipa de Márcio.</t>
  </si>
  <si>
    <t>Frente com documentação e sinalização OK. Registrou o cumprimento de procedimentos com funcionários usando cinto/talabarte na área aberta do Armco, instalação de aterramento elétrico na talha e adequação de capacete de aço conforme solicitado.</t>
  </si>
  <si>
    <t>Nenhum desvio. Inspeção de rotina constatou documentação preenchida, canteiro devidamente isolado e equipe seguindo integralmente as normas de adornos zero e procedimentos internos.</t>
  </si>
  <si>
    <t>Nenhum desvio. Inspeção formalizou escavação em andamento com local devidamente sinalizado e documentação em conformidade.</t>
  </si>
  <si>
    <t>Nenhum desvio. Registro de boas práticas na execução de compactação mecânica de solo com isolamento e procedimentos seguidos pela equipe.</t>
  </si>
  <si>
    <t>CT Elvira</t>
  </si>
  <si>
    <t>Nenhum desvio. Inspeção de canteiro perimetral constatou local bem isolado, guarda-corpo instalado de forma padronizada e documentações civis preenchidas.</t>
  </si>
  <si>
    <t>Nenhum desvio. Auditoria em espaço confinado registrou permissão de trabalho de escavação preenchida, insuflador ativo com tripé montado e local devidamente sinalizado.</t>
  </si>
  <si>
    <t>CT Conj. União</t>
  </si>
  <si>
    <t>Nenhum desvio. Acompanhamento de rotina registrando conformidade na montagem de Armco, preenchimento de check-lists e operação mecânica de retroescavadeira sem anomalias.</t>
  </si>
  <si>
    <t>O colaborador Adauto Rodrigues de Souza (Operador de Máquinas II) foi flagrado no interior da frente de trabalho sem fazer uso do EPI obrigatório de proteção para a cabeça (capacete de segurança).</t>
  </si>
  <si>
    <t>Risco Geotécnico de Desmoronamento. Frente de trabalho apresentou instabilidade de solo crítica em zona de escavação, com trabalhadores posicionados próximos à área afetada antes da evacuação preventiva e aplicação de DDS de alerta.</t>
  </si>
  <si>
    <t>A2. Ficar preso / Soterramento (Ex: valas sem escoramento)</t>
  </si>
  <si>
    <t>A2. Ficar preso / Soterramento (Ex: valas sem escoramento) / C4. Escoramento divergente do Projeto / Ausência de escoramento de vala</t>
  </si>
  <si>
    <t>Abertura de Vala Desprotegida. Abertura de vala com profundidade aproximada de 1,50 m sendo executada sem a instalação prévia de sistema de escoramento perimetral, agravada por condições climáticas desfavoráveis (garoa leve) com risco de perda de coesão do solo.</t>
  </si>
  <si>
    <t>Ruptura de Infraestrutura Subterrânea. Rede pública de serviços atingida de forma acidental durante operações de escavação mecânica, resultando no extravasamento massivo de efluente/material sobre o solo e leito carroçável da via pública.</t>
  </si>
  <si>
    <t>F1. Inadequados para atividade (Ex: abertura de vala sem verificação de interferências cadastradas) / G1. Local sujo (Ex: lama / efluente espalhado na via pública)</t>
  </si>
  <si>
    <t>Intervenção Irregular em Redes de Utilidades. Fixação improvisada de corda diretamente sobre cabos aéreos de telecomunicação de terceiros para erguer a fiação e abrir gabarito para a retroescavadeira, sem projeto, cálculo mecânico ou liberação técnica das operadoras.</t>
  </si>
  <si>
    <t>Eng. Eloizio</t>
  </si>
  <si>
    <t>D2. Usadas incorretamente / E2. Condições Inseguras / F3. Adequados e não seguidos</t>
  </si>
  <si>
    <t>F2. Não existem projetos / procedimentos escritos (Ex: PET para espaço confinado/PV) / F3. Adequados e não seguidos (Ex: Utilização do Trava Quedas)</t>
  </si>
  <si>
    <t>Operação sem Permissão e Recusa de EPI. Início de atividades em espaço confinado (PV) e em altura sem as assinaturas de validação e liberação das respectivas PET e PT; colaborador flagrado no interior da frente de serviço tendo removido o cinturão paraquedista de uso obrigatório.</t>
  </si>
  <si>
    <t>Valmir Encarregado</t>
  </si>
  <si>
    <t>Içamento de Carga Crítico Inseguro. Operação com caminhão Munck utilizando pranchas de madeira danificadas/rachadas para o patolamento; posicionamento do veículo pesado sobre solo lamacento instável com risco de afundamento; uso inadequado de ganchos de quatro pontas sem cintas apropriadas; execução sem a emissão de Permissão de Trabalho (PT).</t>
  </si>
  <si>
    <t>E2. Patolamento inadequado de equipamentos em solo instável / F2. Não existem projetos / procedimentos escritos / C2. Inadequados para atividade</t>
  </si>
  <si>
    <t>Tentativa Insegura de Acesso à Vala. Intervenção preventiva da engenharia civil ao flagrar colaborador posicionado em escada portátil com clara intenção de adentrar vala profunda sem a implantação prévia das medidas de proteção coletiva perimetrais.</t>
  </si>
  <si>
    <t>F3. Adequados e não seguidos / A3. Risco de queda (Ex: valas abertas, poços de visita)</t>
  </si>
  <si>
    <t>Não Utilização de EPI de Proteção de Membros. Flagrante em campo evidenciado também via comunicação interna (Grupo Sismo Integra 6A) onde a equipe realizava atividades operacionais sem fazer o uso obrigatório de luvas de raspa/proteção.</t>
  </si>
  <si>
    <t>B5. Mãos e braços (Ex: luvas inadequadas para esgoto/abrasivos) / F3. Adequados e não seguidos</t>
  </si>
  <si>
    <t>Falha de Implemento / Queda de Carga. Ocorrência de falha ou desprendimento acidental do implemento Clamshell da escavação mecânica durante preenchimento de poço (PV4) com rachão, resultando no desabamento do componente para o fundo do poço (sem lesões a pessoas).</t>
  </si>
  <si>
    <t>E1. Retroescavadeira / Caminhão em condições inadequadas (Ex: Sem alarme de ré funcionando ou Vazamento Hidráulico) / F3. Adequados e não seguidos</t>
  </si>
  <si>
    <t>Risco Elétrico e de Incêndio. Atividade de soldagem PEAD executada sem extintor de incêndio próximo; ausência de Análise Preliminar de Risco (APR) na frente de serviço; utilização de extensão elétrica com isolamento danificado e sem plugue industrial adequado.</t>
  </si>
  <si>
    <t>A5. Risco de choque elétrico / D3. Em condições inseguras (Extensões elétricas danificadas) / F5. Ausência de Análise Preliminar de Risco (APR) no local</t>
  </si>
  <si>
    <t>Nencho desvio registrado. Auditoria em campo atestou conformidade operacional nas frentes de VCA e espaço confinado (PV), com monitoramento contínuo de gases em parâmetros normais, uso de EPIs e preenchimento integral de PET, PT e DDS.</t>
  </si>
  <si>
    <t>Falhas de Sinalização e de Frenagem. Caminhão limpa-fossa Vacal (Placa RLM0E63) operando com farol esquerdo queimado, lanterna traseira sem lente de proteção, retrovisor direito fixado com arame e falha no freio de estacionamento (maneco), além do uso improvisado de uma pedra como calço de roda.</t>
  </si>
  <si>
    <t>E1. Retroescavadeira / Caminhão em condições inadequadas / E2. Patolamento inadequado de equipamentos em solo instável</t>
  </si>
  <si>
    <t>Nenhum desvio registrado. Equipe operando em total conformidade com os procedimentos preventivos em espaço confinado e altura; Plano de Atendimento Emergencial (PAE) e Plano de Resgate disponíveis e compreendidos na vivência.</t>
  </si>
  <si>
    <t>Deficiência de Fixação Estrutural. Elementos do revestimento metálico do Armco instalados sem fixação por parafusos em múltiplos pontos previstos no projeto, sob a justificativa de interferência com sapatas e vigas de concreto de muro vizinho.</t>
  </si>
  <si>
    <t>C3. Em condições inseguras (Ex: Falta de Guarda Corpo ou Insuficiente) / F3. Adequados e não seguidos</t>
  </si>
  <si>
    <t>Sinalização Inoperante de Frota. Caminhão basculante de transporte (Placa HN06J06) operando na frente de serviço com a luz de freio da lanterna traseira direita queimada, comprometendo a sinalização visual de frenagem.</t>
  </si>
  <si>
    <t>Vazamento de Hidrocarbonetos. Retroescavadeira prefixo EVV 5010 apresentando vazamento de óleo lubrificante/hidráulico em sua parte inferior, com presença de gotejamento crônico e poças de óleo acumuladas no solo.</t>
  </si>
  <si>
    <t>E1. Retroescavadeira / Caminhão em condições inadequadas (Ex: Sem alarme de ré funcionando ou Vazamento Hidraulico) / G1. Local sujo (Ex: lama / efluente espalhado na via pública)</t>
  </si>
  <si>
    <t>Nenhum desvio registrado. Canteiro inspecionado durante movimentação de cargas suspensas e montagem de Armco; auditoria documental atestou conformidade total no preenchimento de PET, PT de altura e movimentação de cargas, DDS e check-lists de equipamentos.</t>
  </si>
  <si>
    <t>Acesso Inseguro a Escavação Profunda. Escada vertical utilizada para descida no interior de escavação com 8 metros de profundidade apresentando degraus com avarias físicas e sem sistema de fixação/amarração na extremidade superior.</t>
  </si>
  <si>
    <t>Nenhum desvio registrado. Acompanhamento operacional registrou conformidade nos trabalhos de montagem de Armco, escavação mecânica de valas e carregamento de solo com retroescavadeira, mantendo uso de EPIs e check-lists regulares.</t>
  </si>
  <si>
    <t>Instabilidade Crítica de Maciço e Infiltração. Escavação profunda com cerca de 8 metros evidenciou desprendimento e escorregamento localizado do solo perimetral (exigindo contenção com armadura e concreto projetado), agravada por severo acúmulo de água no fundo e trabalhadores expostos no interior da área instável.</t>
  </si>
  <si>
    <t>A2. Ficar preso / Soterramento (Ex: valas sem escoramento) / E2. Condições Inseguras</t>
  </si>
  <si>
    <t>Risco de Pressão Operacional / Chicoteamento. Compressor de ar comprimido móvel (Kaeser M 120) operando com conexões pneumáticas presas de forma improvisada por arames em substituição às travas rígidas originais, associado à ausência total de cabos de segurança anti-chicoteamento nas mangueiras sob alta pressão.</t>
  </si>
  <si>
    <t>Risco de Choque/Queda: Cabo de telecomunicações fixado de forma improvisada com cordas sobre a via para desviar cabos da escavadeira; não possui projeto/autorização.</t>
  </si>
  <si>
    <t>Rogerio Gonçalves</t>
  </si>
  <si>
    <t>Materiais metálicos e malhas de aço armazenados de forma desorganizada, obstruindo corredores e passagens de circulação no canteiro, com risco de acidentes por tropeços e quedas.</t>
  </si>
  <si>
    <t>G2. Local desorganizado / Obstrução de passagens de pedestres</t>
  </si>
  <si>
    <t>Estrutura de madeira utilizada para tapumes apresentando diversos pregos expostos e salientes, gerando risco iminente de perfuração e cortes para os trabalhadores.</t>
  </si>
  <si>
    <t>G1. Local sujo (risco de perfuração) / C1. Sem isolamento adequado (tapume danificado).</t>
  </si>
  <si>
    <t>Canteiro desorganizado com acúmulo de madeiras de tapumes contendo pregos expostos e vergalhões de aço sem isolamento, configurando área de risco para circulação.</t>
  </si>
  <si>
    <t>G2. Local desorganizado / A1. Bater contra / Ser atingido por</t>
  </si>
  <si>
    <t>Eng. Leonardo</t>
  </si>
  <si>
    <t xml:space="preserve">Aduelas de concreto armazenadas sem sistemas de travamento ou calços adequados, apoiadas sobre pedras, gerando instabilidade e risco de rolamento involuntário.  </t>
  </si>
  <si>
    <t>E2. Condições Inseguras (Materiais em solo instável/sem travamento).</t>
  </si>
  <si>
    <t>Falta de proteção adequada contra incêndio na carpintaria (extintor inadequado para classe A) e ausência total de extintor de incêndio instalado no almoxarifado.</t>
  </si>
  <si>
    <t>D3. Em condições inseguras (Ausência de meios de combate a incêndio).</t>
  </si>
  <si>
    <t>Ausência total de sinalização visual orientando sobre o uso obrigatório de EPIs no canteiro, comprometendo a conscientização de trabalhadores e visitantes.</t>
  </si>
  <si>
    <t>F5. Ausência de Análise Preliminar de Risco/Sinalização no local.</t>
  </si>
  <si>
    <t>Caminhão vacal (RLM0E63) com: farol queimado, freio de estacionamento inoperante, retrovisor amarrado com arame, ausência de extintor e falta de chave de roda.</t>
  </si>
  <si>
    <t>E1. Caminhão em condições inadequadas.</t>
  </si>
  <si>
    <t>Não conformidade no isolamento da frente de serviço; equipe orientada e regularização realizada prontamente pela equipe de campo.</t>
  </si>
  <si>
    <t>Extintor de incêndio despressurizado/sem condições de uso após ter sido utilizado em um princípio de incêndio anterior; necessidade de recarga imediata.</t>
  </si>
  <si>
    <t>D3. Em condições inseguras (equipamento de combate a incêndio inoperante)</t>
  </si>
  <si>
    <t>Silvestre Encarregado</t>
  </si>
  <si>
    <t>Nenhuma não conformidade identificada na documentação.</t>
  </si>
  <si>
    <t>Ausência de bota de borracha e protetor auricular tipo plug.</t>
  </si>
  <si>
    <t>Gancho da retroescavadeira inadequado para içamento.</t>
  </si>
  <si>
    <t>D1. Impróprias para o serviço;</t>
  </si>
  <si>
    <t>Erosão no solo lateral ao PV com risco de desmoronamento.</t>
  </si>
  <si>
    <t>Ausência de retrovisor, sirene inoperante, falta de extintor;</t>
  </si>
  <si>
    <t>adaptação inadequada (vergalhão) e para-brisa trincado.</t>
  </si>
  <si>
    <t>Gancho da retroescavadeira sem trava de segurança (recorrente).</t>
  </si>
  <si>
    <t>Gerador sem aterramento adequado, uso de tomada inapropriada e ligação improvisada.</t>
  </si>
  <si>
    <t>Corda do sistema de resgate 4x4 danificada (cortes na estrutura).</t>
  </si>
  <si>
    <t>Risco para pedestres devido à movimentação de solo e abertura no solo.</t>
  </si>
  <si>
    <t>Conforme análise detalhada nos checklists (gerador, guincho, cinto), não houve desvios apontados.</t>
  </si>
  <si>
    <t>Escada sem fixação e extintor despressurizado</t>
  </si>
  <si>
    <t>Vazamento em mangueira hidráulica de escavadeira.</t>
  </si>
  <si>
    <t>Uso de vergalhão no lugar de pino na concha da retroescavadeira.</t>
  </si>
  <si>
    <t>Escada fixa(Armco) sem travamento de parafuso.</t>
  </si>
  <si>
    <t>Escada portátil sem ultrapassar 1m da borda e aberturas sem proteção.</t>
  </si>
  <si>
    <t>Ausência de retrovisor, sirene de ré inoperante, extintor ausente, para-brisa trincado.</t>
  </si>
  <si>
    <t>A2.Ficar Preso / Soterramento</t>
  </si>
  <si>
    <t>B7.Pés e pernas, B4.Ouvidos</t>
  </si>
  <si>
    <t>D3.Em condições inseguras;</t>
  </si>
  <si>
    <t>D1.Improprias para o serviço;</t>
  </si>
  <si>
    <t>E1.Retroescavadeira / Caminhão em condições inadequadas; E2. Condições Inseguras (Materiais em solo instável/sem travamento)</t>
  </si>
  <si>
    <t>B7. Pés e pernas; B4.Ouvidos</t>
  </si>
  <si>
    <t>D3.Em condições inseguras; E1. Retroescavadeira / Caminhão em condições inadequadas</t>
  </si>
  <si>
    <t>D3.Em condições inseguras; A5.Risco de Choque Elétrico</t>
  </si>
  <si>
    <t>A1.Bater contra / Ser atingidor por; G2.Local desorganizado</t>
  </si>
  <si>
    <t>A3.Risco de Queda; D3.Em condições inseguras</t>
  </si>
  <si>
    <t>JANEIRO</t>
  </si>
  <si>
    <t>FEVEREIRO</t>
  </si>
  <si>
    <t>MARÇO</t>
  </si>
  <si>
    <t>ABRIL</t>
  </si>
  <si>
    <t>MAIO</t>
  </si>
  <si>
    <t>JUNHO</t>
  </si>
  <si>
    <t>JULHO</t>
  </si>
  <si>
    <t>AGOSTO</t>
  </si>
  <si>
    <t>SETEMBRO</t>
  </si>
  <si>
    <t>OUTUBRO</t>
  </si>
  <si>
    <t>NOVEMBRO</t>
  </si>
  <si>
    <t>DEZEMBRO</t>
  </si>
  <si>
    <t>MÊS</t>
  </si>
  <si>
    <t>QUANTIDADE
DDS</t>
  </si>
  <si>
    <t>QUANTIDADE CAMPANHAS</t>
  </si>
  <si>
    <t>Indicadores Pró-Ativo - 2026</t>
  </si>
  <si>
    <t>CT Rauzito</t>
  </si>
  <si>
    <t>Material escavado próximo à vala (&lt; 1m) e Local sem isolamento</t>
  </si>
  <si>
    <t>C1. Sem isolamento ou Insuficiente (Ex: falta de tapumes/grades na vala); G4.Resíduos dispostos incorretamente (Ex: Solo escavado depositado na borda da vala)</t>
  </si>
  <si>
    <t>Rogério Gonçalves</t>
  </si>
  <si>
    <t>Sem aterramento (bomba de concreto), sem parada de emergência, sem extintor e sem identificação de operadores.</t>
  </si>
  <si>
    <t>A5, E1, D3</t>
  </si>
  <si>
    <t>CR ITI15</t>
  </si>
  <si>
    <t>Guarda-corpo deficiente, ajudante sem talabarte, ausência de Plano de Rigging.</t>
  </si>
  <si>
    <t>D3, E4, F2</t>
  </si>
  <si>
    <t>Concha da retroescavadeira sem ponto de içamento certificado.</t>
  </si>
  <si>
    <t>Falta de maca e mochila de resgate em PVs específicos (PV-5 e PV-6).</t>
  </si>
  <si>
    <t>Pendências documentais, sem crachá, sem cinto, sem trava-quedas, sem detector de gases, sem área de vivência.</t>
  </si>
  <si>
    <t>D3, F2, G2</t>
  </si>
  <si>
    <t>Tubos sem amarração, falta de rota de pedestres, ausência de placas de EPI, escada sem fita antiderrapante, falta de extintores.</t>
  </si>
  <si>
    <t>C5, C7, G3, G4</t>
  </si>
  <si>
    <t>Escada sem fixação, extintor despressurizado, placa de sinalização ausente.</t>
  </si>
  <si>
    <t>D3, E1</t>
  </si>
  <si>
    <t>Colaborador da empresa MR Locações sem integração obrigatória e sem cadastro no sistema Wehandler</t>
  </si>
  <si>
    <t>Curto-circuito e princípio de incêndio em bomba de rebaixamento.</t>
  </si>
  <si>
    <t>Lanterna dianteira e luz de freio traseira inoperantes em caminhão Vacal, falhas intermitentes no sistema de freios.</t>
  </si>
  <si>
    <t>Ausência de vigia durante atividade executada por equipe da empresa LVL.</t>
  </si>
  <si>
    <t>Atividade executada sem o devido isolamento e sinalização da área, em desacordo com a NR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</si>
</sst>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1"/>
      <color theme="0"/>
      <name val="Calibri"/>
      <family val="2"/>
      <scheme val="minor"/>
    </font>
    <font>
      <b/>
      <sz val="12"/>
      <name val="Arial"/>
      <family val="2"/>
    </font>
    <font>
      <sz val="20"/>
      <color theme="1"/>
      <name val="Calibri"/>
      <family val="2"/>
      <scheme val="minor"/>
    </font>
    <font>
      <b/>
      <sz val="18"/>
      <color theme="1"/>
      <name val="Calibri"/>
      <family val="2"/>
      <scheme val="minor"/>
    </font>
    <font>
      <sz val="9"/>
      <name val="Calibri"/>
      <family val="2"/>
    </font>
    <font>
      <b/>
      <sz val="9"/>
      <name val="Calibri"/>
      <family val="2"/>
    </font>
    <font>
      <sz val="7"/>
      <color theme="1"/>
      <name val="Calibri"/>
      <family val="2"/>
      <scheme val="minor"/>
    </font>
    <font>
      <sz val="6"/>
      <color theme="1"/>
      <name val="Arial"/>
      <family val="2"/>
    </font>
    <font>
      <b/>
      <sz val="9"/>
      <color theme="1"/>
      <name val="Calibri"/>
      <family val="2"/>
      <scheme val="minor"/>
    </font>
    <font>
      <b/>
      <sz val="6"/>
      <color theme="1"/>
      <name val="Arial"/>
      <family val="2"/>
    </font>
    <font>
      <sz val="8"/>
      <color theme="1"/>
      <name val="Calibri"/>
      <family val="2"/>
      <scheme val="minor"/>
    </font>
    <font>
      <sz val="9"/>
      <color theme="1"/>
      <name val="Calibri"/>
      <family val="2"/>
      <scheme val="minor"/>
    </font>
    <font>
      <b/>
      <sz val="12"/>
      <color theme="1"/>
      <name val="Calibri"/>
      <family val="2"/>
      <scheme val="minor"/>
    </font>
    <font>
      <b/>
      <sz val="14"/>
      <color theme="1"/>
      <name val="Calibri"/>
      <family val="2"/>
      <scheme val="minor"/>
    </font>
    <font>
      <sz val="9"/>
      <color theme="0" tint="-0.14999847407452621"/>
      <name val="Calibri"/>
      <family val="2"/>
      <scheme val="minor"/>
    </font>
    <font>
      <sz val="8"/>
      <name val="Calibri"/>
      <family val="2"/>
      <scheme val="minor"/>
    </font>
    <font>
      <b/>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rgb="FF99CCFF"/>
        <bgColor indexed="64"/>
      </patternFill>
    </fill>
    <fill>
      <patternFill patternType="solid">
        <fgColor rgb="FF0070C0"/>
        <bgColor indexed="64"/>
      </patternFill>
    </fill>
    <fill>
      <patternFill patternType="solid">
        <fgColor theme="0" tint="-0.249977111117893"/>
        <bgColor indexed="64"/>
      </patternFill>
    </fill>
    <fill>
      <patternFill patternType="solid">
        <fgColor rgb="FF92D050"/>
        <bgColor indexed="64"/>
      </patternFill>
    </fill>
    <fill>
      <patternFill patternType="solid">
        <fgColor theme="3"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style="thin">
        <color indexed="64"/>
      </right>
      <top style="thin">
        <color auto="1"/>
      </top>
      <bottom/>
      <diagonal/>
    </border>
    <border>
      <left/>
      <right style="thin">
        <color indexed="64"/>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s>
  <cellStyleXfs count="1">
    <xf numFmtId="0" fontId="0" fillId="0" borderId="0"/>
  </cellStyleXfs>
  <cellXfs count="113">
    <xf numFmtId="0" fontId="0" fillId="0" borderId="0" xfId="0"/>
    <xf numFmtId="0" fontId="0" fillId="0" borderId="5" xfId="0" applyBorder="1" applyAlignment="1">
      <alignment horizontal="center"/>
    </xf>
    <xf numFmtId="0" fontId="0" fillId="0" borderId="6" xfId="0" applyBorder="1" applyAlignment="1">
      <alignment horizontal="center"/>
    </xf>
    <xf numFmtId="0" fontId="0" fillId="0" borderId="6" xfId="0" applyBorder="1" applyAlignment="1">
      <alignment horizontal="center" wrapText="1"/>
    </xf>
    <xf numFmtId="0" fontId="0" fillId="0" borderId="6" xfId="0" applyBorder="1" applyAlignment="1">
      <alignment horizontal="center" vertical="center"/>
    </xf>
    <xf numFmtId="0" fontId="0" fillId="0" borderId="3" xfId="0" applyBorder="1" applyAlignment="1">
      <alignment horizontal="center"/>
    </xf>
    <xf numFmtId="0" fontId="2" fillId="4" borderId="1" xfId="0" applyFont="1" applyFill="1" applyBorder="1" applyAlignment="1">
      <alignment horizontal="center" vertical="center"/>
    </xf>
    <xf numFmtId="0" fontId="0" fillId="0" borderId="7" xfId="0" applyBorder="1" applyAlignment="1">
      <alignment horizontal="center"/>
    </xf>
    <xf numFmtId="0" fontId="0" fillId="0" borderId="7"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vertical="center" wrapText="1"/>
    </xf>
    <xf numFmtId="0" fontId="2" fillId="4" borderId="4" xfId="0" applyFont="1" applyFill="1" applyBorder="1" applyAlignment="1">
      <alignment horizontal="center" vertical="center"/>
    </xf>
    <xf numFmtId="0" fontId="2" fillId="4" borderId="0" xfId="0" applyFont="1" applyFill="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vertical="center"/>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0" fillId="2"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2" xfId="0" applyFont="1" applyFill="1" applyBorder="1" applyAlignment="1">
      <alignment horizontal="center" vertical="center"/>
    </xf>
    <xf numFmtId="0" fontId="0" fillId="0" borderId="0" xfId="0" applyAlignment="1">
      <alignment horizontal="center" vertical="center"/>
    </xf>
    <xf numFmtId="0" fontId="4" fillId="3" borderId="1" xfId="0" applyFont="1" applyFill="1" applyBorder="1" applyAlignment="1">
      <alignment horizontal="center" vertical="center" wrapText="1"/>
    </xf>
    <xf numFmtId="0" fontId="0" fillId="0" borderId="1" xfId="0" applyBorder="1" applyAlignment="1">
      <alignment vertical="center"/>
    </xf>
    <xf numFmtId="0" fontId="6" fillId="0" borderId="11" xfId="0" applyFont="1" applyBorder="1" applyAlignment="1">
      <alignment horizontal="center" vertical="center"/>
    </xf>
    <xf numFmtId="0" fontId="6" fillId="0" borderId="11" xfId="0" applyFont="1" applyBorder="1" applyAlignment="1">
      <alignment horizontal="left" vertical="center" wrapText="1"/>
    </xf>
    <xf numFmtId="0" fontId="1" fillId="3" borderId="3" xfId="0" applyFont="1" applyFill="1" applyBorder="1" applyAlignment="1">
      <alignment horizontal="center" vertical="center"/>
    </xf>
    <xf numFmtId="0" fontId="7" fillId="0" borderId="11" xfId="0" applyFont="1" applyBorder="1" applyAlignment="1">
      <alignment horizontal="center" vertical="center"/>
    </xf>
    <xf numFmtId="0" fontId="0" fillId="0" borderId="14" xfId="0" applyBorder="1"/>
    <xf numFmtId="0" fontId="8" fillId="0" borderId="1" xfId="0" applyFont="1" applyBorder="1" applyAlignment="1">
      <alignment vertical="center"/>
    </xf>
    <xf numFmtId="0" fontId="1" fillId="5" borderId="1" xfId="0" applyFont="1" applyFill="1" applyBorder="1" applyAlignment="1">
      <alignment horizontal="center" vertical="center"/>
    </xf>
    <xf numFmtId="0" fontId="0" fillId="5" borderId="0" xfId="0" applyFill="1" applyAlignment="1">
      <alignment horizontal="center" vertical="center"/>
    </xf>
    <xf numFmtId="0" fontId="1" fillId="5" borderId="16" xfId="0" applyFont="1" applyFill="1" applyBorder="1" applyAlignment="1">
      <alignment horizontal="center" vertical="center"/>
    </xf>
    <xf numFmtId="0" fontId="0" fillId="5" borderId="16" xfId="0" applyFill="1" applyBorder="1" applyAlignment="1">
      <alignment horizontal="center" vertical="center"/>
    </xf>
    <xf numFmtId="0" fontId="0" fillId="2" borderId="1" xfId="0" applyFill="1" applyBorder="1"/>
    <xf numFmtId="0" fontId="0" fillId="6" borderId="1" xfId="0" applyFill="1" applyBorder="1" applyAlignment="1">
      <alignment vertical="center"/>
    </xf>
    <xf numFmtId="0" fontId="0" fillId="2" borderId="1" xfId="0" applyFill="1" applyBorder="1" applyAlignment="1">
      <alignment vertical="center"/>
    </xf>
    <xf numFmtId="0" fontId="12" fillId="0" borderId="0" xfId="0" applyFont="1" applyAlignment="1">
      <alignment vertical="center" wrapText="1"/>
    </xf>
    <xf numFmtId="0" fontId="12" fillId="0" borderId="0" xfId="0" applyFont="1" applyAlignment="1">
      <alignment vertical="center"/>
    </xf>
    <xf numFmtId="0" fontId="0" fillId="0" borderId="0" xfId="0" applyAlignment="1">
      <alignment horizontal="left" vertical="center"/>
    </xf>
    <xf numFmtId="0" fontId="12" fillId="0" borderId="0" xfId="0" applyFont="1" applyAlignment="1">
      <alignment wrapText="1"/>
    </xf>
    <xf numFmtId="0" fontId="0" fillId="0" borderId="0" xfId="0" applyAlignment="1">
      <alignment horizontal="left"/>
    </xf>
    <xf numFmtId="0" fontId="0" fillId="5" borderId="6" xfId="0" applyFill="1" applyBorder="1" applyAlignment="1">
      <alignment horizontal="center" vertical="center"/>
    </xf>
    <xf numFmtId="0" fontId="0" fillId="5" borderId="14" xfId="0" applyFill="1" applyBorder="1" applyAlignment="1">
      <alignment horizontal="center" vertical="center"/>
    </xf>
    <xf numFmtId="0" fontId="0" fillId="5" borderId="20" xfId="0" applyFill="1" applyBorder="1" applyAlignment="1">
      <alignment horizontal="center" vertical="center"/>
    </xf>
    <xf numFmtId="0" fontId="0" fillId="5" borderId="21" xfId="0" applyFill="1" applyBorder="1" applyAlignment="1">
      <alignment horizontal="center" vertical="center"/>
    </xf>
    <xf numFmtId="0" fontId="0" fillId="0" borderId="6" xfId="0" applyBorder="1"/>
    <xf numFmtId="0" fontId="12" fillId="0" borderId="14" xfId="0" applyFont="1" applyBorder="1" applyAlignment="1">
      <alignment vertical="top" wrapText="1"/>
    </xf>
    <xf numFmtId="0" fontId="12" fillId="0" borderId="14" xfId="0" applyFont="1" applyBorder="1" applyAlignment="1">
      <alignment vertical="center" wrapText="1"/>
    </xf>
    <xf numFmtId="0" fontId="0" fillId="0" borderId="6" xfId="0" applyBorder="1" applyAlignment="1">
      <alignment vertical="center"/>
    </xf>
    <xf numFmtId="0" fontId="0" fillId="0" borderId="14" xfId="0" applyBorder="1" applyAlignment="1">
      <alignment vertical="center"/>
    </xf>
    <xf numFmtId="0" fontId="0" fillId="0" borderId="14" xfId="0" applyBorder="1" applyAlignment="1">
      <alignment horizontal="left" vertical="center"/>
    </xf>
    <xf numFmtId="0" fontId="0" fillId="0" borderId="3" xfId="0" applyBorder="1"/>
    <xf numFmtId="0" fontId="0" fillId="0" borderId="17" xfId="0" applyBorder="1"/>
    <xf numFmtId="0" fontId="0" fillId="0" borderId="22" xfId="0" applyBorder="1"/>
    <xf numFmtId="0" fontId="0" fillId="0" borderId="1" xfId="0" applyBorder="1" applyAlignment="1">
      <alignment horizontal="center" wrapText="1"/>
    </xf>
    <xf numFmtId="0" fontId="18" fillId="7" borderId="1" xfId="0" applyFont="1" applyFill="1" applyBorder="1" applyAlignment="1">
      <alignment horizontal="center" vertical="center" wrapText="1"/>
    </xf>
    <xf numFmtId="0" fontId="0" fillId="0" borderId="13" xfId="0" applyBorder="1"/>
    <xf numFmtId="1" fontId="0" fillId="0" borderId="1" xfId="0" applyNumberFormat="1" applyBorder="1" applyAlignment="1">
      <alignment horizontal="center"/>
    </xf>
    <xf numFmtId="0" fontId="0" fillId="0" borderId="5" xfId="0" applyBorder="1" applyAlignment="1">
      <alignment horizontal="center" vertical="center"/>
    </xf>
    <xf numFmtId="0" fontId="3" fillId="3" borderId="8" xfId="0" applyFont="1" applyFill="1" applyBorder="1" applyAlignment="1">
      <alignment horizontal="center" vertical="center"/>
    </xf>
    <xf numFmtId="0" fontId="3" fillId="3" borderId="10"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8" fillId="0" borderId="1" xfId="0" applyFont="1" applyBorder="1" applyAlignment="1">
      <alignment horizontal="left" vertical="center"/>
    </xf>
    <xf numFmtId="0" fontId="0" fillId="0" borderId="3" xfId="0" applyBorder="1" applyAlignment="1">
      <alignment horizontal="center"/>
    </xf>
    <xf numFmtId="0" fontId="0" fillId="0" borderId="17" xfId="0" applyBorder="1" applyAlignment="1">
      <alignment horizontal="center"/>
    </xf>
    <xf numFmtId="0" fontId="12" fillId="0" borderId="6" xfId="0" applyFont="1" applyBorder="1" applyAlignment="1">
      <alignment horizontal="left"/>
    </xf>
    <xf numFmtId="0" fontId="0" fillId="0" borderId="0" xfId="0" applyAlignment="1">
      <alignment horizontal="left"/>
    </xf>
    <xf numFmtId="0" fontId="0" fillId="0" borderId="14" xfId="0" applyBorder="1" applyAlignment="1">
      <alignment horizontal="left"/>
    </xf>
    <xf numFmtId="0" fontId="0" fillId="0" borderId="6" xfId="0" applyBorder="1" applyAlignment="1">
      <alignment horizontal="left"/>
    </xf>
    <xf numFmtId="0" fontId="0" fillId="0" borderId="3" xfId="0" applyBorder="1" applyAlignment="1">
      <alignment horizontal="left"/>
    </xf>
    <xf numFmtId="0" fontId="0" fillId="0" borderId="17" xfId="0" applyBorder="1" applyAlignment="1">
      <alignment horizontal="left"/>
    </xf>
    <xf numFmtId="0" fontId="0" fillId="0" borderId="22" xfId="0" applyBorder="1" applyAlignment="1">
      <alignment horizontal="left"/>
    </xf>
    <xf numFmtId="0" fontId="15" fillId="0" borderId="1" xfId="0" applyFont="1" applyBorder="1" applyAlignment="1">
      <alignment horizontal="center" vertical="center"/>
    </xf>
    <xf numFmtId="0" fontId="0" fillId="0" borderId="0" xfId="0" applyAlignment="1">
      <alignment horizontal="left" vertical="center"/>
    </xf>
    <xf numFmtId="0" fontId="0" fillId="0" borderId="14" xfId="0" applyBorder="1" applyAlignment="1">
      <alignment horizontal="left" vertical="center"/>
    </xf>
    <xf numFmtId="0" fontId="0" fillId="6" borderId="1" xfId="0" applyFill="1" applyBorder="1" applyAlignment="1">
      <alignment horizontal="center" vertical="center"/>
    </xf>
    <xf numFmtId="0" fontId="0" fillId="0" borderId="12" xfId="0" applyBorder="1" applyAlignment="1">
      <alignment horizontal="left" vertical="center"/>
    </xf>
    <xf numFmtId="0" fontId="0" fillId="0" borderId="13" xfId="0"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3" fillId="0" borderId="1" xfId="0" applyFont="1" applyBorder="1" applyAlignment="1">
      <alignment horizontal="left"/>
    </xf>
    <xf numFmtId="0" fontId="0" fillId="0" borderId="1" xfId="0" applyBorder="1" applyAlignment="1">
      <alignment horizontal="center"/>
    </xf>
    <xf numFmtId="0" fontId="0" fillId="6" borderId="1" xfId="0" applyFill="1" applyBorder="1" applyAlignment="1">
      <alignment horizontal="left" vertical="center"/>
    </xf>
    <xf numFmtId="0" fontId="0" fillId="6" borderId="8" xfId="0" applyFill="1" applyBorder="1" applyAlignment="1">
      <alignment horizontal="center" vertic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10" fillId="5" borderId="6" xfId="0" applyFont="1" applyFill="1" applyBorder="1" applyAlignment="1">
      <alignment horizontal="center" vertical="center"/>
    </xf>
    <xf numFmtId="0" fontId="10" fillId="5" borderId="0" xfId="0" applyFont="1" applyFill="1" applyAlignment="1">
      <alignment horizontal="center" vertical="center"/>
    </xf>
    <xf numFmtId="0" fontId="10" fillId="5" borderId="14" xfId="0" applyFont="1" applyFill="1" applyBorder="1" applyAlignment="1">
      <alignment horizontal="center" vertical="center"/>
    </xf>
    <xf numFmtId="0" fontId="1" fillId="5" borderId="18" xfId="0" applyFont="1" applyFill="1" applyBorder="1" applyAlignment="1">
      <alignment horizontal="center"/>
    </xf>
    <xf numFmtId="0" fontId="1" fillId="5" borderId="15" xfId="0" applyFont="1" applyFill="1" applyBorder="1" applyAlignment="1">
      <alignment horizontal="center"/>
    </xf>
    <xf numFmtId="0" fontId="1" fillId="5" borderId="19" xfId="0" applyFont="1" applyFill="1" applyBorder="1" applyAlignment="1">
      <alignment horizontal="center"/>
    </xf>
    <xf numFmtId="0" fontId="9" fillId="0" borderId="4" xfId="0" applyFont="1" applyBorder="1" applyAlignment="1">
      <alignment horizontal="center" vertical="center" wrapText="1"/>
    </xf>
    <xf numFmtId="0" fontId="9" fillId="0" borderId="4" xfId="0" applyFont="1" applyBorder="1" applyAlignment="1">
      <alignment horizontal="center" vertical="center"/>
    </xf>
    <xf numFmtId="0" fontId="1" fillId="7" borderId="1" xfId="0" applyFont="1" applyFill="1" applyBorder="1" applyAlignment="1">
      <alignment horizontal="center"/>
    </xf>
  </cellXfs>
  <cellStyles count="1">
    <cellStyle name="Normal" xfId="0" builtinId="0"/>
  </cellStyles>
  <dxfs count="33">
    <dxf>
      <alignment horizontal="center" vertical="center" textRotation="0" wrapText="0" indent="0" justifyLastLine="0" shrinkToFit="0" readingOrder="0"/>
      <border diagonalUp="0" diagonalDown="0" outline="0">
        <left style="thin">
          <color indexed="64"/>
        </left>
        <right/>
        <top style="thin">
          <color indexed="64"/>
        </top>
        <bottom/>
      </border>
    </dxf>
    <dxf>
      <numFmt numFmtId="2"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auto="1"/>
        </top>
        <bottom/>
      </border>
    </dxf>
    <dxf>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bottom style="thin">
          <color indexed="64"/>
        </bottom>
      </border>
    </dxf>
    <dxf>
      <font>
        <b/>
        <strike val="0"/>
        <outline val="0"/>
        <shadow val="0"/>
        <u val="none"/>
        <vertAlign val="baseline"/>
        <sz val="8"/>
        <color auto="1"/>
        <name val="Calibri"/>
        <family val="2"/>
        <scheme val="minor"/>
      </font>
      <fill>
        <patternFill patternType="solid">
          <fgColor indexed="64"/>
          <bgColor theme="3"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font>
        <strike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right style="thin">
          <color indexed="64"/>
        </right>
        <top style="thin">
          <color auto="1"/>
        </top>
        <bottom style="thin">
          <color auto="1"/>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99CCFF"/>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CFEAFD"/>
      <color rgb="FF99CCFF"/>
      <color rgb="FF00A5E4"/>
      <color rgb="FFFDE9D9"/>
      <color rgb="FF004994"/>
      <color rgb="FF52AE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533400</xdr:colOff>
      <xdr:row>49</xdr:row>
      <xdr:rowOff>15240</xdr:rowOff>
    </xdr:from>
    <xdr:to>
      <xdr:col>5</xdr:col>
      <xdr:colOff>998220</xdr:colOff>
      <xdr:row>50</xdr:row>
      <xdr:rowOff>0</xdr:rowOff>
    </xdr:to>
    <xdr:sp macro="" textlink="">
      <xdr:nvSpPr>
        <xdr:cNvPr id="2" name="Retângulo 1">
          <a:extLst>
            <a:ext uri="{FF2B5EF4-FFF2-40B4-BE49-F238E27FC236}">
              <a16:creationId xmlns:a16="http://schemas.microsoft.com/office/drawing/2014/main" id="{16DA6508-3CC3-2542-47B7-0AC1A964A007}"/>
            </a:ext>
          </a:extLst>
        </xdr:cNvPr>
        <xdr:cNvSpPr/>
      </xdr:nvSpPr>
      <xdr:spPr>
        <a:xfrm>
          <a:off x="4137660" y="931164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51</xdr:row>
      <xdr:rowOff>0</xdr:rowOff>
    </xdr:from>
    <xdr:to>
      <xdr:col>5</xdr:col>
      <xdr:colOff>998220</xdr:colOff>
      <xdr:row>51</xdr:row>
      <xdr:rowOff>243840</xdr:rowOff>
    </xdr:to>
    <xdr:sp macro="" textlink="">
      <xdr:nvSpPr>
        <xdr:cNvPr id="3" name="Retângulo 2">
          <a:extLst>
            <a:ext uri="{FF2B5EF4-FFF2-40B4-BE49-F238E27FC236}">
              <a16:creationId xmlns:a16="http://schemas.microsoft.com/office/drawing/2014/main" id="{7702B364-0C0A-45F8-8D5A-833AFA2F47A1}"/>
            </a:ext>
          </a:extLst>
        </xdr:cNvPr>
        <xdr:cNvSpPr/>
      </xdr:nvSpPr>
      <xdr:spPr>
        <a:xfrm>
          <a:off x="4137660" y="960882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53</xdr:row>
      <xdr:rowOff>0</xdr:rowOff>
    </xdr:from>
    <xdr:to>
      <xdr:col>5</xdr:col>
      <xdr:colOff>998220</xdr:colOff>
      <xdr:row>53</xdr:row>
      <xdr:rowOff>243840</xdr:rowOff>
    </xdr:to>
    <xdr:sp macro="" textlink="">
      <xdr:nvSpPr>
        <xdr:cNvPr id="4" name="Retângulo 3">
          <a:extLst>
            <a:ext uri="{FF2B5EF4-FFF2-40B4-BE49-F238E27FC236}">
              <a16:creationId xmlns:a16="http://schemas.microsoft.com/office/drawing/2014/main" id="{AAD6C0D1-1AB8-423E-9593-BB6DBFB5C451}"/>
            </a:ext>
          </a:extLst>
        </xdr:cNvPr>
        <xdr:cNvSpPr/>
      </xdr:nvSpPr>
      <xdr:spPr>
        <a:xfrm>
          <a:off x="4137660" y="992124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55</xdr:row>
      <xdr:rowOff>0</xdr:rowOff>
    </xdr:from>
    <xdr:to>
      <xdr:col>5</xdr:col>
      <xdr:colOff>998220</xdr:colOff>
      <xdr:row>55</xdr:row>
      <xdr:rowOff>243840</xdr:rowOff>
    </xdr:to>
    <xdr:sp macro="" textlink="">
      <xdr:nvSpPr>
        <xdr:cNvPr id="5" name="Retângulo 4">
          <a:extLst>
            <a:ext uri="{FF2B5EF4-FFF2-40B4-BE49-F238E27FC236}">
              <a16:creationId xmlns:a16="http://schemas.microsoft.com/office/drawing/2014/main" id="{7F9F0D4F-D2D0-4662-B9A9-B146BB30C807}"/>
            </a:ext>
          </a:extLst>
        </xdr:cNvPr>
        <xdr:cNvSpPr/>
      </xdr:nvSpPr>
      <xdr:spPr>
        <a:xfrm>
          <a:off x="4137660" y="1023366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57</xdr:row>
      <xdr:rowOff>0</xdr:rowOff>
    </xdr:from>
    <xdr:to>
      <xdr:col>5</xdr:col>
      <xdr:colOff>998220</xdr:colOff>
      <xdr:row>57</xdr:row>
      <xdr:rowOff>243840</xdr:rowOff>
    </xdr:to>
    <xdr:sp macro="" textlink="">
      <xdr:nvSpPr>
        <xdr:cNvPr id="6" name="Retângulo 5">
          <a:extLst>
            <a:ext uri="{FF2B5EF4-FFF2-40B4-BE49-F238E27FC236}">
              <a16:creationId xmlns:a16="http://schemas.microsoft.com/office/drawing/2014/main" id="{E0894EC7-C165-4884-9581-921B3991E7F3}"/>
            </a:ext>
          </a:extLst>
        </xdr:cNvPr>
        <xdr:cNvSpPr/>
      </xdr:nvSpPr>
      <xdr:spPr>
        <a:xfrm>
          <a:off x="4137660" y="1054608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59</xdr:row>
      <xdr:rowOff>0</xdr:rowOff>
    </xdr:from>
    <xdr:to>
      <xdr:col>5</xdr:col>
      <xdr:colOff>998220</xdr:colOff>
      <xdr:row>59</xdr:row>
      <xdr:rowOff>243840</xdr:rowOff>
    </xdr:to>
    <xdr:sp macro="" textlink="">
      <xdr:nvSpPr>
        <xdr:cNvPr id="7" name="Retângulo 6">
          <a:extLst>
            <a:ext uri="{FF2B5EF4-FFF2-40B4-BE49-F238E27FC236}">
              <a16:creationId xmlns:a16="http://schemas.microsoft.com/office/drawing/2014/main" id="{0370BF08-C2CF-4FD0-94BA-9BDF9D5F786A}"/>
            </a:ext>
          </a:extLst>
        </xdr:cNvPr>
        <xdr:cNvSpPr/>
      </xdr:nvSpPr>
      <xdr:spPr>
        <a:xfrm>
          <a:off x="4137660" y="1085850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63</xdr:row>
      <xdr:rowOff>15240</xdr:rowOff>
    </xdr:from>
    <xdr:to>
      <xdr:col>5</xdr:col>
      <xdr:colOff>998220</xdr:colOff>
      <xdr:row>64</xdr:row>
      <xdr:rowOff>0</xdr:rowOff>
    </xdr:to>
    <xdr:sp macro="" textlink="">
      <xdr:nvSpPr>
        <xdr:cNvPr id="13" name="Retângulo 12">
          <a:extLst>
            <a:ext uri="{FF2B5EF4-FFF2-40B4-BE49-F238E27FC236}">
              <a16:creationId xmlns:a16="http://schemas.microsoft.com/office/drawing/2014/main" id="{1709BD38-C535-4B38-99F1-4E26B723ED17}"/>
            </a:ext>
          </a:extLst>
        </xdr:cNvPr>
        <xdr:cNvSpPr/>
      </xdr:nvSpPr>
      <xdr:spPr>
        <a:xfrm>
          <a:off x="4137660" y="1148334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525780</xdr:colOff>
      <xdr:row>65</xdr:row>
      <xdr:rowOff>15240</xdr:rowOff>
    </xdr:from>
    <xdr:to>
      <xdr:col>5</xdr:col>
      <xdr:colOff>990600</xdr:colOff>
      <xdr:row>66</xdr:row>
      <xdr:rowOff>0</xdr:rowOff>
    </xdr:to>
    <xdr:sp macro="" textlink="">
      <xdr:nvSpPr>
        <xdr:cNvPr id="14" name="Retângulo 13">
          <a:extLst>
            <a:ext uri="{FF2B5EF4-FFF2-40B4-BE49-F238E27FC236}">
              <a16:creationId xmlns:a16="http://schemas.microsoft.com/office/drawing/2014/main" id="{424A67BB-6A7E-469B-9B05-3A2BFCDC19A4}"/>
            </a:ext>
          </a:extLst>
        </xdr:cNvPr>
        <xdr:cNvSpPr/>
      </xdr:nvSpPr>
      <xdr:spPr>
        <a:xfrm>
          <a:off x="4130040" y="1178052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525780</xdr:colOff>
      <xdr:row>67</xdr:row>
      <xdr:rowOff>15240</xdr:rowOff>
    </xdr:from>
    <xdr:to>
      <xdr:col>5</xdr:col>
      <xdr:colOff>990600</xdr:colOff>
      <xdr:row>68</xdr:row>
      <xdr:rowOff>0</xdr:rowOff>
    </xdr:to>
    <xdr:sp macro="" textlink="">
      <xdr:nvSpPr>
        <xdr:cNvPr id="15" name="Retângulo 14">
          <a:extLst>
            <a:ext uri="{FF2B5EF4-FFF2-40B4-BE49-F238E27FC236}">
              <a16:creationId xmlns:a16="http://schemas.microsoft.com/office/drawing/2014/main" id="{0FD89964-C75D-45D3-AE59-A37531E20891}"/>
            </a:ext>
          </a:extLst>
        </xdr:cNvPr>
        <xdr:cNvSpPr/>
      </xdr:nvSpPr>
      <xdr:spPr>
        <a:xfrm>
          <a:off x="4130040" y="1207770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1028700</xdr:colOff>
      <xdr:row>49</xdr:row>
      <xdr:rowOff>251460</xdr:rowOff>
    </xdr:from>
    <xdr:to>
      <xdr:col>9</xdr:col>
      <xdr:colOff>0</xdr:colOff>
      <xdr:row>50</xdr:row>
      <xdr:rowOff>0</xdr:rowOff>
    </xdr:to>
    <xdr:cxnSp macro="">
      <xdr:nvCxnSpPr>
        <xdr:cNvPr id="17" name="Conector reto 16">
          <a:extLst>
            <a:ext uri="{FF2B5EF4-FFF2-40B4-BE49-F238E27FC236}">
              <a16:creationId xmlns:a16="http://schemas.microsoft.com/office/drawing/2014/main" id="{750F6D99-2253-30CD-0BDB-022CED086AB5}"/>
            </a:ext>
          </a:extLst>
        </xdr:cNvPr>
        <xdr:cNvCxnSpPr/>
      </xdr:nvCxnSpPr>
      <xdr:spPr>
        <a:xfrm flipV="1">
          <a:off x="4632960" y="954786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51</xdr:row>
      <xdr:rowOff>228600</xdr:rowOff>
    </xdr:from>
    <xdr:to>
      <xdr:col>8</xdr:col>
      <xdr:colOff>1767840</xdr:colOff>
      <xdr:row>51</xdr:row>
      <xdr:rowOff>236220</xdr:rowOff>
    </xdr:to>
    <xdr:cxnSp macro="">
      <xdr:nvCxnSpPr>
        <xdr:cNvPr id="19" name="Conector reto 18">
          <a:extLst>
            <a:ext uri="{FF2B5EF4-FFF2-40B4-BE49-F238E27FC236}">
              <a16:creationId xmlns:a16="http://schemas.microsoft.com/office/drawing/2014/main" id="{04DC88A9-FA7C-47BE-9167-B5EF373C536F}"/>
            </a:ext>
          </a:extLst>
        </xdr:cNvPr>
        <xdr:cNvCxnSpPr/>
      </xdr:nvCxnSpPr>
      <xdr:spPr>
        <a:xfrm flipV="1">
          <a:off x="4625340" y="983742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53</xdr:row>
      <xdr:rowOff>228600</xdr:rowOff>
    </xdr:from>
    <xdr:to>
      <xdr:col>8</xdr:col>
      <xdr:colOff>1767840</xdr:colOff>
      <xdr:row>53</xdr:row>
      <xdr:rowOff>236220</xdr:rowOff>
    </xdr:to>
    <xdr:cxnSp macro="">
      <xdr:nvCxnSpPr>
        <xdr:cNvPr id="20" name="Conector reto 19">
          <a:extLst>
            <a:ext uri="{FF2B5EF4-FFF2-40B4-BE49-F238E27FC236}">
              <a16:creationId xmlns:a16="http://schemas.microsoft.com/office/drawing/2014/main" id="{A875075E-9FF6-4E4A-9128-41969E313FDE}"/>
            </a:ext>
          </a:extLst>
        </xdr:cNvPr>
        <xdr:cNvCxnSpPr/>
      </xdr:nvCxnSpPr>
      <xdr:spPr>
        <a:xfrm flipV="1">
          <a:off x="4625340" y="1014984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55</xdr:row>
      <xdr:rowOff>243840</xdr:rowOff>
    </xdr:from>
    <xdr:to>
      <xdr:col>8</xdr:col>
      <xdr:colOff>1767840</xdr:colOff>
      <xdr:row>55</xdr:row>
      <xdr:rowOff>251460</xdr:rowOff>
    </xdr:to>
    <xdr:cxnSp macro="">
      <xdr:nvCxnSpPr>
        <xdr:cNvPr id="21" name="Conector reto 20">
          <a:extLst>
            <a:ext uri="{FF2B5EF4-FFF2-40B4-BE49-F238E27FC236}">
              <a16:creationId xmlns:a16="http://schemas.microsoft.com/office/drawing/2014/main" id="{6EAE5503-43FF-4F62-AFC3-992BF55D1472}"/>
            </a:ext>
          </a:extLst>
        </xdr:cNvPr>
        <xdr:cNvCxnSpPr/>
      </xdr:nvCxnSpPr>
      <xdr:spPr>
        <a:xfrm flipV="1">
          <a:off x="4625340" y="1047750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1028700</xdr:colOff>
      <xdr:row>57</xdr:row>
      <xdr:rowOff>228600</xdr:rowOff>
    </xdr:from>
    <xdr:to>
      <xdr:col>9</xdr:col>
      <xdr:colOff>0</xdr:colOff>
      <xdr:row>57</xdr:row>
      <xdr:rowOff>236220</xdr:rowOff>
    </xdr:to>
    <xdr:cxnSp macro="">
      <xdr:nvCxnSpPr>
        <xdr:cNvPr id="22" name="Conector reto 21">
          <a:extLst>
            <a:ext uri="{FF2B5EF4-FFF2-40B4-BE49-F238E27FC236}">
              <a16:creationId xmlns:a16="http://schemas.microsoft.com/office/drawing/2014/main" id="{7A109BA1-9124-40F4-8D60-87678B811B04}"/>
            </a:ext>
          </a:extLst>
        </xdr:cNvPr>
        <xdr:cNvCxnSpPr/>
      </xdr:nvCxnSpPr>
      <xdr:spPr>
        <a:xfrm flipV="1">
          <a:off x="4632960" y="1077468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59</xdr:row>
      <xdr:rowOff>228600</xdr:rowOff>
    </xdr:from>
    <xdr:to>
      <xdr:col>8</xdr:col>
      <xdr:colOff>1767840</xdr:colOff>
      <xdr:row>59</xdr:row>
      <xdr:rowOff>236220</xdr:rowOff>
    </xdr:to>
    <xdr:cxnSp macro="">
      <xdr:nvCxnSpPr>
        <xdr:cNvPr id="23" name="Conector reto 22">
          <a:extLst>
            <a:ext uri="{FF2B5EF4-FFF2-40B4-BE49-F238E27FC236}">
              <a16:creationId xmlns:a16="http://schemas.microsoft.com/office/drawing/2014/main" id="{5AD433A7-4785-4ADA-9387-FAD9AA6AAA5E}"/>
            </a:ext>
          </a:extLst>
        </xdr:cNvPr>
        <xdr:cNvCxnSpPr/>
      </xdr:nvCxnSpPr>
      <xdr:spPr>
        <a:xfrm flipV="1">
          <a:off x="4625340" y="1108710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1028700</xdr:colOff>
      <xdr:row>63</xdr:row>
      <xdr:rowOff>243840</xdr:rowOff>
    </xdr:from>
    <xdr:to>
      <xdr:col>9</xdr:col>
      <xdr:colOff>0</xdr:colOff>
      <xdr:row>63</xdr:row>
      <xdr:rowOff>251460</xdr:rowOff>
    </xdr:to>
    <xdr:cxnSp macro="">
      <xdr:nvCxnSpPr>
        <xdr:cNvPr id="24" name="Conector reto 23">
          <a:extLst>
            <a:ext uri="{FF2B5EF4-FFF2-40B4-BE49-F238E27FC236}">
              <a16:creationId xmlns:a16="http://schemas.microsoft.com/office/drawing/2014/main" id="{9E5EDC3D-A375-4EE7-AD0E-553577F4E1F5}"/>
            </a:ext>
          </a:extLst>
        </xdr:cNvPr>
        <xdr:cNvCxnSpPr/>
      </xdr:nvCxnSpPr>
      <xdr:spPr>
        <a:xfrm flipV="1">
          <a:off x="4632960" y="1171194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1005840</xdr:colOff>
      <xdr:row>67</xdr:row>
      <xdr:rowOff>251460</xdr:rowOff>
    </xdr:from>
    <xdr:to>
      <xdr:col>8</xdr:col>
      <xdr:colOff>1752600</xdr:colOff>
      <xdr:row>68</xdr:row>
      <xdr:rowOff>0</xdr:rowOff>
    </xdr:to>
    <xdr:cxnSp macro="">
      <xdr:nvCxnSpPr>
        <xdr:cNvPr id="25" name="Conector reto 24">
          <a:extLst>
            <a:ext uri="{FF2B5EF4-FFF2-40B4-BE49-F238E27FC236}">
              <a16:creationId xmlns:a16="http://schemas.microsoft.com/office/drawing/2014/main" id="{BC1B60E5-5135-4D5E-A698-B682ACA020D4}"/>
            </a:ext>
          </a:extLst>
        </xdr:cNvPr>
        <xdr:cNvCxnSpPr/>
      </xdr:nvCxnSpPr>
      <xdr:spPr>
        <a:xfrm flipV="1">
          <a:off x="4610100" y="1231392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65</xdr:row>
      <xdr:rowOff>243840</xdr:rowOff>
    </xdr:from>
    <xdr:to>
      <xdr:col>8</xdr:col>
      <xdr:colOff>1767840</xdr:colOff>
      <xdr:row>65</xdr:row>
      <xdr:rowOff>251460</xdr:rowOff>
    </xdr:to>
    <xdr:cxnSp macro="">
      <xdr:nvCxnSpPr>
        <xdr:cNvPr id="26" name="Conector reto 25">
          <a:extLst>
            <a:ext uri="{FF2B5EF4-FFF2-40B4-BE49-F238E27FC236}">
              <a16:creationId xmlns:a16="http://schemas.microsoft.com/office/drawing/2014/main" id="{0B42E08F-6F5A-4E3D-AB28-670519AE70A6}"/>
            </a:ext>
          </a:extLst>
        </xdr:cNvPr>
        <xdr:cNvCxnSpPr/>
      </xdr:nvCxnSpPr>
      <xdr:spPr>
        <a:xfrm flipV="1">
          <a:off x="4625340" y="1200912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129540</xdr:colOff>
      <xdr:row>70</xdr:row>
      <xdr:rowOff>175260</xdr:rowOff>
    </xdr:from>
    <xdr:to>
      <xdr:col>2</xdr:col>
      <xdr:colOff>1043940</xdr:colOff>
      <xdr:row>71</xdr:row>
      <xdr:rowOff>0</xdr:rowOff>
    </xdr:to>
    <xdr:cxnSp macro="">
      <xdr:nvCxnSpPr>
        <xdr:cNvPr id="27" name="Conector reto 26">
          <a:extLst>
            <a:ext uri="{FF2B5EF4-FFF2-40B4-BE49-F238E27FC236}">
              <a16:creationId xmlns:a16="http://schemas.microsoft.com/office/drawing/2014/main" id="{815F92CE-042D-468A-A0AC-1778C4F90DA6}"/>
            </a:ext>
          </a:extLst>
        </xdr:cNvPr>
        <xdr:cNvCxnSpPr/>
      </xdr:nvCxnSpPr>
      <xdr:spPr>
        <a:xfrm>
          <a:off x="129540" y="12862560"/>
          <a:ext cx="18288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1264920</xdr:colOff>
      <xdr:row>71</xdr:row>
      <xdr:rowOff>0</xdr:rowOff>
    </xdr:from>
    <xdr:to>
      <xdr:col>5</xdr:col>
      <xdr:colOff>464820</xdr:colOff>
      <xdr:row>71</xdr:row>
      <xdr:rowOff>0</xdr:rowOff>
    </xdr:to>
    <xdr:cxnSp macro="">
      <xdr:nvCxnSpPr>
        <xdr:cNvPr id="29" name="Conector reto 28">
          <a:extLst>
            <a:ext uri="{FF2B5EF4-FFF2-40B4-BE49-F238E27FC236}">
              <a16:creationId xmlns:a16="http://schemas.microsoft.com/office/drawing/2014/main" id="{4350EB66-35C4-42C8-8D9D-53FA31B0C683}"/>
            </a:ext>
          </a:extLst>
        </xdr:cNvPr>
        <xdr:cNvCxnSpPr/>
      </xdr:nvCxnSpPr>
      <xdr:spPr>
        <a:xfrm>
          <a:off x="2179320" y="12870180"/>
          <a:ext cx="18897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647700</xdr:colOff>
      <xdr:row>70</xdr:row>
      <xdr:rowOff>175260</xdr:rowOff>
    </xdr:from>
    <xdr:to>
      <xdr:col>7</xdr:col>
      <xdr:colOff>137160</xdr:colOff>
      <xdr:row>71</xdr:row>
      <xdr:rowOff>0</xdr:rowOff>
    </xdr:to>
    <xdr:cxnSp macro="">
      <xdr:nvCxnSpPr>
        <xdr:cNvPr id="30" name="Conector reto 29">
          <a:extLst>
            <a:ext uri="{FF2B5EF4-FFF2-40B4-BE49-F238E27FC236}">
              <a16:creationId xmlns:a16="http://schemas.microsoft.com/office/drawing/2014/main" id="{8949AB54-42AD-41BA-9D63-D03787417ACA}"/>
            </a:ext>
          </a:extLst>
        </xdr:cNvPr>
        <xdr:cNvCxnSpPr/>
      </xdr:nvCxnSpPr>
      <xdr:spPr>
        <a:xfrm>
          <a:off x="4251960" y="12862560"/>
          <a:ext cx="17145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419100</xdr:colOff>
      <xdr:row>70</xdr:row>
      <xdr:rowOff>167640</xdr:rowOff>
    </xdr:from>
    <xdr:to>
      <xdr:col>8</xdr:col>
      <xdr:colOff>1744980</xdr:colOff>
      <xdr:row>71</xdr:row>
      <xdr:rowOff>0</xdr:rowOff>
    </xdr:to>
    <xdr:cxnSp macro="">
      <xdr:nvCxnSpPr>
        <xdr:cNvPr id="35" name="Conector reto 34">
          <a:extLst>
            <a:ext uri="{FF2B5EF4-FFF2-40B4-BE49-F238E27FC236}">
              <a16:creationId xmlns:a16="http://schemas.microsoft.com/office/drawing/2014/main" id="{85946B0D-B593-485B-8B3D-72EB73114EE8}"/>
            </a:ext>
          </a:extLst>
        </xdr:cNvPr>
        <xdr:cNvCxnSpPr/>
      </xdr:nvCxnSpPr>
      <xdr:spPr>
        <a:xfrm>
          <a:off x="6248400" y="12854940"/>
          <a:ext cx="178308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7E18E321-69E3-48FD-94EA-92056B8EA073}">
    <nsvFilter filterId="{E025FF00-BBD4-447E-8A48-23C9F77BFED5}" ref="A1:I600" tableId="5"/>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B8F08B-7B44-41C0-9727-D6D3A9E412E0}" name="Tabela5" displayName="Tabela5" ref="A1:I601" totalsRowCount="1" headerRowDxfId="32" totalsRowDxfId="29" headerRowBorderDxfId="31" tableBorderDxfId="30" totalsRowBorderDxfId="28">
  <autoFilter ref="A1:I600" xr:uid="{E025FF00-BBD4-447E-8A48-23C9F77BFED5}">
    <filterColumn colId="0">
      <filters>
        <dateGroupItem year="2026" month="6" dateTimeGrouping="month"/>
      </filters>
    </filterColumn>
  </autoFilter>
  <tableColumns count="9">
    <tableColumn id="1" xr3:uid="{0B057C41-AC10-4F67-ABDF-C4EAAD7F8F2D}" name="DATA" totalsRowLabel="Total" dataDxfId="27" totalsRowDxfId="26"/>
    <tableColumn id="2" xr3:uid="{8A16FC14-C82C-43F3-BF15-DD9697EAFA57}" name="LOCAL" totalsRowFunction="count" dataDxfId="25" totalsRowDxfId="24"/>
    <tableColumn id="3" xr3:uid="{BE44A91D-706C-471A-8BDF-D29BE353B2BC}" name="ENCARREGADO OU LIDER DE EQUIPE" totalsRowFunction="count" dataDxfId="23" totalsRowDxfId="22"/>
    <tableColumn id="6" xr3:uid="{00DF3209-2326-42C6-8699-CDCB435BB747}" name="QUANTIDADE DESVIOS" totalsRowFunction="custom" dataDxfId="21" totalsRowDxfId="20">
      <totalsRowFormula>SUM(D2:D600)</totalsRowFormula>
    </tableColumn>
    <tableColumn id="4" xr3:uid="{30D85C45-EA9B-41E7-AB22-9C5FACAC4A3A}" name="DESCRIÇÃO" totalsRowFunction="count" dataDxfId="19" totalsRowDxfId="18"/>
    <tableColumn id="9" xr3:uid="{AFDBCEF9-AD84-4AF6-A78C-ADD27299479E}" name="STATUS" dataDxfId="17" totalsRowDxfId="16"/>
    <tableColumn id="8" xr3:uid="{F60BA8D5-B8CC-4468-B665-77CD1CD38176}" name="CLASSIFICAÇÃO" totalsRowFunction="count" dataDxfId="15" totalsRowDxfId="14"/>
    <tableColumn id="7" xr3:uid="{EE5A703F-BAA2-4AAB-A2E6-C2D3F12BF651}" name="QUANTIDADE INSPEÇÕES" totalsRowFunction="sum" dataDxfId="13" totalsRowDxfId="12"/>
    <tableColumn id="5" xr3:uid="{6AC59D75-1383-42D7-8A9B-B4B44FEEFFC1}" name="TÉCNICO DE SEGURANÇA  APLICADOR" totalsRowFunction="count" dataDxfId="11" totalsRow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762BD-56C9-484C-9E77-FCE66DB4640E}" name="Tabela1" displayName="Tabela1" ref="A2:C15" totalsRowCount="1" headerRowDxfId="9" headerRowBorderDxfId="8" tableBorderDxfId="7" totalsRowBorderDxfId="6">
  <autoFilter ref="A2:C14" xr:uid="{952762BD-56C9-484C-9E77-FCE66DB4640E}"/>
  <tableColumns count="3">
    <tableColumn id="1" xr3:uid="{41C10721-F7E4-4BCF-A498-D3EC0835BFEA}" name="MÊS" totalsRowLabel="Total" dataDxfId="5" totalsRowDxfId="4"/>
    <tableColumn id="2" xr3:uid="{0FEB78B2-7C7C-418B-BF73-42BE97E3E034}" name="QUANTIDADE_x000a_DDS" totalsRowFunction="sum" dataDxfId="3" totalsRowDxfId="2"/>
    <tableColumn id="3" xr3:uid="{7B989E42-8D41-444B-9D85-834753A5661B}" name="QUANTIDADE CAMPANHAS" totalsRowFunction="sum" dataDxfId="1" totalsRow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0D676E9-263B-490F-A60F-22CA2E2374C8}">
  <we:reference id="wa200010725" version="1.0.0.1" store="pt-BR" storeType="OMEX"/>
  <we:alternateReferences>
    <we:reference id="WA200010725" version="1.0.0.1" store="WA200010725" storeType="OMEX"/>
  </we:alternateReferences>
  <we:properties>
    <we:property name="claude.fileId" value="&quot;14c2c971-3930-4472-bb4e-8e050cb6c73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4C1EFA7D-AE1C-4A5D-8F78-19579069C7B9}">
  <we:reference id="wa200005502" version="1.0.0.13" store="pt-BR" storeType="OMEX"/>
  <we:alternateReferences>
    <we:reference id="WA200005502" version="1.0.0.13" store="WA200005502" storeType="OMEX"/>
  </we:alternateReferences>
  <we:properties>
    <we:property name="docId" value="&quot;prDMQIlhlx7RFs3g0CCC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FF00-BBD4-447E-8A48-23C9F77BFED5}">
  <dimension ref="A1:X601"/>
  <sheetViews>
    <sheetView tabSelected="1" zoomScale="70" zoomScaleNormal="70" zoomScaleSheetLayoutView="100" workbookViewId="0">
      <selection activeCell="F437" sqref="F437"/>
    </sheetView>
  </sheetViews>
  <sheetFormatPr defaultColWidth="8.88671875" defaultRowHeight="14.4" x14ac:dyDescent="0.3"/>
  <cols>
    <col min="1" max="1" width="17.88671875" style="16" customWidth="1"/>
    <col min="2" max="2" width="28.88671875" style="16" bestFit="1" customWidth="1"/>
    <col min="3" max="3" width="36.6640625" style="16" bestFit="1" customWidth="1"/>
    <col min="4" max="4" width="14.6640625" style="16" bestFit="1" customWidth="1"/>
    <col min="5" max="5" width="110.88671875" style="25" customWidth="1"/>
    <col min="6" max="6" width="12.88671875" style="25" customWidth="1"/>
    <col min="7" max="7" width="58.44140625" style="25" customWidth="1"/>
    <col min="8" max="8" width="15.6640625" style="16" customWidth="1"/>
    <col min="9" max="9" width="14.33203125" style="16" customWidth="1"/>
    <col min="10" max="10" width="8.88671875" style="16"/>
    <col min="11" max="11" width="6.88671875" style="16" customWidth="1"/>
    <col min="12" max="12" width="25.33203125" style="16" customWidth="1"/>
    <col min="13" max="13" width="7.33203125" style="16" customWidth="1"/>
    <col min="14" max="14" width="35" style="16" customWidth="1"/>
    <col min="15" max="15" width="7.44140625" style="16" customWidth="1"/>
    <col min="16" max="16" width="38" style="16" customWidth="1"/>
    <col min="17" max="17" width="6.109375" style="16" customWidth="1"/>
    <col min="18" max="18" width="38.6640625" style="16" customWidth="1"/>
    <col min="19" max="19" width="4.109375" style="16" customWidth="1"/>
    <col min="20" max="20" width="28.88671875" style="16" customWidth="1"/>
    <col min="21" max="21" width="6.33203125" style="16" customWidth="1"/>
    <col min="22" max="22" width="37.88671875" style="16" bestFit="1" customWidth="1"/>
    <col min="23" max="23" width="5" style="16" customWidth="1"/>
    <col min="24" max="24" width="37.33203125" style="16" bestFit="1" customWidth="1"/>
    <col min="25" max="16384" width="8.88671875" style="16"/>
  </cols>
  <sheetData>
    <row r="1" spans="1:24" s="32" customFormat="1" ht="43.2" x14ac:dyDescent="0.3">
      <c r="A1" s="31" t="s">
        <v>0</v>
      </c>
      <c r="B1" s="31" t="s">
        <v>1</v>
      </c>
      <c r="C1" s="31" t="s">
        <v>2</v>
      </c>
      <c r="D1" s="29" t="s">
        <v>3</v>
      </c>
      <c r="E1" s="31" t="s">
        <v>4</v>
      </c>
      <c r="F1" s="37" t="s">
        <v>803</v>
      </c>
      <c r="G1" s="30" t="s">
        <v>5</v>
      </c>
      <c r="H1" s="30" t="s">
        <v>6</v>
      </c>
      <c r="I1" s="30" t="s">
        <v>7</v>
      </c>
      <c r="K1" s="73" t="s">
        <v>8</v>
      </c>
      <c r="L1" s="74"/>
      <c r="M1" s="74"/>
      <c r="N1" s="74"/>
      <c r="O1" s="74"/>
      <c r="P1" s="74"/>
      <c r="Q1" s="74"/>
      <c r="R1" s="74"/>
      <c r="S1" s="74"/>
      <c r="T1" s="74"/>
      <c r="U1" s="74"/>
      <c r="V1" s="74"/>
      <c r="W1" s="74"/>
      <c r="X1" s="75"/>
    </row>
    <row r="2" spans="1:24" ht="28.8" hidden="1" x14ac:dyDescent="0.3">
      <c r="A2" s="17">
        <v>45780</v>
      </c>
      <c r="B2" s="18" t="s">
        <v>9</v>
      </c>
      <c r="C2" s="18" t="s">
        <v>10</v>
      </c>
      <c r="D2" s="18">
        <v>1</v>
      </c>
      <c r="E2" s="23" t="s">
        <v>11</v>
      </c>
      <c r="F2" s="18" t="s">
        <v>804</v>
      </c>
      <c r="G2" s="23" t="s">
        <v>31</v>
      </c>
      <c r="H2" s="18">
        <v>1</v>
      </c>
      <c r="I2" s="18" t="s">
        <v>12</v>
      </c>
      <c r="K2" s="71" t="s">
        <v>13</v>
      </c>
      <c r="L2" s="72"/>
      <c r="M2" s="71" t="s">
        <v>14</v>
      </c>
      <c r="N2" s="72"/>
      <c r="O2" s="71" t="s">
        <v>616</v>
      </c>
      <c r="P2" s="72"/>
      <c r="Q2" s="71" t="s">
        <v>617</v>
      </c>
      <c r="R2" s="72"/>
      <c r="S2" s="71" t="s">
        <v>618</v>
      </c>
      <c r="T2" s="72"/>
      <c r="U2" s="71" t="s">
        <v>619</v>
      </c>
      <c r="V2" s="72"/>
      <c r="W2" s="71" t="s">
        <v>620</v>
      </c>
      <c r="X2" s="72"/>
    </row>
    <row r="3" spans="1:24" ht="48" hidden="1" x14ac:dyDescent="0.3">
      <c r="A3" s="17">
        <v>45782</v>
      </c>
      <c r="B3" s="18" t="s">
        <v>9</v>
      </c>
      <c r="C3" s="18" t="s">
        <v>10</v>
      </c>
      <c r="D3" s="18">
        <v>1</v>
      </c>
      <c r="E3" s="23" t="s">
        <v>15</v>
      </c>
      <c r="F3" s="18" t="s">
        <v>804</v>
      </c>
      <c r="G3" s="23" t="s">
        <v>676</v>
      </c>
      <c r="H3" s="18">
        <v>1</v>
      </c>
      <c r="I3" s="18" t="s">
        <v>12</v>
      </c>
      <c r="K3" s="35" t="s">
        <v>16</v>
      </c>
      <c r="L3" s="36" t="s">
        <v>628</v>
      </c>
      <c r="M3" s="35" t="s">
        <v>17</v>
      </c>
      <c r="N3" s="36" t="s">
        <v>629</v>
      </c>
      <c r="O3" s="38" t="s">
        <v>18</v>
      </c>
      <c r="P3" s="36" t="s">
        <v>630</v>
      </c>
      <c r="Q3" s="35" t="s">
        <v>19</v>
      </c>
      <c r="R3" s="36" t="s">
        <v>631</v>
      </c>
      <c r="S3" s="38" t="s">
        <v>626</v>
      </c>
      <c r="T3" s="36" t="s">
        <v>669</v>
      </c>
      <c r="U3" s="35" t="s">
        <v>21</v>
      </c>
      <c r="V3" s="36" t="s">
        <v>668</v>
      </c>
      <c r="W3" s="35" t="s">
        <v>632</v>
      </c>
      <c r="X3" s="36" t="s">
        <v>633</v>
      </c>
    </row>
    <row r="4" spans="1:24" ht="36" hidden="1" x14ac:dyDescent="0.3">
      <c r="A4" s="17">
        <v>45784</v>
      </c>
      <c r="B4" s="18" t="s">
        <v>9</v>
      </c>
      <c r="C4" s="18" t="s">
        <v>22</v>
      </c>
      <c r="D4" s="18">
        <v>2</v>
      </c>
      <c r="E4" s="23" t="s">
        <v>23</v>
      </c>
      <c r="F4" s="18" t="s">
        <v>804</v>
      </c>
      <c r="G4" s="23" t="s">
        <v>677</v>
      </c>
      <c r="H4" s="18">
        <v>1</v>
      </c>
      <c r="I4" s="18" t="s">
        <v>12</v>
      </c>
      <c r="K4" s="35" t="s">
        <v>24</v>
      </c>
      <c r="L4" s="36" t="s">
        <v>634</v>
      </c>
      <c r="M4" s="35" t="s">
        <v>25</v>
      </c>
      <c r="N4" s="36" t="s">
        <v>635</v>
      </c>
      <c r="O4" s="38" t="s">
        <v>26</v>
      </c>
      <c r="P4" s="36" t="s">
        <v>20</v>
      </c>
      <c r="Q4" s="35" t="s">
        <v>28</v>
      </c>
      <c r="R4" s="36" t="s">
        <v>27</v>
      </c>
      <c r="S4" s="38" t="s">
        <v>636</v>
      </c>
      <c r="T4" s="36" t="s">
        <v>660</v>
      </c>
      <c r="U4" s="35" t="s">
        <v>29</v>
      </c>
      <c r="V4" s="36" t="s">
        <v>664</v>
      </c>
      <c r="W4" s="35" t="s">
        <v>637</v>
      </c>
      <c r="X4" s="36" t="s">
        <v>638</v>
      </c>
    </row>
    <row r="5" spans="1:24" ht="36" hidden="1" x14ac:dyDescent="0.3">
      <c r="A5" s="17">
        <v>45784</v>
      </c>
      <c r="B5" s="18" t="s">
        <v>9</v>
      </c>
      <c r="C5" s="18" t="s">
        <v>10</v>
      </c>
      <c r="D5" s="18">
        <v>1</v>
      </c>
      <c r="E5" s="23" t="s">
        <v>30</v>
      </c>
      <c r="F5" s="18" t="s">
        <v>804</v>
      </c>
      <c r="G5" s="23" t="s">
        <v>31</v>
      </c>
      <c r="H5" s="18">
        <v>1</v>
      </c>
      <c r="I5" s="18" t="s">
        <v>12</v>
      </c>
      <c r="K5" s="35" t="s">
        <v>32</v>
      </c>
      <c r="L5" s="36" t="s">
        <v>639</v>
      </c>
      <c r="M5" s="35" t="s">
        <v>33</v>
      </c>
      <c r="N5" s="36" t="s">
        <v>640</v>
      </c>
      <c r="O5" s="38" t="s">
        <v>34</v>
      </c>
      <c r="P5" s="36" t="s">
        <v>674</v>
      </c>
      <c r="Q5" s="35" t="s">
        <v>35</v>
      </c>
      <c r="R5" s="36" t="s">
        <v>658</v>
      </c>
      <c r="S5" s="38" t="s">
        <v>641</v>
      </c>
      <c r="T5" s="36" t="s">
        <v>667</v>
      </c>
      <c r="U5" s="35" t="s">
        <v>36</v>
      </c>
      <c r="V5" s="36" t="s">
        <v>665</v>
      </c>
      <c r="W5" s="35" t="s">
        <v>642</v>
      </c>
      <c r="X5" s="36" t="s">
        <v>663</v>
      </c>
    </row>
    <row r="6" spans="1:24" ht="50.4" hidden="1" customHeight="1" x14ac:dyDescent="0.3">
      <c r="A6" s="17">
        <v>45789</v>
      </c>
      <c r="B6" s="18" t="s">
        <v>9</v>
      </c>
      <c r="C6" s="18" t="s">
        <v>37</v>
      </c>
      <c r="D6" s="18">
        <v>1</v>
      </c>
      <c r="E6" s="23" t="s">
        <v>38</v>
      </c>
      <c r="F6" s="18" t="s">
        <v>804</v>
      </c>
      <c r="G6" s="23" t="s">
        <v>39</v>
      </c>
      <c r="H6" s="18">
        <v>1</v>
      </c>
      <c r="I6" s="18" t="s">
        <v>12</v>
      </c>
      <c r="K6" s="35" t="s">
        <v>40</v>
      </c>
      <c r="L6" s="36" t="s">
        <v>643</v>
      </c>
      <c r="M6" s="35" t="s">
        <v>41</v>
      </c>
      <c r="N6" s="36" t="s">
        <v>644</v>
      </c>
      <c r="O6" s="38" t="s">
        <v>621</v>
      </c>
      <c r="P6" s="36" t="s">
        <v>645</v>
      </c>
      <c r="Q6" s="35" t="s">
        <v>42</v>
      </c>
      <c r="R6" s="36" t="s">
        <v>659</v>
      </c>
      <c r="S6" s="38" t="s">
        <v>646</v>
      </c>
      <c r="T6" s="36" t="s">
        <v>670</v>
      </c>
      <c r="U6" s="35" t="s">
        <v>43</v>
      </c>
      <c r="V6" s="36" t="s">
        <v>666</v>
      </c>
      <c r="W6" s="35" t="s">
        <v>647</v>
      </c>
      <c r="X6" s="36" t="s">
        <v>662</v>
      </c>
    </row>
    <row r="7" spans="1:24" ht="28.8" hidden="1" x14ac:dyDescent="0.3">
      <c r="A7" s="17">
        <v>45789</v>
      </c>
      <c r="B7" s="18" t="s">
        <v>9</v>
      </c>
      <c r="C7" s="18" t="s">
        <v>10</v>
      </c>
      <c r="D7" s="18">
        <v>2</v>
      </c>
      <c r="E7" s="23" t="s">
        <v>44</v>
      </c>
      <c r="F7" s="18" t="s">
        <v>804</v>
      </c>
      <c r="G7" s="23" t="s">
        <v>678</v>
      </c>
      <c r="H7" s="18">
        <v>1</v>
      </c>
      <c r="I7" s="18" t="s">
        <v>12</v>
      </c>
      <c r="K7" s="35" t="s">
        <v>45</v>
      </c>
      <c r="L7" s="36" t="s">
        <v>648</v>
      </c>
      <c r="M7" s="35" t="s">
        <v>46</v>
      </c>
      <c r="N7" s="36" t="s">
        <v>649</v>
      </c>
      <c r="O7" s="38" t="s">
        <v>622</v>
      </c>
      <c r="P7" s="36" t="s">
        <v>650</v>
      </c>
      <c r="Q7" s="35"/>
      <c r="R7" s="36"/>
      <c r="S7" s="38" t="s">
        <v>661</v>
      </c>
      <c r="T7" s="36" t="s">
        <v>671</v>
      </c>
      <c r="U7" s="35" t="s">
        <v>624</v>
      </c>
      <c r="V7" s="36" t="s">
        <v>651</v>
      </c>
      <c r="W7" s="35"/>
      <c r="X7" s="36"/>
    </row>
    <row r="8" spans="1:24" ht="24" hidden="1" x14ac:dyDescent="0.3">
      <c r="A8" s="17">
        <v>45790</v>
      </c>
      <c r="B8" s="18" t="s">
        <v>9</v>
      </c>
      <c r="C8" s="18" t="s">
        <v>47</v>
      </c>
      <c r="D8" s="18">
        <v>1</v>
      </c>
      <c r="E8" s="23" t="s">
        <v>48</v>
      </c>
      <c r="F8" s="18" t="s">
        <v>804</v>
      </c>
      <c r="G8" s="23" t="s">
        <v>679</v>
      </c>
      <c r="H8" s="18">
        <v>1</v>
      </c>
      <c r="I8" s="18" t="s">
        <v>12</v>
      </c>
      <c r="K8" s="35" t="s">
        <v>49</v>
      </c>
      <c r="L8" s="36" t="s">
        <v>652</v>
      </c>
      <c r="M8" s="35" t="s">
        <v>50</v>
      </c>
      <c r="N8" s="36" t="s">
        <v>653</v>
      </c>
      <c r="O8" s="38" t="s">
        <v>623</v>
      </c>
      <c r="P8" s="36" t="s">
        <v>805</v>
      </c>
      <c r="Q8" s="35"/>
      <c r="R8" s="36"/>
      <c r="S8" s="35"/>
      <c r="T8" s="36"/>
      <c r="U8" s="35" t="s">
        <v>625</v>
      </c>
      <c r="V8" s="36" t="s">
        <v>654</v>
      </c>
      <c r="W8" s="35"/>
      <c r="X8" s="36"/>
    </row>
    <row r="9" spans="1:24" ht="28.8" hidden="1" x14ac:dyDescent="0.3">
      <c r="A9" s="17">
        <v>45792</v>
      </c>
      <c r="B9" s="18" t="s">
        <v>9</v>
      </c>
      <c r="C9" s="18" t="s">
        <v>37</v>
      </c>
      <c r="D9" s="18">
        <v>2</v>
      </c>
      <c r="E9" s="23" t="s">
        <v>51</v>
      </c>
      <c r="F9" s="18" t="s">
        <v>804</v>
      </c>
      <c r="G9" s="23" t="s">
        <v>680</v>
      </c>
      <c r="H9" s="18">
        <v>1</v>
      </c>
      <c r="I9" s="18" t="s">
        <v>52</v>
      </c>
      <c r="K9" s="35" t="s">
        <v>53</v>
      </c>
      <c r="L9" s="36" t="s">
        <v>675</v>
      </c>
      <c r="M9" s="35" t="s">
        <v>54</v>
      </c>
      <c r="N9" s="36" t="s">
        <v>655</v>
      </c>
      <c r="O9" s="38" t="s">
        <v>627</v>
      </c>
      <c r="P9" s="36" t="s">
        <v>656</v>
      </c>
      <c r="Q9" s="35"/>
      <c r="R9" s="36"/>
      <c r="S9" s="35"/>
      <c r="T9" s="36"/>
      <c r="U9" s="35" t="s">
        <v>835</v>
      </c>
      <c r="V9" s="36" t="s">
        <v>836</v>
      </c>
      <c r="W9" s="35"/>
      <c r="X9" s="36"/>
    </row>
    <row r="10" spans="1:24" ht="24" hidden="1" x14ac:dyDescent="0.3">
      <c r="A10" s="17">
        <v>45798</v>
      </c>
      <c r="B10" s="18" t="s">
        <v>9</v>
      </c>
      <c r="C10" s="18" t="s">
        <v>55</v>
      </c>
      <c r="D10" s="18">
        <v>1</v>
      </c>
      <c r="E10" s="23" t="s">
        <v>56</v>
      </c>
      <c r="F10" s="18" t="s">
        <v>804</v>
      </c>
      <c r="G10" s="23" t="s">
        <v>39</v>
      </c>
      <c r="H10" s="18">
        <v>1</v>
      </c>
      <c r="I10" s="18" t="s">
        <v>52</v>
      </c>
      <c r="K10" s="35" t="s">
        <v>57</v>
      </c>
      <c r="L10" s="36" t="s">
        <v>657</v>
      </c>
      <c r="M10" s="35"/>
      <c r="N10" s="36"/>
      <c r="O10" s="38" t="s">
        <v>672</v>
      </c>
      <c r="P10" s="36" t="s">
        <v>673</v>
      </c>
      <c r="Q10" s="35"/>
      <c r="R10" s="36"/>
      <c r="S10" s="35"/>
      <c r="T10" s="36"/>
      <c r="U10" s="35"/>
      <c r="V10" s="36"/>
      <c r="W10" s="35"/>
      <c r="X10" s="36"/>
    </row>
    <row r="11" spans="1:24" ht="28.8" hidden="1" x14ac:dyDescent="0.3">
      <c r="A11" s="17">
        <v>45798</v>
      </c>
      <c r="B11" s="18" t="s">
        <v>9</v>
      </c>
      <c r="C11" s="18" t="s">
        <v>10</v>
      </c>
      <c r="D11" s="18">
        <v>2</v>
      </c>
      <c r="E11" s="23" t="s">
        <v>58</v>
      </c>
      <c r="F11" s="18" t="s">
        <v>804</v>
      </c>
      <c r="G11" s="23" t="s">
        <v>726</v>
      </c>
      <c r="H11" s="18">
        <v>1</v>
      </c>
      <c r="I11" s="18" t="s">
        <v>52</v>
      </c>
    </row>
    <row r="12" spans="1:24" ht="28.8" hidden="1" x14ac:dyDescent="0.3">
      <c r="A12" s="17">
        <v>45798</v>
      </c>
      <c r="B12" s="18" t="s">
        <v>9</v>
      </c>
      <c r="C12" s="18" t="s">
        <v>55</v>
      </c>
      <c r="D12" s="18">
        <v>3</v>
      </c>
      <c r="E12" s="23" t="s">
        <v>59</v>
      </c>
      <c r="F12" s="18" t="s">
        <v>804</v>
      </c>
      <c r="G12" s="23" t="s">
        <v>682</v>
      </c>
      <c r="H12" s="18">
        <v>1</v>
      </c>
      <c r="I12" s="18" t="s">
        <v>52</v>
      </c>
    </row>
    <row r="13" spans="1:24" ht="28.8" hidden="1" x14ac:dyDescent="0.3">
      <c r="A13" s="17">
        <v>45800</v>
      </c>
      <c r="B13" s="18" t="s">
        <v>9</v>
      </c>
      <c r="C13" s="18" t="s">
        <v>10</v>
      </c>
      <c r="D13" s="18">
        <v>2</v>
      </c>
      <c r="E13" s="23" t="s">
        <v>58</v>
      </c>
      <c r="F13" s="18" t="s">
        <v>804</v>
      </c>
      <c r="G13" s="23" t="s">
        <v>726</v>
      </c>
      <c r="H13" s="18">
        <v>1</v>
      </c>
      <c r="I13" s="18" t="s">
        <v>52</v>
      </c>
    </row>
    <row r="14" spans="1:24" ht="43.2" hidden="1" x14ac:dyDescent="0.3">
      <c r="A14" s="17">
        <v>45803</v>
      </c>
      <c r="B14" s="18" t="s">
        <v>9</v>
      </c>
      <c r="C14" s="18" t="s">
        <v>37</v>
      </c>
      <c r="D14" s="18">
        <v>3</v>
      </c>
      <c r="E14" s="23" t="s">
        <v>60</v>
      </c>
      <c r="F14" s="18" t="s">
        <v>804</v>
      </c>
      <c r="G14" s="23" t="s">
        <v>734</v>
      </c>
      <c r="H14" s="18">
        <v>1</v>
      </c>
      <c r="I14" s="18" t="s">
        <v>52</v>
      </c>
    </row>
    <row r="15" spans="1:24" hidden="1" x14ac:dyDescent="0.3">
      <c r="A15" s="17">
        <v>45804</v>
      </c>
      <c r="B15" s="18" t="s">
        <v>9</v>
      </c>
      <c r="C15" s="18" t="s">
        <v>47</v>
      </c>
      <c r="D15" s="18">
        <v>1</v>
      </c>
      <c r="E15" s="23" t="s">
        <v>61</v>
      </c>
      <c r="F15" s="18" t="s">
        <v>804</v>
      </c>
      <c r="G15" s="23" t="s">
        <v>683</v>
      </c>
      <c r="H15" s="18">
        <v>1</v>
      </c>
      <c r="I15" s="18" t="s">
        <v>52</v>
      </c>
    </row>
    <row r="16" spans="1:24" hidden="1" x14ac:dyDescent="0.3">
      <c r="A16" s="17">
        <v>45805</v>
      </c>
      <c r="B16" s="18" t="s">
        <v>9</v>
      </c>
      <c r="C16" s="18" t="s">
        <v>55</v>
      </c>
      <c r="D16" s="18">
        <v>1</v>
      </c>
      <c r="E16" s="23" t="s">
        <v>62</v>
      </c>
      <c r="F16" s="18" t="s">
        <v>804</v>
      </c>
      <c r="G16" s="23" t="s">
        <v>683</v>
      </c>
      <c r="H16" s="18">
        <v>1</v>
      </c>
      <c r="I16" s="18" t="s">
        <v>52</v>
      </c>
    </row>
    <row r="17" spans="1:9" hidden="1" x14ac:dyDescent="0.3">
      <c r="A17" s="17">
        <v>45818</v>
      </c>
      <c r="B17" s="18" t="s">
        <v>9</v>
      </c>
      <c r="C17" s="18" t="s">
        <v>37</v>
      </c>
      <c r="D17" s="18">
        <v>1</v>
      </c>
      <c r="E17" s="23" t="s">
        <v>63</v>
      </c>
      <c r="F17" s="18" t="s">
        <v>804</v>
      </c>
      <c r="G17" s="23" t="s">
        <v>683</v>
      </c>
      <c r="H17" s="18">
        <v>1</v>
      </c>
      <c r="I17" s="18" t="s">
        <v>64</v>
      </c>
    </row>
    <row r="18" spans="1:9" hidden="1" x14ac:dyDescent="0.3">
      <c r="A18" s="17">
        <v>45818</v>
      </c>
      <c r="B18" s="18" t="s">
        <v>9</v>
      </c>
      <c r="C18" s="18" t="s">
        <v>55</v>
      </c>
      <c r="D18" s="18">
        <v>2</v>
      </c>
      <c r="E18" s="23" t="s">
        <v>65</v>
      </c>
      <c r="F18" s="18" t="s">
        <v>804</v>
      </c>
      <c r="G18" s="23" t="s">
        <v>202</v>
      </c>
      <c r="H18" s="18">
        <v>1</v>
      </c>
      <c r="I18" s="18" t="s">
        <v>64</v>
      </c>
    </row>
    <row r="19" spans="1:9" hidden="1" x14ac:dyDescent="0.3">
      <c r="A19" s="17">
        <v>45818</v>
      </c>
      <c r="B19" s="18" t="s">
        <v>9</v>
      </c>
      <c r="C19" s="18" t="s">
        <v>66</v>
      </c>
      <c r="D19" s="18">
        <v>2</v>
      </c>
      <c r="E19" s="23" t="s">
        <v>65</v>
      </c>
      <c r="F19" s="18" t="s">
        <v>804</v>
      </c>
      <c r="G19" s="23" t="s">
        <v>202</v>
      </c>
      <c r="H19" s="18">
        <v>1</v>
      </c>
      <c r="I19" s="18" t="s">
        <v>64</v>
      </c>
    </row>
    <row r="20" spans="1:9" ht="43.2" hidden="1" x14ac:dyDescent="0.3">
      <c r="A20" s="17">
        <v>45823</v>
      </c>
      <c r="B20" s="18" t="s">
        <v>9</v>
      </c>
      <c r="C20" s="18" t="s">
        <v>67</v>
      </c>
      <c r="D20" s="18">
        <v>3</v>
      </c>
      <c r="E20" s="23" t="s">
        <v>68</v>
      </c>
      <c r="F20" s="18" t="s">
        <v>804</v>
      </c>
      <c r="G20" s="23" t="s">
        <v>684</v>
      </c>
      <c r="H20" s="18">
        <v>1</v>
      </c>
      <c r="I20" s="18" t="s">
        <v>64</v>
      </c>
    </row>
    <row r="21" spans="1:9" hidden="1" x14ac:dyDescent="0.3">
      <c r="A21" s="17">
        <v>45829</v>
      </c>
      <c r="B21" s="18" t="s">
        <v>9</v>
      </c>
      <c r="C21" s="18" t="s">
        <v>10</v>
      </c>
      <c r="D21" s="18">
        <v>1</v>
      </c>
      <c r="E21" s="23" t="s">
        <v>69</v>
      </c>
      <c r="F21" s="18" t="s">
        <v>804</v>
      </c>
      <c r="G21" s="23" t="s">
        <v>685</v>
      </c>
      <c r="H21" s="18">
        <v>1</v>
      </c>
      <c r="I21" s="18" t="s">
        <v>64</v>
      </c>
    </row>
    <row r="22" spans="1:9" hidden="1" x14ac:dyDescent="0.3">
      <c r="A22" s="17">
        <v>45832</v>
      </c>
      <c r="B22" s="18" t="s">
        <v>9</v>
      </c>
      <c r="C22" s="18" t="s">
        <v>55</v>
      </c>
      <c r="D22" s="18">
        <v>1</v>
      </c>
      <c r="E22" s="23" t="s">
        <v>70</v>
      </c>
      <c r="F22" s="18" t="s">
        <v>804</v>
      </c>
      <c r="G22" s="23" t="s">
        <v>31</v>
      </c>
      <c r="H22" s="18">
        <v>1</v>
      </c>
      <c r="I22" s="18" t="s">
        <v>64</v>
      </c>
    </row>
    <row r="23" spans="1:9" ht="28.8" hidden="1" x14ac:dyDescent="0.3">
      <c r="A23" s="17">
        <v>45832</v>
      </c>
      <c r="B23" s="18" t="s">
        <v>9</v>
      </c>
      <c r="C23" s="18" t="s">
        <v>37</v>
      </c>
      <c r="D23" s="18">
        <v>1</v>
      </c>
      <c r="E23" s="23" t="s">
        <v>71</v>
      </c>
      <c r="F23" s="18" t="s">
        <v>804</v>
      </c>
      <c r="G23" s="23" t="s">
        <v>736</v>
      </c>
      <c r="H23" s="18">
        <v>1</v>
      </c>
      <c r="I23" s="18" t="s">
        <v>64</v>
      </c>
    </row>
    <row r="24" spans="1:9" hidden="1" x14ac:dyDescent="0.3">
      <c r="A24" s="17">
        <v>45832</v>
      </c>
      <c r="B24" s="18" t="s">
        <v>9</v>
      </c>
      <c r="C24" s="18" t="s">
        <v>47</v>
      </c>
      <c r="D24" s="18">
        <v>1</v>
      </c>
      <c r="E24" s="23" t="s">
        <v>72</v>
      </c>
      <c r="F24" s="18" t="s">
        <v>804</v>
      </c>
      <c r="G24" s="23" t="s">
        <v>73</v>
      </c>
      <c r="H24" s="18">
        <v>1</v>
      </c>
      <c r="I24" s="18" t="s">
        <v>64</v>
      </c>
    </row>
    <row r="25" spans="1:9" hidden="1" x14ac:dyDescent="0.3">
      <c r="A25" s="17">
        <v>45832</v>
      </c>
      <c r="B25" s="18" t="s">
        <v>9</v>
      </c>
      <c r="C25" s="18" t="s">
        <v>74</v>
      </c>
      <c r="D25" s="18">
        <v>1</v>
      </c>
      <c r="E25" s="23" t="s">
        <v>62</v>
      </c>
      <c r="F25" s="18" t="s">
        <v>804</v>
      </c>
      <c r="G25" s="23" t="s">
        <v>683</v>
      </c>
      <c r="H25" s="18">
        <v>1</v>
      </c>
      <c r="I25" s="18" t="s">
        <v>64</v>
      </c>
    </row>
    <row r="26" spans="1:9" hidden="1" x14ac:dyDescent="0.3">
      <c r="A26" s="17">
        <v>45833</v>
      </c>
      <c r="B26" s="18" t="s">
        <v>75</v>
      </c>
      <c r="C26" s="18" t="s">
        <v>76</v>
      </c>
      <c r="D26" s="18">
        <v>2</v>
      </c>
      <c r="E26" s="23" t="s">
        <v>77</v>
      </c>
      <c r="F26" s="18" t="s">
        <v>804</v>
      </c>
      <c r="G26" s="23" t="s">
        <v>686</v>
      </c>
      <c r="H26" s="18">
        <v>1</v>
      </c>
      <c r="I26" s="18" t="s">
        <v>64</v>
      </c>
    </row>
    <row r="27" spans="1:9" hidden="1" x14ac:dyDescent="0.3">
      <c r="A27" s="17">
        <v>45835</v>
      </c>
      <c r="B27" s="18" t="s">
        <v>75</v>
      </c>
      <c r="C27" s="18" t="s">
        <v>76</v>
      </c>
      <c r="D27" s="18">
        <v>1</v>
      </c>
      <c r="E27" s="23" t="s">
        <v>78</v>
      </c>
      <c r="F27" s="18" t="s">
        <v>804</v>
      </c>
      <c r="G27" s="23" t="s">
        <v>683</v>
      </c>
      <c r="H27" s="18">
        <v>1</v>
      </c>
      <c r="I27" s="18" t="s">
        <v>52</v>
      </c>
    </row>
    <row r="28" spans="1:9" ht="201.6" hidden="1" x14ac:dyDescent="0.3">
      <c r="A28" s="20">
        <v>45842</v>
      </c>
      <c r="B28" s="21" t="s">
        <v>79</v>
      </c>
      <c r="C28" s="18" t="s">
        <v>37</v>
      </c>
      <c r="D28" s="18">
        <v>3</v>
      </c>
      <c r="E28" s="24" t="s">
        <v>80</v>
      </c>
      <c r="F28" s="18" t="s">
        <v>804</v>
      </c>
      <c r="G28" s="24" t="s">
        <v>687</v>
      </c>
      <c r="H28" s="18">
        <v>1</v>
      </c>
      <c r="I28" s="18" t="s">
        <v>52</v>
      </c>
    </row>
    <row r="29" spans="1:9" ht="57.6" hidden="1" x14ac:dyDescent="0.3">
      <c r="A29" s="20">
        <v>45853</v>
      </c>
      <c r="B29" s="18" t="s">
        <v>75</v>
      </c>
      <c r="C29" s="18" t="s">
        <v>76</v>
      </c>
      <c r="D29" s="18">
        <v>2</v>
      </c>
      <c r="E29" s="24" t="s">
        <v>81</v>
      </c>
      <c r="F29" s="18" t="s">
        <v>804</v>
      </c>
      <c r="G29" s="24" t="s">
        <v>680</v>
      </c>
      <c r="H29" s="18">
        <v>1</v>
      </c>
      <c r="I29" s="18" t="s">
        <v>64</v>
      </c>
    </row>
    <row r="30" spans="1:9" ht="86.4" hidden="1" x14ac:dyDescent="0.3">
      <c r="A30" s="20">
        <v>45853</v>
      </c>
      <c r="B30" s="18" t="s">
        <v>75</v>
      </c>
      <c r="C30" s="21" t="s">
        <v>82</v>
      </c>
      <c r="D30" s="21">
        <v>2</v>
      </c>
      <c r="E30" s="24" t="s">
        <v>83</v>
      </c>
      <c r="F30" s="18" t="s">
        <v>804</v>
      </c>
      <c r="G30" s="24" t="s">
        <v>688</v>
      </c>
      <c r="H30" s="18">
        <v>1</v>
      </c>
      <c r="I30" s="18" t="s">
        <v>64</v>
      </c>
    </row>
    <row r="31" spans="1:9" ht="158.4" hidden="1" x14ac:dyDescent="0.3">
      <c r="A31" s="20">
        <v>45854</v>
      </c>
      <c r="B31" s="18" t="s">
        <v>9</v>
      </c>
      <c r="C31" s="18" t="s">
        <v>66</v>
      </c>
      <c r="D31" s="21">
        <v>6</v>
      </c>
      <c r="E31" s="24" t="s">
        <v>84</v>
      </c>
      <c r="F31" s="18" t="s">
        <v>804</v>
      </c>
      <c r="G31" s="24" t="s">
        <v>689</v>
      </c>
      <c r="H31" s="18">
        <v>1</v>
      </c>
      <c r="I31" s="18" t="s">
        <v>64</v>
      </c>
    </row>
    <row r="32" spans="1:9" ht="172.8" hidden="1" x14ac:dyDescent="0.3">
      <c r="A32" s="20">
        <v>45855</v>
      </c>
      <c r="B32" s="18" t="s">
        <v>9</v>
      </c>
      <c r="C32" s="18" t="s">
        <v>76</v>
      </c>
      <c r="D32" s="18">
        <v>4</v>
      </c>
      <c r="E32" s="24" t="s">
        <v>85</v>
      </c>
      <c r="F32" s="18" t="s">
        <v>804</v>
      </c>
      <c r="G32" s="24" t="s">
        <v>690</v>
      </c>
      <c r="H32" s="18">
        <v>1</v>
      </c>
      <c r="I32" s="18" t="s">
        <v>52</v>
      </c>
    </row>
    <row r="33" spans="1:9" ht="72" hidden="1" x14ac:dyDescent="0.3">
      <c r="A33" s="20">
        <v>45859</v>
      </c>
      <c r="B33" s="18" t="s">
        <v>9</v>
      </c>
      <c r="C33" s="18" t="s">
        <v>66</v>
      </c>
      <c r="D33" s="21">
        <v>3</v>
      </c>
      <c r="E33" s="24" t="s">
        <v>86</v>
      </c>
      <c r="F33" s="18" t="s">
        <v>804</v>
      </c>
      <c r="G33" s="24" t="s">
        <v>691</v>
      </c>
      <c r="H33" s="21">
        <v>1</v>
      </c>
      <c r="I33" s="21" t="s">
        <v>87</v>
      </c>
    </row>
    <row r="34" spans="1:9" ht="115.2" hidden="1" x14ac:dyDescent="0.3">
      <c r="A34" s="20">
        <v>45860</v>
      </c>
      <c r="B34" s="18" t="s">
        <v>9</v>
      </c>
      <c r="C34" s="18" t="s">
        <v>55</v>
      </c>
      <c r="D34" s="21">
        <v>6</v>
      </c>
      <c r="E34" s="24" t="s">
        <v>88</v>
      </c>
      <c r="F34" s="18" t="s">
        <v>804</v>
      </c>
      <c r="G34" s="24" t="s">
        <v>806</v>
      </c>
      <c r="H34" s="18">
        <v>1</v>
      </c>
      <c r="I34" s="18" t="s">
        <v>64</v>
      </c>
    </row>
    <row r="35" spans="1:9" hidden="1" x14ac:dyDescent="0.3">
      <c r="A35" s="17">
        <v>45875</v>
      </c>
      <c r="B35" s="18" t="s">
        <v>9</v>
      </c>
      <c r="C35" s="18" t="s">
        <v>66</v>
      </c>
      <c r="D35" s="18">
        <v>1</v>
      </c>
      <c r="E35" s="23" t="s">
        <v>89</v>
      </c>
      <c r="F35" s="18" t="s">
        <v>804</v>
      </c>
      <c r="G35" s="23" t="s">
        <v>757</v>
      </c>
      <c r="H35" s="18">
        <v>1</v>
      </c>
      <c r="I35" s="18" t="s">
        <v>64</v>
      </c>
    </row>
    <row r="36" spans="1:9" hidden="1" x14ac:dyDescent="0.3">
      <c r="A36" s="17">
        <v>45878</v>
      </c>
      <c r="B36" s="18" t="s">
        <v>9</v>
      </c>
      <c r="C36" s="18" t="s">
        <v>67</v>
      </c>
      <c r="D36" s="18">
        <v>1</v>
      </c>
      <c r="E36" s="23" t="s">
        <v>90</v>
      </c>
      <c r="F36" s="18" t="s">
        <v>804</v>
      </c>
      <c r="G36" s="23" t="s">
        <v>679</v>
      </c>
      <c r="H36" s="18">
        <v>1</v>
      </c>
      <c r="I36" s="18" t="s">
        <v>64</v>
      </c>
    </row>
    <row r="37" spans="1:9" ht="28.8" hidden="1" x14ac:dyDescent="0.3">
      <c r="A37" s="17">
        <v>45890</v>
      </c>
      <c r="B37" s="18" t="s">
        <v>91</v>
      </c>
      <c r="C37" s="18" t="s">
        <v>92</v>
      </c>
      <c r="D37" s="18">
        <v>2</v>
      </c>
      <c r="E37" s="23" t="s">
        <v>93</v>
      </c>
      <c r="F37" s="18" t="s">
        <v>804</v>
      </c>
      <c r="G37" s="23" t="s">
        <v>692</v>
      </c>
      <c r="H37" s="18">
        <v>1</v>
      </c>
      <c r="I37" s="18" t="s">
        <v>64</v>
      </c>
    </row>
    <row r="38" spans="1:9" ht="43.2" hidden="1" x14ac:dyDescent="0.3">
      <c r="A38" s="17">
        <v>45890</v>
      </c>
      <c r="B38" s="18" t="s">
        <v>91</v>
      </c>
      <c r="C38" s="18" t="s">
        <v>67</v>
      </c>
      <c r="D38" s="18">
        <v>3</v>
      </c>
      <c r="E38" s="23" t="s">
        <v>94</v>
      </c>
      <c r="F38" s="18" t="s">
        <v>804</v>
      </c>
      <c r="G38" s="23" t="s">
        <v>693</v>
      </c>
      <c r="H38" s="18">
        <v>1</v>
      </c>
      <c r="I38" s="18" t="s">
        <v>64</v>
      </c>
    </row>
    <row r="39" spans="1:9" hidden="1" x14ac:dyDescent="0.3">
      <c r="A39" s="17">
        <v>45891</v>
      </c>
      <c r="B39" s="18" t="s">
        <v>9</v>
      </c>
      <c r="C39" s="18" t="s">
        <v>95</v>
      </c>
      <c r="D39" s="18">
        <v>1</v>
      </c>
      <c r="E39" s="23" t="s">
        <v>96</v>
      </c>
      <c r="F39" s="18" t="s">
        <v>804</v>
      </c>
      <c r="G39" s="23" t="s">
        <v>694</v>
      </c>
      <c r="H39" s="18">
        <v>1</v>
      </c>
      <c r="I39" s="18" t="s">
        <v>64</v>
      </c>
    </row>
    <row r="40" spans="1:9" hidden="1" x14ac:dyDescent="0.3">
      <c r="A40" s="17">
        <v>45891</v>
      </c>
      <c r="B40" s="18" t="s">
        <v>9</v>
      </c>
      <c r="C40" s="18" t="s">
        <v>97</v>
      </c>
      <c r="D40" s="18">
        <v>1</v>
      </c>
      <c r="E40" s="23" t="s">
        <v>98</v>
      </c>
      <c r="F40" s="18" t="s">
        <v>804</v>
      </c>
      <c r="G40" s="23" t="s">
        <v>39</v>
      </c>
      <c r="H40" s="18">
        <v>1</v>
      </c>
      <c r="I40" s="18" t="s">
        <v>64</v>
      </c>
    </row>
    <row r="41" spans="1:9" hidden="1" x14ac:dyDescent="0.3">
      <c r="A41" s="17">
        <v>45891</v>
      </c>
      <c r="B41" s="18" t="s">
        <v>9</v>
      </c>
      <c r="C41" s="18" t="s">
        <v>67</v>
      </c>
      <c r="D41" s="18">
        <v>1</v>
      </c>
      <c r="E41" s="23" t="s">
        <v>99</v>
      </c>
      <c r="F41" s="18" t="s">
        <v>804</v>
      </c>
      <c r="G41" s="23" t="s">
        <v>757</v>
      </c>
      <c r="H41" s="18">
        <v>1</v>
      </c>
      <c r="I41" s="18" t="s">
        <v>52</v>
      </c>
    </row>
    <row r="42" spans="1:9" ht="28.8" hidden="1" x14ac:dyDescent="0.3">
      <c r="A42" s="17">
        <v>45893</v>
      </c>
      <c r="B42" s="18" t="s">
        <v>91</v>
      </c>
      <c r="C42" s="18" t="s">
        <v>95</v>
      </c>
      <c r="D42" s="18">
        <v>1</v>
      </c>
      <c r="E42" s="23" t="s">
        <v>100</v>
      </c>
      <c r="F42" s="18" t="s">
        <v>804</v>
      </c>
      <c r="G42" s="23" t="s">
        <v>695</v>
      </c>
      <c r="H42" s="18">
        <v>1</v>
      </c>
      <c r="I42" s="18" t="s">
        <v>64</v>
      </c>
    </row>
    <row r="43" spans="1:9" ht="43.2" hidden="1" x14ac:dyDescent="0.3">
      <c r="A43" s="17">
        <v>45898</v>
      </c>
      <c r="B43" s="18" t="s">
        <v>9</v>
      </c>
      <c r="C43" s="18" t="s">
        <v>101</v>
      </c>
      <c r="D43" s="18">
        <v>3</v>
      </c>
      <c r="E43" s="23" t="s">
        <v>102</v>
      </c>
      <c r="F43" s="18" t="s">
        <v>804</v>
      </c>
      <c r="G43" s="23" t="s">
        <v>758</v>
      </c>
      <c r="H43" s="18">
        <v>1</v>
      </c>
      <c r="I43" s="18" t="s">
        <v>64</v>
      </c>
    </row>
    <row r="44" spans="1:9" hidden="1" x14ac:dyDescent="0.3">
      <c r="A44" s="20">
        <v>45901</v>
      </c>
      <c r="B44" s="18" t="s">
        <v>9</v>
      </c>
      <c r="C44" s="21" t="s">
        <v>95</v>
      </c>
      <c r="D44" s="21">
        <v>1</v>
      </c>
      <c r="E44" s="24" t="s">
        <v>103</v>
      </c>
      <c r="F44" s="18" t="s">
        <v>804</v>
      </c>
      <c r="G44" s="24" t="s">
        <v>697</v>
      </c>
      <c r="H44" s="18">
        <v>1</v>
      </c>
      <c r="I44" s="18" t="s">
        <v>52</v>
      </c>
    </row>
    <row r="45" spans="1:9" hidden="1" x14ac:dyDescent="0.3">
      <c r="A45" s="20">
        <v>45902</v>
      </c>
      <c r="B45" s="18" t="s">
        <v>9</v>
      </c>
      <c r="C45" s="21" t="s">
        <v>104</v>
      </c>
      <c r="D45" s="21">
        <v>1</v>
      </c>
      <c r="E45" s="24" t="s">
        <v>105</v>
      </c>
      <c r="F45" s="18" t="s">
        <v>804</v>
      </c>
      <c r="G45" s="24" t="s">
        <v>723</v>
      </c>
      <c r="H45" s="18">
        <v>1</v>
      </c>
      <c r="I45" s="18" t="s">
        <v>64</v>
      </c>
    </row>
    <row r="46" spans="1:9" hidden="1" x14ac:dyDescent="0.3">
      <c r="A46" s="20">
        <v>45903</v>
      </c>
      <c r="B46" s="18" t="s">
        <v>9</v>
      </c>
      <c r="C46" s="21" t="s">
        <v>47</v>
      </c>
      <c r="D46" s="21">
        <v>1</v>
      </c>
      <c r="E46" s="24" t="s">
        <v>106</v>
      </c>
      <c r="F46" s="18" t="s">
        <v>804</v>
      </c>
      <c r="G46" s="24" t="s">
        <v>746</v>
      </c>
      <c r="H46" s="18">
        <v>1</v>
      </c>
      <c r="I46" s="18" t="s">
        <v>64</v>
      </c>
    </row>
    <row r="47" spans="1:9" ht="28.8" hidden="1" x14ac:dyDescent="0.3">
      <c r="A47" s="20">
        <v>45903</v>
      </c>
      <c r="B47" s="18" t="s">
        <v>9</v>
      </c>
      <c r="C47" s="18" t="s">
        <v>92</v>
      </c>
      <c r="D47" s="21">
        <v>3</v>
      </c>
      <c r="E47" s="24" t="s">
        <v>107</v>
      </c>
      <c r="F47" s="18" t="s">
        <v>804</v>
      </c>
      <c r="G47" s="24" t="s">
        <v>698</v>
      </c>
      <c r="H47" s="18">
        <v>1</v>
      </c>
      <c r="I47" s="18" t="s">
        <v>64</v>
      </c>
    </row>
    <row r="48" spans="1:9" ht="43.2" hidden="1" x14ac:dyDescent="0.3">
      <c r="A48" s="20">
        <v>45903</v>
      </c>
      <c r="B48" s="18" t="s">
        <v>9</v>
      </c>
      <c r="C48" s="18" t="s">
        <v>66</v>
      </c>
      <c r="D48" s="21">
        <v>3</v>
      </c>
      <c r="E48" s="24" t="s">
        <v>108</v>
      </c>
      <c r="F48" s="18" t="s">
        <v>804</v>
      </c>
      <c r="G48" s="24" t="s">
        <v>699</v>
      </c>
      <c r="H48" s="18">
        <v>1</v>
      </c>
      <c r="I48" s="18" t="s">
        <v>64</v>
      </c>
    </row>
    <row r="49" spans="1:9" hidden="1" x14ac:dyDescent="0.3">
      <c r="A49" s="20">
        <v>45904</v>
      </c>
      <c r="B49" s="18" t="s">
        <v>9</v>
      </c>
      <c r="C49" s="18" t="s">
        <v>67</v>
      </c>
      <c r="D49" s="21">
        <v>1</v>
      </c>
      <c r="E49" s="24" t="s">
        <v>109</v>
      </c>
      <c r="F49" s="18" t="s">
        <v>804</v>
      </c>
      <c r="G49" s="24" t="s">
        <v>697</v>
      </c>
      <c r="H49" s="18">
        <v>1</v>
      </c>
      <c r="I49" s="18" t="s">
        <v>52</v>
      </c>
    </row>
    <row r="50" spans="1:9" hidden="1" x14ac:dyDescent="0.3">
      <c r="A50" s="20">
        <v>45904</v>
      </c>
      <c r="B50" s="18" t="s">
        <v>9</v>
      </c>
      <c r="C50" s="18" t="s">
        <v>92</v>
      </c>
      <c r="D50" s="21">
        <v>1</v>
      </c>
      <c r="E50" s="24" t="s">
        <v>110</v>
      </c>
      <c r="F50" s="18" t="s">
        <v>804</v>
      </c>
      <c r="G50" s="24" t="s">
        <v>694</v>
      </c>
      <c r="H50" s="18">
        <v>1</v>
      </c>
      <c r="I50" s="18" t="s">
        <v>64</v>
      </c>
    </row>
    <row r="51" spans="1:9" hidden="1" x14ac:dyDescent="0.3">
      <c r="A51" s="20">
        <v>45906</v>
      </c>
      <c r="B51" s="18" t="s">
        <v>9</v>
      </c>
      <c r="C51" s="18" t="s">
        <v>74</v>
      </c>
      <c r="D51" s="21">
        <v>1</v>
      </c>
      <c r="E51" s="24" t="s">
        <v>111</v>
      </c>
      <c r="F51" s="18" t="s">
        <v>804</v>
      </c>
      <c r="G51" s="24" t="s">
        <v>736</v>
      </c>
      <c r="H51" s="18">
        <v>1</v>
      </c>
      <c r="I51" s="18" t="s">
        <v>64</v>
      </c>
    </row>
    <row r="52" spans="1:9" ht="28.8" hidden="1" x14ac:dyDescent="0.3">
      <c r="A52" s="20">
        <v>45907</v>
      </c>
      <c r="B52" s="18" t="s">
        <v>9</v>
      </c>
      <c r="C52" s="18" t="s">
        <v>74</v>
      </c>
      <c r="D52" s="21">
        <v>2</v>
      </c>
      <c r="E52" s="24" t="s">
        <v>112</v>
      </c>
      <c r="F52" s="18" t="s">
        <v>804</v>
      </c>
      <c r="G52" s="24" t="s">
        <v>202</v>
      </c>
      <c r="H52" s="18">
        <v>1</v>
      </c>
      <c r="I52" s="18" t="s">
        <v>64</v>
      </c>
    </row>
    <row r="53" spans="1:9" ht="43.2" hidden="1" x14ac:dyDescent="0.3">
      <c r="A53" s="20">
        <v>45910</v>
      </c>
      <c r="B53" s="18" t="s">
        <v>9</v>
      </c>
      <c r="C53" s="21" t="s">
        <v>113</v>
      </c>
      <c r="D53" s="21">
        <v>1</v>
      </c>
      <c r="E53" s="24" t="s">
        <v>114</v>
      </c>
      <c r="F53" s="18" t="s">
        <v>804</v>
      </c>
      <c r="G53" s="24" t="s">
        <v>73</v>
      </c>
      <c r="H53" s="21">
        <v>1</v>
      </c>
      <c r="I53" s="21" t="s">
        <v>115</v>
      </c>
    </row>
    <row r="54" spans="1:9" hidden="1" x14ac:dyDescent="0.3">
      <c r="A54" s="20">
        <v>45910</v>
      </c>
      <c r="B54" s="18" t="s">
        <v>9</v>
      </c>
      <c r="C54" s="21" t="s">
        <v>116</v>
      </c>
      <c r="D54" s="21">
        <v>1</v>
      </c>
      <c r="E54" s="24" t="s">
        <v>117</v>
      </c>
      <c r="F54" s="18" t="s">
        <v>804</v>
      </c>
      <c r="G54" s="24" t="s">
        <v>73</v>
      </c>
      <c r="H54" s="18">
        <v>1</v>
      </c>
      <c r="I54" s="18" t="s">
        <v>64</v>
      </c>
    </row>
    <row r="55" spans="1:9" hidden="1" x14ac:dyDescent="0.3">
      <c r="A55" s="20">
        <v>45910</v>
      </c>
      <c r="B55" s="18" t="s">
        <v>9</v>
      </c>
      <c r="C55" s="18" t="s">
        <v>76</v>
      </c>
      <c r="D55" s="18">
        <v>1</v>
      </c>
      <c r="E55" s="24" t="s">
        <v>118</v>
      </c>
      <c r="F55" s="18" t="s">
        <v>804</v>
      </c>
      <c r="G55" s="24" t="s">
        <v>723</v>
      </c>
      <c r="H55" s="18">
        <v>1</v>
      </c>
      <c r="I55" s="18" t="s">
        <v>64</v>
      </c>
    </row>
    <row r="56" spans="1:9" ht="28.8" hidden="1" x14ac:dyDescent="0.3">
      <c r="A56" s="20">
        <v>45915</v>
      </c>
      <c r="B56" s="18" t="s">
        <v>9</v>
      </c>
      <c r="C56" s="21" t="s">
        <v>119</v>
      </c>
      <c r="D56" s="21">
        <v>3</v>
      </c>
      <c r="E56" s="24" t="s">
        <v>120</v>
      </c>
      <c r="F56" s="18" t="s">
        <v>804</v>
      </c>
      <c r="G56" s="24" t="s">
        <v>789</v>
      </c>
      <c r="H56" s="18">
        <v>1</v>
      </c>
      <c r="I56" s="18" t="s">
        <v>52</v>
      </c>
    </row>
    <row r="57" spans="1:9" ht="28.8" hidden="1" x14ac:dyDescent="0.3">
      <c r="A57" s="20">
        <v>45915</v>
      </c>
      <c r="B57" s="18" t="s">
        <v>9</v>
      </c>
      <c r="C57" s="18" t="s">
        <v>74</v>
      </c>
      <c r="D57" s="21">
        <v>2</v>
      </c>
      <c r="E57" s="24" t="s">
        <v>121</v>
      </c>
      <c r="F57" s="18" t="s">
        <v>804</v>
      </c>
      <c r="G57" s="24" t="s">
        <v>701</v>
      </c>
      <c r="H57" s="18">
        <v>1</v>
      </c>
      <c r="I57" s="18" t="s">
        <v>64</v>
      </c>
    </row>
    <row r="58" spans="1:9" ht="57.6" hidden="1" x14ac:dyDescent="0.3">
      <c r="A58" s="20">
        <v>45917</v>
      </c>
      <c r="B58" s="18" t="s">
        <v>9</v>
      </c>
      <c r="C58" s="21" t="s">
        <v>47</v>
      </c>
      <c r="D58" s="21">
        <v>2</v>
      </c>
      <c r="E58" s="24" t="s">
        <v>122</v>
      </c>
      <c r="F58" s="18" t="s">
        <v>804</v>
      </c>
      <c r="G58" s="24" t="s">
        <v>730</v>
      </c>
      <c r="H58" s="21">
        <v>1</v>
      </c>
      <c r="I58" s="21" t="s">
        <v>115</v>
      </c>
    </row>
    <row r="59" spans="1:9" ht="28.8" hidden="1" x14ac:dyDescent="0.3">
      <c r="A59" s="20">
        <v>45917</v>
      </c>
      <c r="B59" s="18" t="s">
        <v>9</v>
      </c>
      <c r="C59" s="21" t="s">
        <v>123</v>
      </c>
      <c r="D59" s="21">
        <v>2</v>
      </c>
      <c r="E59" s="24" t="s">
        <v>124</v>
      </c>
      <c r="F59" s="18" t="s">
        <v>804</v>
      </c>
      <c r="G59" s="24" t="s">
        <v>702</v>
      </c>
      <c r="H59" s="18">
        <v>1</v>
      </c>
      <c r="I59" s="18" t="s">
        <v>64</v>
      </c>
    </row>
    <row r="60" spans="1:9" hidden="1" x14ac:dyDescent="0.3">
      <c r="A60" s="20">
        <v>45919</v>
      </c>
      <c r="B60" s="18" t="s">
        <v>9</v>
      </c>
      <c r="C60" s="18" t="s">
        <v>74</v>
      </c>
      <c r="D60" s="21">
        <v>1</v>
      </c>
      <c r="E60" s="24" t="s">
        <v>125</v>
      </c>
      <c r="F60" s="18" t="s">
        <v>804</v>
      </c>
      <c r="G60" s="24" t="s">
        <v>126</v>
      </c>
      <c r="H60" s="18">
        <v>1</v>
      </c>
      <c r="I60" s="18" t="s">
        <v>64</v>
      </c>
    </row>
    <row r="61" spans="1:9" hidden="1" x14ac:dyDescent="0.3">
      <c r="A61" s="20">
        <v>45921</v>
      </c>
      <c r="B61" s="18" t="s">
        <v>9</v>
      </c>
      <c r="C61" s="18" t="s">
        <v>76</v>
      </c>
      <c r="D61" s="18">
        <v>2</v>
      </c>
      <c r="E61" s="24" t="s">
        <v>127</v>
      </c>
      <c r="F61" s="18" t="s">
        <v>804</v>
      </c>
      <c r="G61" s="24" t="s">
        <v>700</v>
      </c>
      <c r="H61" s="18">
        <v>1</v>
      </c>
      <c r="I61" s="18" t="s">
        <v>64</v>
      </c>
    </row>
    <row r="62" spans="1:9" ht="40.950000000000003" hidden="1" customHeight="1" x14ac:dyDescent="0.3">
      <c r="A62" s="20">
        <v>45923</v>
      </c>
      <c r="B62" s="18" t="s">
        <v>9</v>
      </c>
      <c r="C62" s="18" t="s">
        <v>76</v>
      </c>
      <c r="D62" s="18">
        <v>1</v>
      </c>
      <c r="E62" s="24" t="s">
        <v>128</v>
      </c>
      <c r="F62" s="18" t="s">
        <v>804</v>
      </c>
      <c r="G62" s="24" t="s">
        <v>73</v>
      </c>
      <c r="H62" s="21">
        <v>1</v>
      </c>
      <c r="I62" s="21" t="s">
        <v>115</v>
      </c>
    </row>
    <row r="63" spans="1:9" ht="28.8" hidden="1" x14ac:dyDescent="0.3">
      <c r="A63" s="20">
        <v>45925</v>
      </c>
      <c r="B63" s="18" t="s">
        <v>9</v>
      </c>
      <c r="C63" s="18" t="s">
        <v>74</v>
      </c>
      <c r="D63" s="21">
        <v>2</v>
      </c>
      <c r="E63" s="24" t="s">
        <v>129</v>
      </c>
      <c r="F63" s="18" t="s">
        <v>804</v>
      </c>
      <c r="G63" s="24" t="s">
        <v>759</v>
      </c>
      <c r="H63" s="18">
        <v>1</v>
      </c>
      <c r="I63" s="18" t="s">
        <v>64</v>
      </c>
    </row>
    <row r="64" spans="1:9" ht="28.8" hidden="1" x14ac:dyDescent="0.3">
      <c r="A64" s="20">
        <v>45925</v>
      </c>
      <c r="B64" s="18" t="s">
        <v>9</v>
      </c>
      <c r="C64" s="18" t="s">
        <v>74</v>
      </c>
      <c r="D64" s="21">
        <v>1</v>
      </c>
      <c r="E64" s="24" t="s">
        <v>130</v>
      </c>
      <c r="F64" s="18" t="s">
        <v>804</v>
      </c>
      <c r="G64" s="24" t="s">
        <v>736</v>
      </c>
      <c r="H64" s="21">
        <v>1</v>
      </c>
      <c r="I64" s="21" t="s">
        <v>115</v>
      </c>
    </row>
    <row r="65" spans="1:9" hidden="1" x14ac:dyDescent="0.3">
      <c r="A65" s="20">
        <v>45925</v>
      </c>
      <c r="B65" s="18" t="s">
        <v>9</v>
      </c>
      <c r="C65" s="18" t="s">
        <v>74</v>
      </c>
      <c r="D65" s="21">
        <v>1</v>
      </c>
      <c r="E65" s="24" t="s">
        <v>131</v>
      </c>
      <c r="F65" s="18" t="s">
        <v>804</v>
      </c>
      <c r="G65" s="24" t="s">
        <v>736</v>
      </c>
      <c r="H65" s="21">
        <v>1</v>
      </c>
      <c r="I65" s="21" t="s">
        <v>115</v>
      </c>
    </row>
    <row r="66" spans="1:9" hidden="1" x14ac:dyDescent="0.3">
      <c r="A66" s="20">
        <v>45930</v>
      </c>
      <c r="B66" s="18" t="s">
        <v>9</v>
      </c>
      <c r="C66" s="21" t="s">
        <v>123</v>
      </c>
      <c r="D66" s="21">
        <v>1</v>
      </c>
      <c r="E66" s="24" t="s">
        <v>132</v>
      </c>
      <c r="F66" s="18" t="s">
        <v>804</v>
      </c>
      <c r="G66" s="24" t="s">
        <v>683</v>
      </c>
      <c r="H66" s="18">
        <v>1</v>
      </c>
      <c r="I66" s="18" t="s">
        <v>64</v>
      </c>
    </row>
    <row r="67" spans="1:9" ht="28.8" hidden="1" x14ac:dyDescent="0.3">
      <c r="A67" s="20">
        <v>45930</v>
      </c>
      <c r="B67" s="18" t="s">
        <v>9</v>
      </c>
      <c r="C67" s="18" t="s">
        <v>76</v>
      </c>
      <c r="D67" s="18">
        <v>2</v>
      </c>
      <c r="E67" s="24" t="s">
        <v>133</v>
      </c>
      <c r="F67" s="18" t="s">
        <v>804</v>
      </c>
      <c r="G67" s="24" t="s">
        <v>703</v>
      </c>
      <c r="H67" s="18">
        <v>1</v>
      </c>
      <c r="I67" s="18" t="s">
        <v>64</v>
      </c>
    </row>
    <row r="68" spans="1:9" ht="33.6" hidden="1" customHeight="1" x14ac:dyDescent="0.3">
      <c r="A68" s="20">
        <v>45930</v>
      </c>
      <c r="B68" s="18" t="s">
        <v>9</v>
      </c>
      <c r="C68" s="21" t="s">
        <v>116</v>
      </c>
      <c r="D68" s="21">
        <v>1</v>
      </c>
      <c r="E68" s="24" t="s">
        <v>134</v>
      </c>
      <c r="F68" s="18" t="s">
        <v>804</v>
      </c>
      <c r="G68" s="24" t="s">
        <v>73</v>
      </c>
      <c r="H68" s="18">
        <v>1</v>
      </c>
      <c r="I68" s="18" t="s">
        <v>52</v>
      </c>
    </row>
    <row r="69" spans="1:9" ht="28.8" hidden="1" x14ac:dyDescent="0.3">
      <c r="A69" s="20">
        <v>45934</v>
      </c>
      <c r="B69" s="18" t="s">
        <v>9</v>
      </c>
      <c r="C69" s="21" t="s">
        <v>116</v>
      </c>
      <c r="D69" s="21">
        <v>2</v>
      </c>
      <c r="E69" s="24" t="s">
        <v>135</v>
      </c>
      <c r="F69" s="18" t="s">
        <v>804</v>
      </c>
      <c r="G69" s="24" t="s">
        <v>704</v>
      </c>
      <c r="H69" s="18">
        <v>1</v>
      </c>
      <c r="I69" s="18" t="s">
        <v>64</v>
      </c>
    </row>
    <row r="70" spans="1:9" ht="28.8" hidden="1" x14ac:dyDescent="0.3">
      <c r="A70" s="20">
        <v>45938</v>
      </c>
      <c r="B70" s="18" t="s">
        <v>91</v>
      </c>
      <c r="C70" s="21" t="s">
        <v>123</v>
      </c>
      <c r="D70" s="21">
        <v>2</v>
      </c>
      <c r="E70" s="24" t="s">
        <v>136</v>
      </c>
      <c r="F70" s="18" t="s">
        <v>804</v>
      </c>
      <c r="G70" s="24" t="s">
        <v>727</v>
      </c>
      <c r="H70" s="18">
        <v>1</v>
      </c>
      <c r="I70" s="18" t="s">
        <v>64</v>
      </c>
    </row>
    <row r="71" spans="1:9" ht="57.6" hidden="1" x14ac:dyDescent="0.3">
      <c r="A71" s="20">
        <v>45944</v>
      </c>
      <c r="B71" s="18" t="s">
        <v>75</v>
      </c>
      <c r="C71" s="21" t="s">
        <v>137</v>
      </c>
      <c r="D71" s="21">
        <v>1</v>
      </c>
      <c r="E71" s="24" t="s">
        <v>138</v>
      </c>
      <c r="F71" s="18" t="s">
        <v>804</v>
      </c>
      <c r="G71" s="24" t="s">
        <v>681</v>
      </c>
      <c r="H71" s="18">
        <v>1</v>
      </c>
      <c r="I71" s="18" t="s">
        <v>64</v>
      </c>
    </row>
    <row r="72" spans="1:9" ht="43.2" hidden="1" x14ac:dyDescent="0.3">
      <c r="A72" s="20">
        <v>45944</v>
      </c>
      <c r="B72" s="18" t="s">
        <v>75</v>
      </c>
      <c r="C72" s="34" t="s">
        <v>139</v>
      </c>
      <c r="D72" s="22">
        <v>5</v>
      </c>
      <c r="E72" s="24" t="s">
        <v>140</v>
      </c>
      <c r="F72" s="18" t="s">
        <v>804</v>
      </c>
      <c r="G72" s="24" t="s">
        <v>790</v>
      </c>
      <c r="H72" s="18">
        <v>1</v>
      </c>
      <c r="I72" s="18" t="s">
        <v>64</v>
      </c>
    </row>
    <row r="73" spans="1:9" ht="43.2" hidden="1" x14ac:dyDescent="0.3">
      <c r="A73" s="20">
        <v>45944</v>
      </c>
      <c r="B73" s="21" t="s">
        <v>141</v>
      </c>
      <c r="C73" s="18" t="s">
        <v>74</v>
      </c>
      <c r="D73" s="21">
        <v>3</v>
      </c>
      <c r="E73" s="24" t="s">
        <v>142</v>
      </c>
      <c r="F73" s="18" t="s">
        <v>804</v>
      </c>
      <c r="G73" s="24" t="s">
        <v>760</v>
      </c>
      <c r="H73" s="18">
        <v>1</v>
      </c>
      <c r="I73" s="18" t="s">
        <v>64</v>
      </c>
    </row>
    <row r="74" spans="1:9" ht="28.8" hidden="1" x14ac:dyDescent="0.3">
      <c r="A74" s="20">
        <v>45946</v>
      </c>
      <c r="B74" s="18" t="s">
        <v>75</v>
      </c>
      <c r="C74" s="21" t="s">
        <v>143</v>
      </c>
      <c r="D74" s="21">
        <v>3</v>
      </c>
      <c r="E74" s="24" t="s">
        <v>144</v>
      </c>
      <c r="F74" s="18" t="s">
        <v>804</v>
      </c>
      <c r="G74" s="24" t="s">
        <v>761</v>
      </c>
      <c r="H74" s="18">
        <v>1</v>
      </c>
      <c r="I74" s="18" t="s">
        <v>64</v>
      </c>
    </row>
    <row r="75" spans="1:9" ht="28.8" hidden="1" x14ac:dyDescent="0.3">
      <c r="A75" s="20">
        <v>45948</v>
      </c>
      <c r="B75" s="21" t="s">
        <v>145</v>
      </c>
      <c r="C75" s="21" t="s">
        <v>95</v>
      </c>
      <c r="D75" s="21">
        <v>1</v>
      </c>
      <c r="E75" s="24" t="s">
        <v>146</v>
      </c>
      <c r="F75" s="18" t="s">
        <v>804</v>
      </c>
      <c r="G75" s="24" t="s">
        <v>762</v>
      </c>
      <c r="H75" s="18">
        <v>1</v>
      </c>
      <c r="I75" s="18" t="s">
        <v>64</v>
      </c>
    </row>
    <row r="76" spans="1:9" hidden="1" x14ac:dyDescent="0.3">
      <c r="A76" s="20">
        <v>45951</v>
      </c>
      <c r="B76" s="21" t="s">
        <v>9</v>
      </c>
      <c r="C76" s="21" t="s">
        <v>143</v>
      </c>
      <c r="D76" s="21">
        <v>2</v>
      </c>
      <c r="E76" s="24" t="s">
        <v>148</v>
      </c>
      <c r="F76" s="18" t="s">
        <v>804</v>
      </c>
      <c r="G76" s="24" t="s">
        <v>763</v>
      </c>
      <c r="H76" s="18">
        <v>1</v>
      </c>
      <c r="I76" s="18" t="s">
        <v>64</v>
      </c>
    </row>
    <row r="77" spans="1:9" ht="57.6" hidden="1" x14ac:dyDescent="0.3">
      <c r="A77" s="20">
        <v>45952</v>
      </c>
      <c r="B77" s="18" t="s">
        <v>75</v>
      </c>
      <c r="C77" s="21" t="s">
        <v>123</v>
      </c>
      <c r="D77" s="21">
        <v>2</v>
      </c>
      <c r="E77" s="24" t="s">
        <v>149</v>
      </c>
      <c r="F77" s="18" t="s">
        <v>804</v>
      </c>
      <c r="G77" s="24" t="s">
        <v>704</v>
      </c>
      <c r="H77" s="18">
        <v>1</v>
      </c>
      <c r="I77" s="18" t="s">
        <v>64</v>
      </c>
    </row>
    <row r="78" spans="1:9" ht="57.6" hidden="1" x14ac:dyDescent="0.3">
      <c r="A78" s="20">
        <v>45966</v>
      </c>
      <c r="B78" s="21" t="s">
        <v>150</v>
      </c>
      <c r="C78" s="21" t="s">
        <v>47</v>
      </c>
      <c r="D78" s="21">
        <v>3</v>
      </c>
      <c r="E78" s="24" t="s">
        <v>151</v>
      </c>
      <c r="F78" s="18" t="s">
        <v>804</v>
      </c>
      <c r="G78" s="24" t="s">
        <v>705</v>
      </c>
      <c r="H78" s="21">
        <v>1</v>
      </c>
      <c r="I78" s="21" t="s">
        <v>115</v>
      </c>
    </row>
    <row r="79" spans="1:9" ht="28.8" hidden="1" x14ac:dyDescent="0.3">
      <c r="A79" s="20">
        <v>45971</v>
      </c>
      <c r="B79" s="21" t="s">
        <v>145</v>
      </c>
      <c r="C79" s="21" t="s">
        <v>95</v>
      </c>
      <c r="D79" s="21">
        <v>1</v>
      </c>
      <c r="E79" s="24" t="s">
        <v>152</v>
      </c>
      <c r="F79" s="18" t="s">
        <v>804</v>
      </c>
      <c r="G79" s="24" t="s">
        <v>754</v>
      </c>
      <c r="H79" s="18">
        <v>1</v>
      </c>
      <c r="I79" s="18" t="s">
        <v>64</v>
      </c>
    </row>
    <row r="80" spans="1:9" ht="72" hidden="1" x14ac:dyDescent="0.3">
      <c r="A80" s="20">
        <v>45975</v>
      </c>
      <c r="B80" s="21" t="s">
        <v>9</v>
      </c>
      <c r="C80" s="21" t="s">
        <v>95</v>
      </c>
      <c r="D80" s="21">
        <v>1</v>
      </c>
      <c r="E80" s="24" t="s">
        <v>153</v>
      </c>
      <c r="F80" s="18" t="s">
        <v>804</v>
      </c>
      <c r="G80" s="24" t="s">
        <v>706</v>
      </c>
      <c r="H80" s="21">
        <v>1</v>
      </c>
      <c r="I80" s="21" t="s">
        <v>115</v>
      </c>
    </row>
    <row r="81" spans="1:9" hidden="1" x14ac:dyDescent="0.3">
      <c r="A81" s="20">
        <v>45979</v>
      </c>
      <c r="B81" s="21" t="s">
        <v>154</v>
      </c>
      <c r="C81" s="21" t="s">
        <v>155</v>
      </c>
      <c r="D81" s="21">
        <v>1</v>
      </c>
      <c r="E81" s="24" t="s">
        <v>156</v>
      </c>
      <c r="F81" s="18" t="s">
        <v>804</v>
      </c>
      <c r="G81" s="24" t="s">
        <v>126</v>
      </c>
      <c r="H81" s="18">
        <v>1</v>
      </c>
      <c r="I81" s="18" t="s">
        <v>12</v>
      </c>
    </row>
    <row r="82" spans="1:9" hidden="1" x14ac:dyDescent="0.3">
      <c r="A82" s="20">
        <v>45985</v>
      </c>
      <c r="B82" s="21" t="s">
        <v>157</v>
      </c>
      <c r="C82" s="21" t="s">
        <v>155</v>
      </c>
      <c r="D82" s="21">
        <v>1</v>
      </c>
      <c r="E82" s="24" t="s">
        <v>158</v>
      </c>
      <c r="F82" s="18" t="s">
        <v>804</v>
      </c>
      <c r="G82" s="24" t="s">
        <v>694</v>
      </c>
      <c r="H82" s="18">
        <v>1</v>
      </c>
      <c r="I82" s="18" t="s">
        <v>64</v>
      </c>
    </row>
    <row r="83" spans="1:9" hidden="1" x14ac:dyDescent="0.3">
      <c r="A83" s="20">
        <v>45986</v>
      </c>
      <c r="B83" s="21" t="s">
        <v>159</v>
      </c>
      <c r="C83" s="21" t="s">
        <v>155</v>
      </c>
      <c r="D83" s="21">
        <v>2</v>
      </c>
      <c r="E83" s="24" t="s">
        <v>160</v>
      </c>
      <c r="F83" s="18" t="s">
        <v>804</v>
      </c>
      <c r="G83" s="24" t="s">
        <v>320</v>
      </c>
      <c r="H83" s="18">
        <v>1</v>
      </c>
      <c r="I83" s="18" t="s">
        <v>12</v>
      </c>
    </row>
    <row r="84" spans="1:9" ht="28.8" hidden="1" x14ac:dyDescent="0.3">
      <c r="A84" s="20">
        <v>45988</v>
      </c>
      <c r="B84" s="21" t="s">
        <v>150</v>
      </c>
      <c r="C84" s="18" t="s">
        <v>76</v>
      </c>
      <c r="D84" s="18">
        <v>1</v>
      </c>
      <c r="E84" s="24" t="s">
        <v>161</v>
      </c>
      <c r="F84" s="18" t="s">
        <v>804</v>
      </c>
      <c r="G84" s="24" t="s">
        <v>697</v>
      </c>
      <c r="H84" s="21">
        <v>1</v>
      </c>
      <c r="I84" s="21" t="s">
        <v>115</v>
      </c>
    </row>
    <row r="85" spans="1:9" hidden="1" x14ac:dyDescent="0.3">
      <c r="A85" s="20">
        <v>46001</v>
      </c>
      <c r="B85" s="18" t="s">
        <v>9</v>
      </c>
      <c r="C85" s="21" t="s">
        <v>162</v>
      </c>
      <c r="D85" s="21">
        <v>1</v>
      </c>
      <c r="E85" s="24" t="s">
        <v>163</v>
      </c>
      <c r="F85" s="18" t="s">
        <v>804</v>
      </c>
      <c r="G85" s="24" t="s">
        <v>369</v>
      </c>
      <c r="H85" s="21">
        <v>1</v>
      </c>
      <c r="I85" s="21" t="s">
        <v>115</v>
      </c>
    </row>
    <row r="86" spans="1:9" ht="18.600000000000001" hidden="1" customHeight="1" x14ac:dyDescent="0.3">
      <c r="A86" s="20">
        <v>46002</v>
      </c>
      <c r="B86" s="18" t="s">
        <v>9</v>
      </c>
      <c r="C86" s="21" t="s">
        <v>155</v>
      </c>
      <c r="D86" s="21">
        <v>1</v>
      </c>
      <c r="E86" s="24" t="s">
        <v>164</v>
      </c>
      <c r="F86" s="18" t="s">
        <v>804</v>
      </c>
      <c r="G86" s="24" t="s">
        <v>679</v>
      </c>
      <c r="H86" s="18">
        <v>1</v>
      </c>
      <c r="I86" s="18" t="s">
        <v>12</v>
      </c>
    </row>
    <row r="87" spans="1:9" ht="43.2" hidden="1" x14ac:dyDescent="0.3">
      <c r="A87" s="20">
        <v>46002</v>
      </c>
      <c r="B87" s="21" t="s">
        <v>157</v>
      </c>
      <c r="C87" s="21" t="s">
        <v>116</v>
      </c>
      <c r="D87" s="21">
        <v>1</v>
      </c>
      <c r="E87" s="24" t="s">
        <v>165</v>
      </c>
      <c r="F87" s="18" t="s">
        <v>804</v>
      </c>
      <c r="G87" s="24" t="s">
        <v>73</v>
      </c>
      <c r="H87" s="18">
        <v>1</v>
      </c>
      <c r="I87" s="18" t="s">
        <v>64</v>
      </c>
    </row>
    <row r="88" spans="1:9" ht="28.8" hidden="1" x14ac:dyDescent="0.3">
      <c r="A88" s="20">
        <v>46002</v>
      </c>
      <c r="B88" s="18" t="s">
        <v>9</v>
      </c>
      <c r="C88" s="18" t="s">
        <v>76</v>
      </c>
      <c r="D88" s="18">
        <v>3</v>
      </c>
      <c r="E88" s="24" t="s">
        <v>166</v>
      </c>
      <c r="F88" s="18" t="s">
        <v>804</v>
      </c>
      <c r="G88" s="24" t="s">
        <v>707</v>
      </c>
      <c r="H88" s="18">
        <v>1</v>
      </c>
      <c r="I88" s="18" t="s">
        <v>12</v>
      </c>
    </row>
    <row r="89" spans="1:9" ht="28.8" hidden="1" x14ac:dyDescent="0.3">
      <c r="A89" s="20">
        <v>46003</v>
      </c>
      <c r="B89" s="21" t="s">
        <v>157</v>
      </c>
      <c r="C89" s="21" t="s">
        <v>155</v>
      </c>
      <c r="D89" s="21">
        <v>3</v>
      </c>
      <c r="E89" s="24" t="s">
        <v>167</v>
      </c>
      <c r="F89" s="18" t="s">
        <v>804</v>
      </c>
      <c r="G89" s="24" t="s">
        <v>764</v>
      </c>
      <c r="H89" s="18">
        <v>1</v>
      </c>
      <c r="I89" s="18" t="s">
        <v>64</v>
      </c>
    </row>
    <row r="90" spans="1:9" ht="28.8" hidden="1" x14ac:dyDescent="0.3">
      <c r="A90" s="20">
        <v>46004</v>
      </c>
      <c r="B90" s="21" t="s">
        <v>150</v>
      </c>
      <c r="C90" s="21" t="s">
        <v>116</v>
      </c>
      <c r="D90" s="21">
        <v>2</v>
      </c>
      <c r="E90" s="24" t="s">
        <v>168</v>
      </c>
      <c r="F90" s="18" t="s">
        <v>804</v>
      </c>
      <c r="G90" s="24" t="s">
        <v>765</v>
      </c>
      <c r="H90" s="18">
        <v>1</v>
      </c>
      <c r="I90" s="18" t="s">
        <v>64</v>
      </c>
    </row>
    <row r="91" spans="1:9" ht="72" hidden="1" x14ac:dyDescent="0.3">
      <c r="A91" s="20">
        <v>46006</v>
      </c>
      <c r="B91" s="21" t="s">
        <v>150</v>
      </c>
      <c r="C91" s="21" t="s">
        <v>10</v>
      </c>
      <c r="D91" s="21">
        <v>2</v>
      </c>
      <c r="E91" s="24" t="s">
        <v>169</v>
      </c>
      <c r="F91" s="18" t="s">
        <v>804</v>
      </c>
      <c r="G91" s="24" t="s">
        <v>680</v>
      </c>
      <c r="H91" s="18">
        <v>1</v>
      </c>
      <c r="I91" s="18" t="s">
        <v>64</v>
      </c>
    </row>
    <row r="92" spans="1:9" ht="43.2" hidden="1" x14ac:dyDescent="0.3">
      <c r="A92" s="20">
        <v>46007</v>
      </c>
      <c r="B92" s="21" t="s">
        <v>170</v>
      </c>
      <c r="C92" s="21" t="s">
        <v>155</v>
      </c>
      <c r="D92" s="21">
        <v>4</v>
      </c>
      <c r="E92" s="24" t="s">
        <v>171</v>
      </c>
      <c r="F92" s="18" t="s">
        <v>804</v>
      </c>
      <c r="G92" s="24" t="s">
        <v>766</v>
      </c>
      <c r="H92" s="18">
        <v>1</v>
      </c>
      <c r="I92" s="18" t="s">
        <v>64</v>
      </c>
    </row>
    <row r="93" spans="1:9" ht="28.8" hidden="1" x14ac:dyDescent="0.3">
      <c r="A93" s="20">
        <v>46007</v>
      </c>
      <c r="B93" s="21" t="s">
        <v>172</v>
      </c>
      <c r="C93" s="21" t="s">
        <v>173</v>
      </c>
      <c r="D93" s="21">
        <v>2</v>
      </c>
      <c r="E93" s="24" t="s">
        <v>174</v>
      </c>
      <c r="F93" s="18" t="s">
        <v>804</v>
      </c>
      <c r="G93" s="24" t="s">
        <v>725</v>
      </c>
      <c r="H93" s="18">
        <v>1</v>
      </c>
      <c r="I93" s="18" t="s">
        <v>64</v>
      </c>
    </row>
    <row r="94" spans="1:9" ht="43.2" hidden="1" x14ac:dyDescent="0.3">
      <c r="A94" s="20">
        <v>46007</v>
      </c>
      <c r="B94" s="21" t="s">
        <v>172</v>
      </c>
      <c r="C94" s="21" t="s">
        <v>155</v>
      </c>
      <c r="D94" s="21">
        <v>5</v>
      </c>
      <c r="E94" s="24" t="s">
        <v>176</v>
      </c>
      <c r="F94" s="18" t="s">
        <v>804</v>
      </c>
      <c r="G94" s="24" t="s">
        <v>767</v>
      </c>
      <c r="H94" s="18">
        <v>1</v>
      </c>
      <c r="I94" s="18" t="s">
        <v>64</v>
      </c>
    </row>
    <row r="95" spans="1:9" ht="28.8" hidden="1" x14ac:dyDescent="0.3">
      <c r="A95" s="20">
        <v>46008</v>
      </c>
      <c r="B95" s="18" t="s">
        <v>9</v>
      </c>
      <c r="C95" s="21" t="s">
        <v>155</v>
      </c>
      <c r="D95" s="21">
        <v>1</v>
      </c>
      <c r="E95" s="24" t="s">
        <v>177</v>
      </c>
      <c r="F95" s="18" t="s">
        <v>804</v>
      </c>
      <c r="G95" s="24" t="s">
        <v>31</v>
      </c>
      <c r="H95" s="18">
        <v>1</v>
      </c>
      <c r="I95" s="18" t="s">
        <v>12</v>
      </c>
    </row>
    <row r="96" spans="1:9" ht="28.8" hidden="1" x14ac:dyDescent="0.3">
      <c r="A96" s="20">
        <v>46009</v>
      </c>
      <c r="B96" s="21" t="s">
        <v>172</v>
      </c>
      <c r="C96" s="21" t="s">
        <v>95</v>
      </c>
      <c r="D96" s="21">
        <v>1</v>
      </c>
      <c r="E96" s="24" t="s">
        <v>178</v>
      </c>
      <c r="F96" s="18" t="s">
        <v>804</v>
      </c>
      <c r="G96" s="24" t="s">
        <v>736</v>
      </c>
      <c r="H96" s="21">
        <v>1</v>
      </c>
      <c r="I96" s="21" t="s">
        <v>115</v>
      </c>
    </row>
    <row r="97" spans="1:9" hidden="1" x14ac:dyDescent="0.3">
      <c r="A97" s="20">
        <v>46009</v>
      </c>
      <c r="B97" s="21" t="s">
        <v>172</v>
      </c>
      <c r="C97" s="18" t="s">
        <v>179</v>
      </c>
      <c r="D97" s="21">
        <v>1</v>
      </c>
      <c r="E97" s="24" t="s">
        <v>163</v>
      </c>
      <c r="F97" s="18" t="s">
        <v>804</v>
      </c>
      <c r="G97" s="24" t="s">
        <v>369</v>
      </c>
      <c r="H97" s="21">
        <v>1</v>
      </c>
      <c r="I97" s="21" t="s">
        <v>115</v>
      </c>
    </row>
    <row r="98" spans="1:9" hidden="1" x14ac:dyDescent="0.3">
      <c r="A98" s="20">
        <v>46009</v>
      </c>
      <c r="B98" s="18" t="s">
        <v>9</v>
      </c>
      <c r="C98" s="21" t="s">
        <v>180</v>
      </c>
      <c r="D98" s="21">
        <v>1</v>
      </c>
      <c r="E98" s="24" t="s">
        <v>181</v>
      </c>
      <c r="F98" s="18" t="s">
        <v>804</v>
      </c>
      <c r="G98" s="24" t="s">
        <v>683</v>
      </c>
      <c r="H98" s="21">
        <v>1</v>
      </c>
      <c r="I98" s="21" t="s">
        <v>115</v>
      </c>
    </row>
    <row r="99" spans="1:9" ht="28.8" hidden="1" x14ac:dyDescent="0.3">
      <c r="A99" s="20">
        <v>46013</v>
      </c>
      <c r="B99" s="18" t="s">
        <v>9</v>
      </c>
      <c r="C99" s="21" t="s">
        <v>155</v>
      </c>
      <c r="D99" s="21">
        <v>3</v>
      </c>
      <c r="E99" s="24" t="s">
        <v>182</v>
      </c>
      <c r="F99" s="18" t="s">
        <v>804</v>
      </c>
      <c r="G99" s="24" t="s">
        <v>791</v>
      </c>
      <c r="H99" s="18">
        <v>1</v>
      </c>
      <c r="I99" s="18" t="s">
        <v>12</v>
      </c>
    </row>
    <row r="100" spans="1:9" ht="28.8" hidden="1" x14ac:dyDescent="0.3">
      <c r="A100" s="20">
        <v>46020</v>
      </c>
      <c r="B100" s="18" t="s">
        <v>9</v>
      </c>
      <c r="C100" s="21" t="s">
        <v>155</v>
      </c>
      <c r="D100" s="21">
        <v>2</v>
      </c>
      <c r="E100" s="24" t="s">
        <v>183</v>
      </c>
      <c r="F100" s="18" t="s">
        <v>804</v>
      </c>
      <c r="G100" s="24" t="s">
        <v>703</v>
      </c>
      <c r="H100" s="18">
        <v>1</v>
      </c>
      <c r="I100" s="18" t="s">
        <v>12</v>
      </c>
    </row>
    <row r="101" spans="1:9" ht="28.8" hidden="1" x14ac:dyDescent="0.3">
      <c r="A101" s="20">
        <v>46020</v>
      </c>
      <c r="B101" s="18" t="s">
        <v>9</v>
      </c>
      <c r="C101" s="21" t="s">
        <v>155</v>
      </c>
      <c r="D101" s="21">
        <v>3</v>
      </c>
      <c r="E101" s="24" t="s">
        <v>184</v>
      </c>
      <c r="F101" s="18" t="s">
        <v>804</v>
      </c>
      <c r="G101" s="24" t="s">
        <v>708</v>
      </c>
      <c r="H101" s="18">
        <v>1</v>
      </c>
      <c r="I101" s="18" t="s">
        <v>12</v>
      </c>
    </row>
    <row r="102" spans="1:9" ht="21" hidden="1" customHeight="1" x14ac:dyDescent="0.3">
      <c r="A102" s="20">
        <v>46025</v>
      </c>
      <c r="B102" s="18" t="s">
        <v>9</v>
      </c>
      <c r="C102" s="18" t="s">
        <v>76</v>
      </c>
      <c r="D102" s="18">
        <v>1</v>
      </c>
      <c r="E102" s="24" t="s">
        <v>185</v>
      </c>
      <c r="F102" s="18" t="s">
        <v>804</v>
      </c>
      <c r="G102" s="24" t="s">
        <v>31</v>
      </c>
      <c r="H102" s="18">
        <v>1</v>
      </c>
      <c r="I102" s="18" t="s">
        <v>64</v>
      </c>
    </row>
    <row r="103" spans="1:9" ht="28.8" hidden="1" x14ac:dyDescent="0.3">
      <c r="A103" s="20">
        <v>46028</v>
      </c>
      <c r="B103" s="18" t="s">
        <v>9</v>
      </c>
      <c r="C103" s="21" t="s">
        <v>10</v>
      </c>
      <c r="D103" s="21">
        <v>2</v>
      </c>
      <c r="E103" s="24" t="s">
        <v>186</v>
      </c>
      <c r="F103" s="18" t="s">
        <v>804</v>
      </c>
      <c r="G103" s="24" t="s">
        <v>727</v>
      </c>
      <c r="H103" s="21">
        <v>1</v>
      </c>
      <c r="I103" s="21" t="s">
        <v>115</v>
      </c>
    </row>
    <row r="104" spans="1:9" ht="28.8" hidden="1" x14ac:dyDescent="0.3">
      <c r="A104" s="20">
        <v>46028</v>
      </c>
      <c r="B104" s="18" t="s">
        <v>9</v>
      </c>
      <c r="C104" s="18" t="s">
        <v>92</v>
      </c>
      <c r="D104" s="21">
        <v>2</v>
      </c>
      <c r="E104" s="24" t="s">
        <v>187</v>
      </c>
      <c r="F104" s="18" t="s">
        <v>804</v>
      </c>
      <c r="G104" s="24" t="s">
        <v>709</v>
      </c>
      <c r="H104" s="21">
        <v>1</v>
      </c>
      <c r="I104" s="21" t="s">
        <v>115</v>
      </c>
    </row>
    <row r="105" spans="1:9" hidden="1" x14ac:dyDescent="0.3">
      <c r="A105" s="20">
        <v>46029</v>
      </c>
      <c r="B105" s="21" t="s">
        <v>172</v>
      </c>
      <c r="C105" s="21" t="s">
        <v>116</v>
      </c>
      <c r="D105" s="21">
        <v>1</v>
      </c>
      <c r="E105" s="24" t="s">
        <v>188</v>
      </c>
      <c r="F105" s="18" t="s">
        <v>804</v>
      </c>
      <c r="G105" s="24" t="s">
        <v>683</v>
      </c>
      <c r="H105" s="21">
        <v>1</v>
      </c>
      <c r="I105" s="21" t="s">
        <v>115</v>
      </c>
    </row>
    <row r="106" spans="1:9" hidden="1" x14ac:dyDescent="0.3">
      <c r="A106" s="20">
        <v>46030</v>
      </c>
      <c r="B106" s="18" t="s">
        <v>9</v>
      </c>
      <c r="C106" s="21" t="s">
        <v>155</v>
      </c>
      <c r="D106" s="21">
        <v>1</v>
      </c>
      <c r="E106" s="24" t="s">
        <v>189</v>
      </c>
      <c r="F106" s="18" t="s">
        <v>804</v>
      </c>
      <c r="G106" s="24" t="s">
        <v>126</v>
      </c>
      <c r="H106" s="18">
        <v>1</v>
      </c>
      <c r="I106" s="18" t="s">
        <v>64</v>
      </c>
    </row>
    <row r="107" spans="1:9" hidden="1" x14ac:dyDescent="0.3">
      <c r="A107" s="20">
        <v>46030</v>
      </c>
      <c r="B107" s="21" t="s">
        <v>190</v>
      </c>
      <c r="C107" s="21" t="s">
        <v>155</v>
      </c>
      <c r="D107" s="21">
        <v>1</v>
      </c>
      <c r="E107" s="24" t="s">
        <v>191</v>
      </c>
      <c r="F107" s="18" t="s">
        <v>804</v>
      </c>
      <c r="G107" s="24" t="s">
        <v>694</v>
      </c>
      <c r="H107" s="18">
        <v>1</v>
      </c>
      <c r="I107" s="18" t="s">
        <v>64</v>
      </c>
    </row>
    <row r="108" spans="1:9" hidden="1" x14ac:dyDescent="0.3">
      <c r="A108" s="20">
        <v>46031</v>
      </c>
      <c r="B108" s="21" t="s">
        <v>192</v>
      </c>
      <c r="C108" s="18" t="s">
        <v>193</v>
      </c>
      <c r="D108" s="18">
        <v>1</v>
      </c>
      <c r="E108" s="24" t="s">
        <v>194</v>
      </c>
      <c r="F108" s="18" t="s">
        <v>804</v>
      </c>
      <c r="G108" s="24" t="s">
        <v>39</v>
      </c>
      <c r="H108" s="21">
        <v>1</v>
      </c>
      <c r="I108" s="21" t="s">
        <v>87</v>
      </c>
    </row>
    <row r="109" spans="1:9" hidden="1" x14ac:dyDescent="0.3">
      <c r="A109" s="20">
        <v>46034</v>
      </c>
      <c r="B109" s="18" t="s">
        <v>9</v>
      </c>
      <c r="C109" s="21" t="s">
        <v>195</v>
      </c>
      <c r="D109" s="21">
        <v>2</v>
      </c>
      <c r="E109" s="24" t="s">
        <v>196</v>
      </c>
      <c r="F109" s="18" t="s">
        <v>804</v>
      </c>
      <c r="G109" s="24" t="s">
        <v>710</v>
      </c>
      <c r="H109" s="21">
        <v>1</v>
      </c>
      <c r="I109" s="21" t="s">
        <v>87</v>
      </c>
    </row>
    <row r="110" spans="1:9" hidden="1" x14ac:dyDescent="0.3">
      <c r="A110" s="20">
        <v>46034</v>
      </c>
      <c r="B110" s="18" t="s">
        <v>9</v>
      </c>
      <c r="C110" s="21" t="s">
        <v>143</v>
      </c>
      <c r="D110" s="21">
        <v>2</v>
      </c>
      <c r="E110" s="24" t="s">
        <v>196</v>
      </c>
      <c r="F110" s="18" t="s">
        <v>804</v>
      </c>
      <c r="G110" s="24" t="s">
        <v>710</v>
      </c>
      <c r="H110" s="21">
        <v>1</v>
      </c>
      <c r="I110" s="21" t="s">
        <v>87</v>
      </c>
    </row>
    <row r="111" spans="1:9" ht="28.8" hidden="1" x14ac:dyDescent="0.3">
      <c r="A111" s="20">
        <v>46034</v>
      </c>
      <c r="B111" s="18" t="s">
        <v>9</v>
      </c>
      <c r="C111" s="21" t="s">
        <v>137</v>
      </c>
      <c r="D111" s="21">
        <v>2</v>
      </c>
      <c r="E111" s="24" t="s">
        <v>197</v>
      </c>
      <c r="F111" s="18" t="s">
        <v>804</v>
      </c>
      <c r="G111" s="24" t="s">
        <v>739</v>
      </c>
      <c r="H111" s="21">
        <v>1</v>
      </c>
      <c r="I111" s="21" t="s">
        <v>115</v>
      </c>
    </row>
    <row r="112" spans="1:9" hidden="1" x14ac:dyDescent="0.3">
      <c r="A112" s="20">
        <v>46034</v>
      </c>
      <c r="B112" s="18" t="s">
        <v>9</v>
      </c>
      <c r="C112" s="21" t="s">
        <v>143</v>
      </c>
      <c r="D112" s="21">
        <v>2</v>
      </c>
      <c r="E112" s="24" t="s">
        <v>198</v>
      </c>
      <c r="F112" s="18" t="s">
        <v>804</v>
      </c>
      <c r="G112" s="24" t="s">
        <v>700</v>
      </c>
      <c r="H112" s="18">
        <v>1</v>
      </c>
      <c r="I112" s="18" t="s">
        <v>64</v>
      </c>
    </row>
    <row r="113" spans="1:9" hidden="1" x14ac:dyDescent="0.3">
      <c r="A113" s="20">
        <v>46035</v>
      </c>
      <c r="B113" s="18" t="s">
        <v>9</v>
      </c>
      <c r="C113" s="21" t="s">
        <v>195</v>
      </c>
      <c r="D113" s="21">
        <v>1</v>
      </c>
      <c r="E113" s="24" t="s">
        <v>199</v>
      </c>
      <c r="F113" s="18" t="s">
        <v>804</v>
      </c>
      <c r="G113" s="24" t="s">
        <v>384</v>
      </c>
      <c r="H113" s="21">
        <v>1</v>
      </c>
      <c r="I113" s="21" t="s">
        <v>87</v>
      </c>
    </row>
    <row r="114" spans="1:9" hidden="1" x14ac:dyDescent="0.3">
      <c r="A114" s="20">
        <v>46035</v>
      </c>
      <c r="B114" s="18" t="s">
        <v>9</v>
      </c>
      <c r="C114" s="21" t="s">
        <v>116</v>
      </c>
      <c r="D114" s="21">
        <v>1</v>
      </c>
      <c r="E114" s="24" t="s">
        <v>199</v>
      </c>
      <c r="F114" s="18" t="s">
        <v>804</v>
      </c>
      <c r="G114" s="24" t="s">
        <v>384</v>
      </c>
      <c r="H114" s="21">
        <v>1</v>
      </c>
      <c r="I114" s="21" t="s">
        <v>87</v>
      </c>
    </row>
    <row r="115" spans="1:9" hidden="1" x14ac:dyDescent="0.3">
      <c r="A115" s="20">
        <v>46035</v>
      </c>
      <c r="B115" s="18" t="s">
        <v>9</v>
      </c>
      <c r="C115" s="18" t="s">
        <v>200</v>
      </c>
      <c r="D115" s="21">
        <v>1</v>
      </c>
      <c r="E115" s="24" t="s">
        <v>201</v>
      </c>
      <c r="F115" s="18" t="s">
        <v>804</v>
      </c>
      <c r="G115" s="24" t="s">
        <v>39</v>
      </c>
      <c r="H115" s="18">
        <v>1</v>
      </c>
      <c r="I115" s="18" t="s">
        <v>64</v>
      </c>
    </row>
    <row r="116" spans="1:9" hidden="1" x14ac:dyDescent="0.3">
      <c r="A116" s="20">
        <v>46036</v>
      </c>
      <c r="B116" s="21" t="s">
        <v>172</v>
      </c>
      <c r="C116" s="18" t="s">
        <v>76</v>
      </c>
      <c r="D116" s="18">
        <v>1</v>
      </c>
      <c r="E116" s="24" t="s">
        <v>203</v>
      </c>
      <c r="F116" s="18" t="s">
        <v>804</v>
      </c>
      <c r="G116" s="24" t="s">
        <v>39</v>
      </c>
      <c r="H116" s="21">
        <v>1</v>
      </c>
      <c r="I116" s="21" t="s">
        <v>87</v>
      </c>
    </row>
    <row r="117" spans="1:9" hidden="1" x14ac:dyDescent="0.3">
      <c r="A117" s="20">
        <v>46036</v>
      </c>
      <c r="B117" s="21" t="s">
        <v>190</v>
      </c>
      <c r="C117" s="21" t="s">
        <v>155</v>
      </c>
      <c r="D117" s="21">
        <v>1</v>
      </c>
      <c r="E117" s="24" t="s">
        <v>204</v>
      </c>
      <c r="F117" s="18" t="s">
        <v>804</v>
      </c>
      <c r="G117" s="24" t="s">
        <v>694</v>
      </c>
      <c r="H117" s="18">
        <v>1</v>
      </c>
      <c r="I117" s="18" t="s">
        <v>64</v>
      </c>
    </row>
    <row r="118" spans="1:9" hidden="1" x14ac:dyDescent="0.3">
      <c r="A118" s="20">
        <v>46036</v>
      </c>
      <c r="B118" s="21" t="s">
        <v>190</v>
      </c>
      <c r="C118" s="21" t="s">
        <v>205</v>
      </c>
      <c r="D118" s="21">
        <v>1</v>
      </c>
      <c r="E118" s="24" t="s">
        <v>206</v>
      </c>
      <c r="F118" s="18" t="s">
        <v>804</v>
      </c>
      <c r="G118" s="24" t="s">
        <v>679</v>
      </c>
      <c r="H118" s="18">
        <v>1</v>
      </c>
      <c r="I118" s="18" t="s">
        <v>64</v>
      </c>
    </row>
    <row r="119" spans="1:9" hidden="1" x14ac:dyDescent="0.3">
      <c r="A119" s="20">
        <v>46036</v>
      </c>
      <c r="B119" s="18" t="s">
        <v>9</v>
      </c>
      <c r="C119" s="21" t="s">
        <v>155</v>
      </c>
      <c r="D119" s="21">
        <v>1</v>
      </c>
      <c r="E119" s="24" t="s">
        <v>207</v>
      </c>
      <c r="F119" s="18" t="s">
        <v>804</v>
      </c>
      <c r="G119" s="24" t="s">
        <v>175</v>
      </c>
      <c r="H119" s="18">
        <v>1</v>
      </c>
      <c r="I119" s="18" t="s">
        <v>64</v>
      </c>
    </row>
    <row r="120" spans="1:9" hidden="1" x14ac:dyDescent="0.3">
      <c r="A120" s="20">
        <v>46037</v>
      </c>
      <c r="B120" s="18" t="s">
        <v>9</v>
      </c>
      <c r="C120" s="21" t="s">
        <v>205</v>
      </c>
      <c r="D120" s="21">
        <v>1</v>
      </c>
      <c r="E120" s="24" t="s">
        <v>208</v>
      </c>
      <c r="F120" s="18" t="s">
        <v>804</v>
      </c>
      <c r="G120" s="24" t="s">
        <v>369</v>
      </c>
      <c r="H120" s="21">
        <v>1</v>
      </c>
      <c r="I120" s="21" t="s">
        <v>87</v>
      </c>
    </row>
    <row r="121" spans="1:9" hidden="1" x14ac:dyDescent="0.3">
      <c r="A121" s="20">
        <v>46038</v>
      </c>
      <c r="B121" s="21" t="s">
        <v>192</v>
      </c>
      <c r="C121" s="18" t="s">
        <v>193</v>
      </c>
      <c r="D121" s="18">
        <v>1</v>
      </c>
      <c r="E121" s="24" t="s">
        <v>209</v>
      </c>
      <c r="F121" s="18" t="s">
        <v>804</v>
      </c>
      <c r="G121" s="24" t="s">
        <v>73</v>
      </c>
      <c r="H121" s="21">
        <v>1</v>
      </c>
      <c r="I121" s="21" t="s">
        <v>87</v>
      </c>
    </row>
    <row r="122" spans="1:9" ht="28.8" hidden="1" x14ac:dyDescent="0.3">
      <c r="A122" s="20">
        <v>46038</v>
      </c>
      <c r="B122" s="18" t="s">
        <v>9</v>
      </c>
      <c r="C122" s="21" t="s">
        <v>155</v>
      </c>
      <c r="D122" s="21">
        <v>2</v>
      </c>
      <c r="E122" s="24" t="s">
        <v>210</v>
      </c>
      <c r="F122" s="18" t="s">
        <v>804</v>
      </c>
      <c r="G122" s="24" t="s">
        <v>688</v>
      </c>
      <c r="H122" s="18">
        <v>1</v>
      </c>
      <c r="I122" s="18" t="s">
        <v>52</v>
      </c>
    </row>
    <row r="123" spans="1:9" hidden="1" x14ac:dyDescent="0.3">
      <c r="A123" s="20">
        <v>46039</v>
      </c>
      <c r="B123" s="21" t="s">
        <v>192</v>
      </c>
      <c r="C123" s="18" t="s">
        <v>76</v>
      </c>
      <c r="D123" s="18">
        <v>1</v>
      </c>
      <c r="E123" s="24" t="s">
        <v>211</v>
      </c>
      <c r="F123" s="18" t="s">
        <v>804</v>
      </c>
      <c r="G123" s="24" t="s">
        <v>369</v>
      </c>
      <c r="H123" s="21">
        <v>1</v>
      </c>
      <c r="I123" s="21" t="s">
        <v>87</v>
      </c>
    </row>
    <row r="124" spans="1:9" hidden="1" x14ac:dyDescent="0.3">
      <c r="A124" s="20">
        <v>46039</v>
      </c>
      <c r="B124" s="21" t="s">
        <v>192</v>
      </c>
      <c r="C124" s="21" t="s">
        <v>10</v>
      </c>
      <c r="D124" s="21">
        <v>1</v>
      </c>
      <c r="E124" s="24" t="s">
        <v>211</v>
      </c>
      <c r="F124" s="18" t="s">
        <v>804</v>
      </c>
      <c r="G124" s="24" t="s">
        <v>369</v>
      </c>
      <c r="H124" s="21">
        <v>1</v>
      </c>
      <c r="I124" s="21" t="s">
        <v>87</v>
      </c>
    </row>
    <row r="125" spans="1:9" hidden="1" x14ac:dyDescent="0.3">
      <c r="A125" s="20">
        <v>46041</v>
      </c>
      <c r="B125" s="21" t="s">
        <v>192</v>
      </c>
      <c r="C125" s="21" t="s">
        <v>195</v>
      </c>
      <c r="D125" s="21">
        <v>2</v>
      </c>
      <c r="E125" s="24" t="s">
        <v>196</v>
      </c>
      <c r="F125" s="18" t="s">
        <v>804</v>
      </c>
      <c r="G125" s="24" t="s">
        <v>710</v>
      </c>
      <c r="H125" s="21">
        <v>1</v>
      </c>
      <c r="I125" s="21" t="s">
        <v>87</v>
      </c>
    </row>
    <row r="126" spans="1:9" hidden="1" x14ac:dyDescent="0.3">
      <c r="A126" s="20">
        <v>46042</v>
      </c>
      <c r="B126" s="18" t="s">
        <v>9</v>
      </c>
      <c r="C126" s="18" t="s">
        <v>74</v>
      </c>
      <c r="D126" s="21">
        <v>1</v>
      </c>
      <c r="E126" s="24" t="s">
        <v>212</v>
      </c>
      <c r="F126" s="18" t="s">
        <v>804</v>
      </c>
      <c r="G126" s="24" t="s">
        <v>736</v>
      </c>
      <c r="H126" s="18">
        <v>1</v>
      </c>
      <c r="I126" s="18" t="s">
        <v>64</v>
      </c>
    </row>
    <row r="127" spans="1:9" hidden="1" x14ac:dyDescent="0.3">
      <c r="A127" s="20">
        <v>46043</v>
      </c>
      <c r="B127" s="21" t="s">
        <v>192</v>
      </c>
      <c r="C127" s="21" t="s">
        <v>10</v>
      </c>
      <c r="D127" s="21">
        <v>2</v>
      </c>
      <c r="E127" s="24" t="s">
        <v>213</v>
      </c>
      <c r="F127" s="18" t="s">
        <v>804</v>
      </c>
      <c r="G127" s="24" t="s">
        <v>700</v>
      </c>
      <c r="H127" s="21">
        <v>1</v>
      </c>
      <c r="I127" s="21" t="s">
        <v>87</v>
      </c>
    </row>
    <row r="128" spans="1:9" hidden="1" x14ac:dyDescent="0.3">
      <c r="A128" s="20">
        <v>46043</v>
      </c>
      <c r="B128" s="21" t="s">
        <v>192</v>
      </c>
      <c r="C128" s="18" t="s">
        <v>193</v>
      </c>
      <c r="D128" s="18">
        <v>2</v>
      </c>
      <c r="E128" s="24" t="s">
        <v>213</v>
      </c>
      <c r="F128" s="18" t="s">
        <v>804</v>
      </c>
      <c r="G128" s="24" t="s">
        <v>700</v>
      </c>
      <c r="H128" s="21">
        <v>1</v>
      </c>
      <c r="I128" s="21" t="s">
        <v>87</v>
      </c>
    </row>
    <row r="129" spans="1:9" hidden="1" x14ac:dyDescent="0.3">
      <c r="A129" s="20">
        <v>46043</v>
      </c>
      <c r="B129" s="18" t="s">
        <v>9</v>
      </c>
      <c r="C129" s="21" t="s">
        <v>205</v>
      </c>
      <c r="D129" s="21">
        <v>1</v>
      </c>
      <c r="E129" s="24" t="s">
        <v>214</v>
      </c>
      <c r="F129" s="18" t="s">
        <v>804</v>
      </c>
      <c r="G129" s="24" t="s">
        <v>369</v>
      </c>
      <c r="H129" s="18">
        <v>1</v>
      </c>
      <c r="I129" s="18" t="s">
        <v>64</v>
      </c>
    </row>
    <row r="130" spans="1:9" ht="28.8" hidden="1" x14ac:dyDescent="0.3">
      <c r="A130" s="20">
        <v>46043</v>
      </c>
      <c r="B130" s="18" t="s">
        <v>9</v>
      </c>
      <c r="C130" s="21" t="s">
        <v>215</v>
      </c>
      <c r="D130" s="21">
        <v>2</v>
      </c>
      <c r="E130" s="24" t="s">
        <v>216</v>
      </c>
      <c r="F130" s="18" t="s">
        <v>804</v>
      </c>
      <c r="G130" s="24" t="s">
        <v>792</v>
      </c>
      <c r="H130" s="18">
        <v>1</v>
      </c>
      <c r="I130" s="18" t="s">
        <v>64</v>
      </c>
    </row>
    <row r="131" spans="1:9" hidden="1" x14ac:dyDescent="0.3">
      <c r="A131" s="20">
        <v>46044</v>
      </c>
      <c r="B131" s="21" t="s">
        <v>192</v>
      </c>
      <c r="C131" s="21" t="s">
        <v>123</v>
      </c>
      <c r="D131" s="21">
        <v>1</v>
      </c>
      <c r="E131" s="24" t="s">
        <v>199</v>
      </c>
      <c r="F131" s="18" t="s">
        <v>804</v>
      </c>
      <c r="G131" s="24" t="s">
        <v>384</v>
      </c>
      <c r="H131" s="21">
        <v>1</v>
      </c>
      <c r="I131" s="21" t="s">
        <v>87</v>
      </c>
    </row>
    <row r="132" spans="1:9" hidden="1" x14ac:dyDescent="0.3">
      <c r="A132" s="20">
        <v>46044</v>
      </c>
      <c r="B132" s="21" t="s">
        <v>192</v>
      </c>
      <c r="C132" s="21" t="s">
        <v>10</v>
      </c>
      <c r="D132" s="21">
        <v>1</v>
      </c>
      <c r="E132" s="24" t="s">
        <v>199</v>
      </c>
      <c r="F132" s="18" t="s">
        <v>804</v>
      </c>
      <c r="G132" s="24" t="s">
        <v>384</v>
      </c>
      <c r="H132" s="21">
        <v>1</v>
      </c>
      <c r="I132" s="21" t="s">
        <v>87</v>
      </c>
    </row>
    <row r="133" spans="1:9" hidden="1" x14ac:dyDescent="0.3">
      <c r="A133" s="20">
        <v>46045</v>
      </c>
      <c r="B133" s="18" t="s">
        <v>9</v>
      </c>
      <c r="C133" s="21" t="s">
        <v>116</v>
      </c>
      <c r="D133" s="21">
        <v>1</v>
      </c>
      <c r="E133" s="24" t="s">
        <v>217</v>
      </c>
      <c r="F133" s="18" t="s">
        <v>804</v>
      </c>
      <c r="G133" s="24" t="s">
        <v>746</v>
      </c>
      <c r="H133" s="18">
        <v>1</v>
      </c>
      <c r="I133" s="18" t="s">
        <v>52</v>
      </c>
    </row>
    <row r="134" spans="1:9" hidden="1" x14ac:dyDescent="0.3">
      <c r="A134" s="20">
        <v>46046</v>
      </c>
      <c r="B134" s="18" t="s">
        <v>9</v>
      </c>
      <c r="C134" s="21" t="s">
        <v>116</v>
      </c>
      <c r="D134" s="21">
        <v>1</v>
      </c>
      <c r="E134" s="24" t="s">
        <v>218</v>
      </c>
      <c r="F134" s="18" t="s">
        <v>804</v>
      </c>
      <c r="G134" s="24" t="s">
        <v>73</v>
      </c>
      <c r="H134" s="18">
        <v>1</v>
      </c>
      <c r="I134" s="18" t="s">
        <v>52</v>
      </c>
    </row>
    <row r="135" spans="1:9" ht="28.8" hidden="1" x14ac:dyDescent="0.3">
      <c r="A135" s="20">
        <v>46048</v>
      </c>
      <c r="B135" s="18" t="s">
        <v>9</v>
      </c>
      <c r="C135" s="21" t="s">
        <v>116</v>
      </c>
      <c r="D135" s="21">
        <v>3</v>
      </c>
      <c r="E135" s="24" t="s">
        <v>219</v>
      </c>
      <c r="F135" s="18" t="s">
        <v>804</v>
      </c>
      <c r="G135" s="24" t="s">
        <v>793</v>
      </c>
      <c r="H135" s="18">
        <v>1</v>
      </c>
      <c r="I135" s="18" t="s">
        <v>52</v>
      </c>
    </row>
    <row r="136" spans="1:9" hidden="1" x14ac:dyDescent="0.3">
      <c r="A136" s="20">
        <v>46056</v>
      </c>
      <c r="B136" s="18" t="s">
        <v>9</v>
      </c>
      <c r="C136" s="21" t="s">
        <v>123</v>
      </c>
      <c r="D136" s="21">
        <v>1</v>
      </c>
      <c r="E136" s="24" t="s">
        <v>220</v>
      </c>
      <c r="F136" s="18" t="s">
        <v>804</v>
      </c>
      <c r="G136" s="24" t="s">
        <v>39</v>
      </c>
      <c r="H136" s="21">
        <v>1</v>
      </c>
      <c r="I136" s="21" t="s">
        <v>115</v>
      </c>
    </row>
    <row r="137" spans="1:9" hidden="1" x14ac:dyDescent="0.3">
      <c r="A137" s="20">
        <v>46056</v>
      </c>
      <c r="B137" s="18" t="s">
        <v>9</v>
      </c>
      <c r="C137" s="21" t="s">
        <v>221</v>
      </c>
      <c r="D137" s="21">
        <v>1</v>
      </c>
      <c r="E137" s="24" t="s">
        <v>222</v>
      </c>
      <c r="F137" s="18" t="s">
        <v>804</v>
      </c>
      <c r="G137" s="24" t="s">
        <v>694</v>
      </c>
      <c r="H137" s="18">
        <v>1</v>
      </c>
      <c r="I137" s="18" t="s">
        <v>52</v>
      </c>
    </row>
    <row r="138" spans="1:9" ht="19.2" hidden="1" customHeight="1" x14ac:dyDescent="0.3">
      <c r="A138" s="20">
        <v>46057</v>
      </c>
      <c r="B138" s="21" t="s">
        <v>223</v>
      </c>
      <c r="C138" s="21" t="s">
        <v>224</v>
      </c>
      <c r="D138" s="21">
        <v>1</v>
      </c>
      <c r="E138" s="24" t="s">
        <v>225</v>
      </c>
      <c r="F138" s="18" t="s">
        <v>804</v>
      </c>
      <c r="G138" s="24" t="s">
        <v>711</v>
      </c>
      <c r="H138" s="18">
        <v>1</v>
      </c>
      <c r="I138" s="18" t="s">
        <v>12</v>
      </c>
    </row>
    <row r="139" spans="1:9" hidden="1" x14ac:dyDescent="0.3">
      <c r="A139" s="20">
        <v>46058</v>
      </c>
      <c r="B139" s="21" t="s">
        <v>223</v>
      </c>
      <c r="C139" s="21" t="s">
        <v>193</v>
      </c>
      <c r="D139" s="21">
        <v>1</v>
      </c>
      <c r="E139" s="24" t="s">
        <v>226</v>
      </c>
      <c r="F139" s="18" t="s">
        <v>804</v>
      </c>
      <c r="G139" s="24" t="s">
        <v>369</v>
      </c>
      <c r="H139" s="21">
        <v>1</v>
      </c>
      <c r="I139" s="21" t="s">
        <v>87</v>
      </c>
    </row>
    <row r="140" spans="1:9" ht="20.399999999999999" hidden="1" customHeight="1" x14ac:dyDescent="0.3">
      <c r="A140" s="20">
        <v>46058</v>
      </c>
      <c r="B140" s="21" t="s">
        <v>223</v>
      </c>
      <c r="C140" s="21" t="s">
        <v>224</v>
      </c>
      <c r="D140" s="21">
        <v>1</v>
      </c>
      <c r="E140" s="24" t="s">
        <v>225</v>
      </c>
      <c r="F140" s="18" t="s">
        <v>804</v>
      </c>
      <c r="G140" s="24" t="s">
        <v>711</v>
      </c>
      <c r="H140" s="21">
        <v>1</v>
      </c>
      <c r="I140" s="21" t="s">
        <v>87</v>
      </c>
    </row>
    <row r="141" spans="1:9" hidden="1" x14ac:dyDescent="0.3">
      <c r="A141" s="20">
        <v>46058</v>
      </c>
      <c r="B141" s="21" t="s">
        <v>223</v>
      </c>
      <c r="C141" s="21" t="s">
        <v>116</v>
      </c>
      <c r="D141" s="21">
        <v>2</v>
      </c>
      <c r="E141" s="24" t="s">
        <v>196</v>
      </c>
      <c r="F141" s="18" t="s">
        <v>804</v>
      </c>
      <c r="G141" s="24" t="s">
        <v>710</v>
      </c>
      <c r="H141" s="21">
        <v>1</v>
      </c>
      <c r="I141" s="21" t="s">
        <v>87</v>
      </c>
    </row>
    <row r="142" spans="1:9" hidden="1" x14ac:dyDescent="0.3">
      <c r="A142" s="20">
        <v>46058</v>
      </c>
      <c r="B142" s="21" t="s">
        <v>172</v>
      </c>
      <c r="C142" s="21" t="s">
        <v>221</v>
      </c>
      <c r="D142" s="21">
        <v>1</v>
      </c>
      <c r="E142" s="24" t="s">
        <v>227</v>
      </c>
      <c r="F142" s="18" t="s">
        <v>804</v>
      </c>
      <c r="G142" s="24" t="s">
        <v>395</v>
      </c>
      <c r="H142" s="18">
        <v>1</v>
      </c>
      <c r="I142" s="18" t="s">
        <v>52</v>
      </c>
    </row>
    <row r="143" spans="1:9" hidden="1" x14ac:dyDescent="0.3">
      <c r="A143" s="20">
        <v>46062</v>
      </c>
      <c r="B143" s="21" t="s">
        <v>172</v>
      </c>
      <c r="C143" s="21" t="s">
        <v>229</v>
      </c>
      <c r="D143" s="21">
        <v>1</v>
      </c>
      <c r="E143" s="24" t="s">
        <v>163</v>
      </c>
      <c r="F143" s="18" t="s">
        <v>804</v>
      </c>
      <c r="G143" s="24" t="s">
        <v>369</v>
      </c>
      <c r="H143" s="21">
        <v>1</v>
      </c>
      <c r="I143" s="21" t="s">
        <v>115</v>
      </c>
    </row>
    <row r="144" spans="1:9" hidden="1" x14ac:dyDescent="0.3">
      <c r="A144" s="20">
        <v>46062</v>
      </c>
      <c r="B144" s="18" t="s">
        <v>91</v>
      </c>
      <c r="C144" s="21" t="s">
        <v>215</v>
      </c>
      <c r="D144" s="21">
        <v>1</v>
      </c>
      <c r="E144" s="24" t="s">
        <v>230</v>
      </c>
      <c r="F144" s="18" t="s">
        <v>804</v>
      </c>
      <c r="G144" s="24" t="s">
        <v>736</v>
      </c>
      <c r="H144" s="18">
        <v>1</v>
      </c>
      <c r="I144" s="18" t="s">
        <v>64</v>
      </c>
    </row>
    <row r="145" spans="1:9" hidden="1" x14ac:dyDescent="0.3">
      <c r="A145" s="20">
        <v>46064</v>
      </c>
      <c r="B145" s="21" t="s">
        <v>223</v>
      </c>
      <c r="C145" s="21" t="s">
        <v>116</v>
      </c>
      <c r="D145" s="21">
        <v>2</v>
      </c>
      <c r="E145" s="24" t="s">
        <v>196</v>
      </c>
      <c r="F145" s="18" t="s">
        <v>804</v>
      </c>
      <c r="G145" s="24" t="s">
        <v>710</v>
      </c>
      <c r="H145" s="21">
        <v>1</v>
      </c>
      <c r="I145" s="21" t="s">
        <v>87</v>
      </c>
    </row>
    <row r="146" spans="1:9" hidden="1" x14ac:dyDescent="0.3">
      <c r="A146" s="20">
        <v>46064</v>
      </c>
      <c r="B146" s="21" t="s">
        <v>223</v>
      </c>
      <c r="C146" s="18" t="s">
        <v>92</v>
      </c>
      <c r="D146" s="21">
        <v>2</v>
      </c>
      <c r="E146" s="24" t="s">
        <v>196</v>
      </c>
      <c r="F146" s="18" t="s">
        <v>804</v>
      </c>
      <c r="G146" s="24" t="s">
        <v>710</v>
      </c>
      <c r="H146" s="21">
        <v>1</v>
      </c>
      <c r="I146" s="21" t="s">
        <v>87</v>
      </c>
    </row>
    <row r="147" spans="1:9" ht="43.2" hidden="1" x14ac:dyDescent="0.3">
      <c r="A147" s="20">
        <v>46064</v>
      </c>
      <c r="B147" s="21" t="s">
        <v>223</v>
      </c>
      <c r="C147" s="21" t="s">
        <v>155</v>
      </c>
      <c r="D147" s="21">
        <v>2</v>
      </c>
      <c r="E147" s="24" t="s">
        <v>231</v>
      </c>
      <c r="F147" s="18" t="s">
        <v>804</v>
      </c>
      <c r="G147" s="24" t="s">
        <v>680</v>
      </c>
      <c r="H147" s="21">
        <v>1</v>
      </c>
      <c r="I147" s="21" t="s">
        <v>115</v>
      </c>
    </row>
    <row r="148" spans="1:9" hidden="1" x14ac:dyDescent="0.3">
      <c r="A148" s="20">
        <v>46064</v>
      </c>
      <c r="B148" s="18" t="s">
        <v>91</v>
      </c>
      <c r="C148" s="21" t="s">
        <v>215</v>
      </c>
      <c r="D148" s="21">
        <v>1</v>
      </c>
      <c r="E148" s="24" t="s">
        <v>230</v>
      </c>
      <c r="F148" s="18" t="s">
        <v>804</v>
      </c>
      <c r="G148" s="24" t="s">
        <v>736</v>
      </c>
      <c r="H148" s="18">
        <v>1</v>
      </c>
      <c r="I148" s="18" t="s">
        <v>64</v>
      </c>
    </row>
    <row r="149" spans="1:9" hidden="1" x14ac:dyDescent="0.3">
      <c r="A149" s="20">
        <v>46065</v>
      </c>
      <c r="B149" s="21" t="s">
        <v>223</v>
      </c>
      <c r="C149" s="21" t="s">
        <v>221</v>
      </c>
      <c r="D149" s="21">
        <v>2</v>
      </c>
      <c r="E149" s="24" t="s">
        <v>196</v>
      </c>
      <c r="F149" s="18" t="s">
        <v>804</v>
      </c>
      <c r="G149" s="24" t="s">
        <v>710</v>
      </c>
      <c r="H149" s="21">
        <v>1</v>
      </c>
      <c r="I149" s="21" t="s">
        <v>87</v>
      </c>
    </row>
    <row r="150" spans="1:9" hidden="1" x14ac:dyDescent="0.3">
      <c r="A150" s="20">
        <v>46065</v>
      </c>
      <c r="B150" s="21" t="s">
        <v>172</v>
      </c>
      <c r="C150" s="21" t="s">
        <v>155</v>
      </c>
      <c r="D150" s="21">
        <v>1</v>
      </c>
      <c r="E150" s="24" t="s">
        <v>232</v>
      </c>
      <c r="F150" s="18" t="s">
        <v>804</v>
      </c>
      <c r="G150" s="24" t="s">
        <v>794</v>
      </c>
      <c r="H150" s="18">
        <v>1</v>
      </c>
      <c r="I150" s="18" t="s">
        <v>64</v>
      </c>
    </row>
    <row r="151" spans="1:9" hidden="1" x14ac:dyDescent="0.3">
      <c r="A151" s="20">
        <v>46066</v>
      </c>
      <c r="B151" s="18" t="s">
        <v>91</v>
      </c>
      <c r="C151" s="21" t="s">
        <v>137</v>
      </c>
      <c r="D151" s="21">
        <v>1</v>
      </c>
      <c r="E151" s="24" t="s">
        <v>233</v>
      </c>
      <c r="F151" s="18" t="s">
        <v>804</v>
      </c>
      <c r="G151" s="24" t="s">
        <v>746</v>
      </c>
      <c r="H151" s="18">
        <v>1</v>
      </c>
      <c r="I151" s="18" t="s">
        <v>64</v>
      </c>
    </row>
    <row r="152" spans="1:9" hidden="1" x14ac:dyDescent="0.3">
      <c r="A152" s="20">
        <v>46067</v>
      </c>
      <c r="B152" s="21" t="s">
        <v>223</v>
      </c>
      <c r="C152" s="21" t="s">
        <v>116</v>
      </c>
      <c r="D152" s="21">
        <v>1</v>
      </c>
      <c r="E152" s="24" t="s">
        <v>163</v>
      </c>
      <c r="F152" s="18" t="s">
        <v>804</v>
      </c>
      <c r="G152" s="24" t="s">
        <v>369</v>
      </c>
      <c r="H152" s="21">
        <v>1</v>
      </c>
      <c r="I152" s="21" t="s">
        <v>115</v>
      </c>
    </row>
    <row r="153" spans="1:9" ht="43.2" hidden="1" x14ac:dyDescent="0.3">
      <c r="A153" s="20">
        <v>46067</v>
      </c>
      <c r="B153" s="18" t="s">
        <v>9</v>
      </c>
      <c r="C153" s="18" t="s">
        <v>179</v>
      </c>
      <c r="D153" s="21">
        <v>4</v>
      </c>
      <c r="E153" s="24" t="s">
        <v>234</v>
      </c>
      <c r="F153" s="18" t="s">
        <v>804</v>
      </c>
      <c r="G153" s="24" t="s">
        <v>712</v>
      </c>
      <c r="H153" s="18">
        <v>1</v>
      </c>
      <c r="I153" s="18" t="s">
        <v>64</v>
      </c>
    </row>
    <row r="154" spans="1:9" hidden="1" x14ac:dyDescent="0.3">
      <c r="A154" s="20">
        <v>46068</v>
      </c>
      <c r="B154" s="18" t="s">
        <v>9</v>
      </c>
      <c r="C154" s="21" t="s">
        <v>155</v>
      </c>
      <c r="D154" s="21">
        <v>1</v>
      </c>
      <c r="E154" s="24" t="s">
        <v>235</v>
      </c>
      <c r="F154" s="18" t="s">
        <v>804</v>
      </c>
      <c r="G154" s="24" t="s">
        <v>795</v>
      </c>
      <c r="H154" s="18">
        <v>1</v>
      </c>
      <c r="I154" s="18" t="s">
        <v>64</v>
      </c>
    </row>
    <row r="155" spans="1:9" hidden="1" x14ac:dyDescent="0.3">
      <c r="A155" s="20">
        <v>46072</v>
      </c>
      <c r="B155" s="21" t="s">
        <v>223</v>
      </c>
      <c r="C155" s="21" t="s">
        <v>116</v>
      </c>
      <c r="D155" s="21">
        <v>2</v>
      </c>
      <c r="E155" s="24" t="s">
        <v>196</v>
      </c>
      <c r="F155" s="18" t="s">
        <v>804</v>
      </c>
      <c r="G155" s="24" t="s">
        <v>710</v>
      </c>
      <c r="H155" s="21">
        <v>1</v>
      </c>
      <c r="I155" s="21" t="s">
        <v>87</v>
      </c>
    </row>
    <row r="156" spans="1:9" hidden="1" x14ac:dyDescent="0.3">
      <c r="A156" s="20">
        <v>46072</v>
      </c>
      <c r="B156" s="21" t="s">
        <v>223</v>
      </c>
      <c r="C156" s="21" t="s">
        <v>10</v>
      </c>
      <c r="D156" s="21">
        <v>1</v>
      </c>
      <c r="E156" s="24" t="s">
        <v>236</v>
      </c>
      <c r="F156" s="18" t="s">
        <v>804</v>
      </c>
      <c r="G156" s="24" t="s">
        <v>713</v>
      </c>
      <c r="H156" s="21">
        <v>1</v>
      </c>
      <c r="I156" s="21" t="s">
        <v>87</v>
      </c>
    </row>
    <row r="157" spans="1:9" ht="28.8" hidden="1" x14ac:dyDescent="0.3">
      <c r="A157" s="20">
        <v>46073</v>
      </c>
      <c r="B157" s="21" t="s">
        <v>172</v>
      </c>
      <c r="C157" s="18" t="s">
        <v>76</v>
      </c>
      <c r="D157" s="18">
        <v>3</v>
      </c>
      <c r="E157" s="24" t="s">
        <v>237</v>
      </c>
      <c r="F157" s="18" t="s">
        <v>804</v>
      </c>
      <c r="G157" s="24" t="s">
        <v>796</v>
      </c>
      <c r="H157" s="21">
        <v>1</v>
      </c>
      <c r="I157" s="21" t="s">
        <v>115</v>
      </c>
    </row>
    <row r="158" spans="1:9" ht="28.8" hidden="1" x14ac:dyDescent="0.3">
      <c r="A158" s="20">
        <v>46085</v>
      </c>
      <c r="B158" s="27" t="s">
        <v>172</v>
      </c>
      <c r="C158" s="21" t="s">
        <v>155</v>
      </c>
      <c r="D158" s="21">
        <v>2</v>
      </c>
      <c r="E158" s="24" t="s">
        <v>238</v>
      </c>
      <c r="F158" s="18" t="s">
        <v>804</v>
      </c>
      <c r="G158" s="24" t="s">
        <v>688</v>
      </c>
      <c r="H158" s="18">
        <v>1</v>
      </c>
      <c r="I158" s="18" t="s">
        <v>64</v>
      </c>
    </row>
    <row r="159" spans="1:9" hidden="1" x14ac:dyDescent="0.3">
      <c r="A159" s="20">
        <v>46085</v>
      </c>
      <c r="B159" s="18" t="s">
        <v>9</v>
      </c>
      <c r="C159" s="21" t="s">
        <v>155</v>
      </c>
      <c r="D159" s="21">
        <v>2</v>
      </c>
      <c r="E159" s="24" t="s">
        <v>239</v>
      </c>
      <c r="F159" s="18" t="s">
        <v>804</v>
      </c>
      <c r="G159" s="24" t="s">
        <v>714</v>
      </c>
      <c r="H159" s="21">
        <v>1</v>
      </c>
      <c r="I159" s="21" t="s">
        <v>240</v>
      </c>
    </row>
    <row r="160" spans="1:9" hidden="1" x14ac:dyDescent="0.3">
      <c r="A160" s="20">
        <v>46094</v>
      </c>
      <c r="B160" s="18" t="s">
        <v>241</v>
      </c>
      <c r="C160" s="21" t="s">
        <v>155</v>
      </c>
      <c r="D160" s="21">
        <v>1</v>
      </c>
      <c r="E160" s="26" t="s">
        <v>242</v>
      </c>
      <c r="F160" s="18" t="s">
        <v>804</v>
      </c>
      <c r="G160" s="26" t="s">
        <v>797</v>
      </c>
      <c r="H160" s="18">
        <v>1</v>
      </c>
      <c r="I160" s="18" t="s">
        <v>64</v>
      </c>
    </row>
    <row r="161" spans="1:9" ht="43.2" hidden="1" x14ac:dyDescent="0.3">
      <c r="A161" s="20">
        <v>46097</v>
      </c>
      <c r="B161" s="21" t="s">
        <v>243</v>
      </c>
      <c r="C161" s="21" t="s">
        <v>155</v>
      </c>
      <c r="D161" s="21">
        <v>1</v>
      </c>
      <c r="E161" s="24" t="s">
        <v>244</v>
      </c>
      <c r="F161" s="18" t="s">
        <v>804</v>
      </c>
      <c r="G161" s="24" t="s">
        <v>694</v>
      </c>
      <c r="H161" s="21">
        <v>1</v>
      </c>
      <c r="I161" s="21" t="s">
        <v>240</v>
      </c>
    </row>
    <row r="162" spans="1:9" ht="57.6" hidden="1" x14ac:dyDescent="0.3">
      <c r="A162" s="20">
        <v>46098</v>
      </c>
      <c r="B162" s="18" t="s">
        <v>9</v>
      </c>
      <c r="C162" s="21" t="s">
        <v>155</v>
      </c>
      <c r="D162" s="21">
        <v>2</v>
      </c>
      <c r="E162" s="24" t="s">
        <v>245</v>
      </c>
      <c r="F162" s="18" t="s">
        <v>804</v>
      </c>
      <c r="G162" s="24" t="s">
        <v>715</v>
      </c>
      <c r="H162" s="18">
        <v>1</v>
      </c>
      <c r="I162" s="18" t="s">
        <v>64</v>
      </c>
    </row>
    <row r="163" spans="1:9" ht="28.8" hidden="1" x14ac:dyDescent="0.3">
      <c r="A163" s="20">
        <v>46099</v>
      </c>
      <c r="B163" s="21" t="s">
        <v>241</v>
      </c>
      <c r="C163" s="21" t="s">
        <v>155</v>
      </c>
      <c r="D163" s="21">
        <v>0</v>
      </c>
      <c r="E163" s="24" t="s">
        <v>246</v>
      </c>
      <c r="F163" s="18" t="s">
        <v>804</v>
      </c>
      <c r="G163" s="24" t="s">
        <v>147</v>
      </c>
      <c r="H163" s="18">
        <v>1</v>
      </c>
      <c r="I163" s="18" t="s">
        <v>64</v>
      </c>
    </row>
    <row r="164" spans="1:9" ht="28.8" hidden="1" x14ac:dyDescent="0.3">
      <c r="A164" s="20">
        <v>46099</v>
      </c>
      <c r="B164" s="27" t="s">
        <v>247</v>
      </c>
      <c r="C164" s="21" t="s">
        <v>155</v>
      </c>
      <c r="D164" s="21">
        <v>1</v>
      </c>
      <c r="E164" s="24" t="s">
        <v>248</v>
      </c>
      <c r="F164" s="18" t="s">
        <v>804</v>
      </c>
      <c r="G164" s="24" t="s">
        <v>39</v>
      </c>
      <c r="H164" s="21">
        <v>1</v>
      </c>
      <c r="I164" s="21" t="s">
        <v>240</v>
      </c>
    </row>
    <row r="165" spans="1:9" hidden="1" x14ac:dyDescent="0.3">
      <c r="A165" s="20">
        <v>46104</v>
      </c>
      <c r="B165" s="18" t="s">
        <v>9</v>
      </c>
      <c r="C165" s="21" t="s">
        <v>205</v>
      </c>
      <c r="D165" s="21">
        <v>1</v>
      </c>
      <c r="E165" s="24" t="s">
        <v>249</v>
      </c>
      <c r="F165" s="18" t="s">
        <v>804</v>
      </c>
      <c r="G165" s="24" t="s">
        <v>369</v>
      </c>
      <c r="H165" s="21">
        <v>1</v>
      </c>
      <c r="I165" s="21" t="s">
        <v>115</v>
      </c>
    </row>
    <row r="166" spans="1:9" hidden="1" x14ac:dyDescent="0.3">
      <c r="A166" s="20">
        <v>46104</v>
      </c>
      <c r="B166" s="18" t="s">
        <v>9</v>
      </c>
      <c r="C166" s="21" t="s">
        <v>10</v>
      </c>
      <c r="D166" s="21">
        <v>1</v>
      </c>
      <c r="E166" s="24" t="s">
        <v>250</v>
      </c>
      <c r="F166" s="18" t="s">
        <v>804</v>
      </c>
      <c r="G166" s="24" t="s">
        <v>736</v>
      </c>
      <c r="H166" s="21">
        <v>1</v>
      </c>
      <c r="I166" s="21" t="s">
        <v>115</v>
      </c>
    </row>
    <row r="167" spans="1:9" ht="43.2" hidden="1" x14ac:dyDescent="0.3">
      <c r="A167" s="20">
        <v>46105</v>
      </c>
      <c r="B167" s="18" t="s">
        <v>9</v>
      </c>
      <c r="C167" s="21" t="s">
        <v>116</v>
      </c>
      <c r="D167" s="21">
        <v>2</v>
      </c>
      <c r="E167" s="24" t="s">
        <v>251</v>
      </c>
      <c r="F167" s="18" t="s">
        <v>804</v>
      </c>
      <c r="G167" s="24" t="s">
        <v>716</v>
      </c>
      <c r="H167" s="21">
        <v>1</v>
      </c>
      <c r="I167" s="21" t="s">
        <v>252</v>
      </c>
    </row>
    <row r="168" spans="1:9" ht="17.399999999999999" hidden="1" customHeight="1" x14ac:dyDescent="0.3">
      <c r="A168" s="20">
        <v>46106</v>
      </c>
      <c r="B168" s="18" t="s">
        <v>241</v>
      </c>
      <c r="C168" s="21" t="s">
        <v>137</v>
      </c>
      <c r="D168" s="21">
        <v>2</v>
      </c>
      <c r="E168" s="24" t="s">
        <v>253</v>
      </c>
      <c r="F168" s="18" t="s">
        <v>804</v>
      </c>
      <c r="G168" s="24" t="s">
        <v>680</v>
      </c>
      <c r="H168" s="18">
        <v>1</v>
      </c>
      <c r="I168" s="18" t="s">
        <v>64</v>
      </c>
    </row>
    <row r="169" spans="1:9" hidden="1" x14ac:dyDescent="0.3">
      <c r="A169" s="20">
        <v>46106</v>
      </c>
      <c r="B169" s="21" t="s">
        <v>254</v>
      </c>
      <c r="C169" s="21" t="s">
        <v>155</v>
      </c>
      <c r="D169" s="21">
        <v>1</v>
      </c>
      <c r="E169" s="24" t="s">
        <v>255</v>
      </c>
      <c r="F169" s="18" t="s">
        <v>804</v>
      </c>
      <c r="G169" s="24" t="s">
        <v>694</v>
      </c>
      <c r="H169" s="18">
        <v>1</v>
      </c>
      <c r="I169" s="18" t="s">
        <v>52</v>
      </c>
    </row>
    <row r="170" spans="1:9" ht="43.2" hidden="1" x14ac:dyDescent="0.3">
      <c r="A170" s="20">
        <v>46106</v>
      </c>
      <c r="B170" s="18" t="s">
        <v>9</v>
      </c>
      <c r="C170" s="21" t="s">
        <v>10</v>
      </c>
      <c r="D170" s="21">
        <v>2</v>
      </c>
      <c r="E170" s="24" t="s">
        <v>256</v>
      </c>
      <c r="F170" s="18" t="s">
        <v>804</v>
      </c>
      <c r="G170" s="24" t="s">
        <v>717</v>
      </c>
      <c r="H170" s="21">
        <v>1</v>
      </c>
      <c r="I170" s="21" t="s">
        <v>115</v>
      </c>
    </row>
    <row r="171" spans="1:9" ht="43.2" hidden="1" x14ac:dyDescent="0.3">
      <c r="A171" s="20">
        <v>46107</v>
      </c>
      <c r="B171" s="18" t="s">
        <v>9</v>
      </c>
      <c r="C171" s="21" t="s">
        <v>257</v>
      </c>
      <c r="D171" s="21">
        <v>2</v>
      </c>
      <c r="E171" s="24" t="s">
        <v>258</v>
      </c>
      <c r="F171" s="18" t="s">
        <v>804</v>
      </c>
      <c r="G171" s="24" t="s">
        <v>718</v>
      </c>
      <c r="H171" s="18">
        <v>1</v>
      </c>
      <c r="I171" s="18" t="s">
        <v>52</v>
      </c>
    </row>
    <row r="172" spans="1:9" ht="43.2" hidden="1" x14ac:dyDescent="0.3">
      <c r="A172" s="20">
        <v>46108</v>
      </c>
      <c r="B172" s="18" t="s">
        <v>241</v>
      </c>
      <c r="C172" s="21" t="s">
        <v>259</v>
      </c>
      <c r="D172" s="21">
        <v>3</v>
      </c>
      <c r="E172" s="24" t="s">
        <v>260</v>
      </c>
      <c r="F172" s="18" t="s">
        <v>804</v>
      </c>
      <c r="G172" s="24" t="s">
        <v>719</v>
      </c>
      <c r="H172" s="21">
        <v>1</v>
      </c>
      <c r="I172" s="21" t="s">
        <v>252</v>
      </c>
    </row>
    <row r="173" spans="1:9" hidden="1" x14ac:dyDescent="0.3">
      <c r="A173" s="20">
        <v>46108</v>
      </c>
      <c r="B173" s="21" t="s">
        <v>254</v>
      </c>
      <c r="C173" s="21" t="s">
        <v>261</v>
      </c>
      <c r="D173" s="21">
        <v>1</v>
      </c>
      <c r="E173" s="24" t="s">
        <v>262</v>
      </c>
      <c r="F173" s="18" t="s">
        <v>804</v>
      </c>
      <c r="G173" s="24" t="s">
        <v>694</v>
      </c>
      <c r="H173" s="18">
        <v>1</v>
      </c>
      <c r="I173" s="18" t="s">
        <v>52</v>
      </c>
    </row>
    <row r="174" spans="1:9" ht="43.2" hidden="1" x14ac:dyDescent="0.3">
      <c r="A174" s="20">
        <v>46108</v>
      </c>
      <c r="B174" s="21" t="s">
        <v>254</v>
      </c>
      <c r="C174" s="21" t="s">
        <v>261</v>
      </c>
      <c r="D174" s="21">
        <v>1</v>
      </c>
      <c r="E174" s="24" t="s">
        <v>263</v>
      </c>
      <c r="F174" s="18" t="s">
        <v>804</v>
      </c>
      <c r="G174" s="24" t="s">
        <v>694</v>
      </c>
      <c r="H174" s="18">
        <v>1</v>
      </c>
      <c r="I174" s="18" t="s">
        <v>52</v>
      </c>
    </row>
    <row r="175" spans="1:9" ht="28.8" hidden="1" x14ac:dyDescent="0.3">
      <c r="A175" s="20">
        <v>46113</v>
      </c>
      <c r="B175" s="66" t="s">
        <v>247</v>
      </c>
      <c r="C175" s="21" t="s">
        <v>264</v>
      </c>
      <c r="D175" s="21">
        <v>2</v>
      </c>
      <c r="E175" s="24" t="s">
        <v>265</v>
      </c>
      <c r="F175" s="18" t="s">
        <v>804</v>
      </c>
      <c r="G175" s="24" t="s">
        <v>720</v>
      </c>
      <c r="H175" s="21">
        <v>1</v>
      </c>
      <c r="I175" s="21" t="s">
        <v>240</v>
      </c>
    </row>
    <row r="176" spans="1:9" ht="43.2" hidden="1" x14ac:dyDescent="0.3">
      <c r="A176" s="20">
        <v>46113</v>
      </c>
      <c r="B176" s="21" t="s">
        <v>254</v>
      </c>
      <c r="C176" s="21" t="s">
        <v>266</v>
      </c>
      <c r="D176" s="21">
        <v>4</v>
      </c>
      <c r="E176" s="24" t="s">
        <v>267</v>
      </c>
      <c r="F176" s="18" t="s">
        <v>804</v>
      </c>
      <c r="G176" s="24" t="s">
        <v>768</v>
      </c>
      <c r="H176" s="18">
        <v>1</v>
      </c>
      <c r="I176" s="18" t="s">
        <v>64</v>
      </c>
    </row>
    <row r="177" spans="1:9" ht="28.8" hidden="1" x14ac:dyDescent="0.3">
      <c r="A177" s="20">
        <v>46114</v>
      </c>
      <c r="B177" s="21" t="s">
        <v>223</v>
      </c>
      <c r="C177" s="18" t="s">
        <v>193</v>
      </c>
      <c r="D177" s="18">
        <v>3</v>
      </c>
      <c r="E177" s="24" t="s">
        <v>268</v>
      </c>
      <c r="F177" s="18" t="s">
        <v>804</v>
      </c>
      <c r="G177" s="24" t="s">
        <v>721</v>
      </c>
      <c r="H177" s="18">
        <v>1</v>
      </c>
      <c r="I177" s="18" t="s">
        <v>64</v>
      </c>
    </row>
    <row r="178" spans="1:9" ht="28.8" hidden="1" x14ac:dyDescent="0.3">
      <c r="A178" s="20">
        <v>46118</v>
      </c>
      <c r="B178" s="21" t="s">
        <v>254</v>
      </c>
      <c r="C178" s="21" t="s">
        <v>22</v>
      </c>
      <c r="D178" s="21">
        <v>2</v>
      </c>
      <c r="E178" s="24" t="s">
        <v>269</v>
      </c>
      <c r="F178" s="18" t="s">
        <v>804</v>
      </c>
      <c r="G178" s="24" t="s">
        <v>722</v>
      </c>
      <c r="H178" s="18">
        <v>1</v>
      </c>
      <c r="I178" s="18" t="s">
        <v>52</v>
      </c>
    </row>
    <row r="179" spans="1:9" ht="28.8" hidden="1" x14ac:dyDescent="0.3">
      <c r="A179" s="20">
        <v>46118</v>
      </c>
      <c r="B179" s="21" t="s">
        <v>241</v>
      </c>
      <c r="C179" s="21" t="s">
        <v>270</v>
      </c>
      <c r="D179" s="21">
        <v>1</v>
      </c>
      <c r="E179" s="24" t="s">
        <v>271</v>
      </c>
      <c r="F179" s="18" t="s">
        <v>804</v>
      </c>
      <c r="G179" s="24" t="s">
        <v>723</v>
      </c>
      <c r="H179" s="18">
        <v>1</v>
      </c>
      <c r="I179" s="18" t="s">
        <v>64</v>
      </c>
    </row>
    <row r="180" spans="1:9" hidden="1" x14ac:dyDescent="0.3">
      <c r="A180" s="20">
        <v>46118</v>
      </c>
      <c r="B180" s="21" t="s">
        <v>241</v>
      </c>
      <c r="C180" s="21" t="s">
        <v>116</v>
      </c>
      <c r="D180" s="21">
        <v>0</v>
      </c>
      <c r="E180" s="24" t="s">
        <v>272</v>
      </c>
      <c r="F180" s="18" t="s">
        <v>804</v>
      </c>
      <c r="G180" s="24" t="s">
        <v>147</v>
      </c>
      <c r="H180" s="18">
        <v>1</v>
      </c>
      <c r="I180" s="18" t="s">
        <v>64</v>
      </c>
    </row>
    <row r="181" spans="1:9" ht="28.8" hidden="1" x14ac:dyDescent="0.3">
      <c r="A181" s="20">
        <v>46119</v>
      </c>
      <c r="B181" s="21" t="s">
        <v>241</v>
      </c>
      <c r="C181" s="21" t="s">
        <v>137</v>
      </c>
      <c r="D181" s="21">
        <v>3</v>
      </c>
      <c r="E181" s="24" t="s">
        <v>273</v>
      </c>
      <c r="F181" s="18" t="s">
        <v>804</v>
      </c>
      <c r="G181" s="24" t="s">
        <v>769</v>
      </c>
      <c r="H181" s="18">
        <v>1</v>
      </c>
      <c r="I181" s="18" t="s">
        <v>64</v>
      </c>
    </row>
    <row r="182" spans="1:9" ht="28.8" hidden="1" x14ac:dyDescent="0.3">
      <c r="A182" s="20">
        <v>46119</v>
      </c>
      <c r="B182" s="21" t="s">
        <v>254</v>
      </c>
      <c r="C182" s="18" t="s">
        <v>193</v>
      </c>
      <c r="D182" s="18">
        <v>2</v>
      </c>
      <c r="E182" s="24" t="s">
        <v>274</v>
      </c>
      <c r="F182" s="18" t="s">
        <v>804</v>
      </c>
      <c r="G182" s="24" t="s">
        <v>724</v>
      </c>
      <c r="H182" s="18">
        <v>1</v>
      </c>
      <c r="I182" s="18" t="s">
        <v>12</v>
      </c>
    </row>
    <row r="183" spans="1:9" hidden="1" x14ac:dyDescent="0.3">
      <c r="A183" s="20">
        <v>46119</v>
      </c>
      <c r="B183" s="21" t="s">
        <v>254</v>
      </c>
      <c r="C183" s="21" t="s">
        <v>205</v>
      </c>
      <c r="D183" s="21">
        <v>1</v>
      </c>
      <c r="E183" s="24" t="s">
        <v>275</v>
      </c>
      <c r="F183" s="18" t="s">
        <v>804</v>
      </c>
      <c r="G183" s="24" t="s">
        <v>736</v>
      </c>
      <c r="H183" s="18">
        <v>1</v>
      </c>
      <c r="I183" s="18" t="s">
        <v>12</v>
      </c>
    </row>
    <row r="184" spans="1:9" ht="28.8" hidden="1" x14ac:dyDescent="0.3">
      <c r="A184" s="20">
        <v>46119</v>
      </c>
      <c r="B184" s="18" t="s">
        <v>247</v>
      </c>
      <c r="C184" s="18" t="s">
        <v>113</v>
      </c>
      <c r="D184" s="18">
        <v>1</v>
      </c>
      <c r="E184" s="24" t="s">
        <v>276</v>
      </c>
      <c r="F184" s="18" t="s">
        <v>804</v>
      </c>
      <c r="G184" s="24" t="s">
        <v>175</v>
      </c>
      <c r="H184" s="21">
        <v>1</v>
      </c>
      <c r="I184" s="21" t="s">
        <v>87</v>
      </c>
    </row>
    <row r="185" spans="1:9" ht="28.8" hidden="1" x14ac:dyDescent="0.3">
      <c r="A185" s="20">
        <v>46119</v>
      </c>
      <c r="B185" s="21" t="s">
        <v>241</v>
      </c>
      <c r="C185" s="21" t="s">
        <v>215</v>
      </c>
      <c r="D185" s="18">
        <v>1</v>
      </c>
      <c r="E185" s="24" t="s">
        <v>277</v>
      </c>
      <c r="F185" s="18" t="s">
        <v>804</v>
      </c>
      <c r="G185" s="24" t="s">
        <v>723</v>
      </c>
      <c r="H185" s="18">
        <v>1</v>
      </c>
      <c r="I185" s="18" t="s">
        <v>64</v>
      </c>
    </row>
    <row r="186" spans="1:9" ht="28.8" hidden="1" x14ac:dyDescent="0.3">
      <c r="A186" s="20">
        <v>46120</v>
      </c>
      <c r="B186" s="21" t="s">
        <v>241</v>
      </c>
      <c r="C186" s="21" t="s">
        <v>278</v>
      </c>
      <c r="D186" s="21">
        <v>2</v>
      </c>
      <c r="E186" s="24" t="s">
        <v>279</v>
      </c>
      <c r="F186" s="18" t="s">
        <v>804</v>
      </c>
      <c r="G186" s="24" t="s">
        <v>732</v>
      </c>
      <c r="H186" s="18">
        <v>1</v>
      </c>
      <c r="I186" s="18" t="s">
        <v>64</v>
      </c>
    </row>
    <row r="187" spans="1:9" hidden="1" x14ac:dyDescent="0.3">
      <c r="A187" s="20">
        <v>46120</v>
      </c>
      <c r="B187" s="21" t="s">
        <v>223</v>
      </c>
      <c r="C187" s="18" t="s">
        <v>113</v>
      </c>
      <c r="D187" s="18">
        <v>1</v>
      </c>
      <c r="E187" s="24" t="s">
        <v>280</v>
      </c>
      <c r="F187" s="18" t="s">
        <v>804</v>
      </c>
      <c r="G187" s="24" t="s">
        <v>683</v>
      </c>
      <c r="H187" s="18">
        <v>1</v>
      </c>
      <c r="I187" s="18" t="s">
        <v>64</v>
      </c>
    </row>
    <row r="188" spans="1:9" ht="28.8" hidden="1" x14ac:dyDescent="0.3">
      <c r="A188" s="20">
        <v>46120</v>
      </c>
      <c r="B188" s="21" t="s">
        <v>241</v>
      </c>
      <c r="C188" s="21" t="s">
        <v>281</v>
      </c>
      <c r="D188" s="21">
        <v>2</v>
      </c>
      <c r="E188" s="24" t="s">
        <v>282</v>
      </c>
      <c r="F188" s="18" t="s">
        <v>804</v>
      </c>
      <c r="G188" s="24" t="s">
        <v>696</v>
      </c>
      <c r="H188" s="18">
        <v>1</v>
      </c>
      <c r="I188" s="18" t="s">
        <v>64</v>
      </c>
    </row>
    <row r="189" spans="1:9" ht="13.95" hidden="1" customHeight="1" x14ac:dyDescent="0.3">
      <c r="A189" s="20">
        <v>46120</v>
      </c>
      <c r="B189" s="21" t="s">
        <v>241</v>
      </c>
      <c r="C189" s="18" t="s">
        <v>113</v>
      </c>
      <c r="D189" s="18">
        <v>1</v>
      </c>
      <c r="E189" s="24" t="s">
        <v>283</v>
      </c>
      <c r="F189" s="18" t="s">
        <v>804</v>
      </c>
      <c r="G189" s="24" t="s">
        <v>683</v>
      </c>
      <c r="H189" s="18">
        <v>1</v>
      </c>
      <c r="I189" s="18" t="s">
        <v>64</v>
      </c>
    </row>
    <row r="190" spans="1:9" ht="28.8" hidden="1" x14ac:dyDescent="0.3">
      <c r="A190" s="20">
        <v>46121</v>
      </c>
      <c r="B190" s="21" t="s">
        <v>241</v>
      </c>
      <c r="C190" s="21" t="s">
        <v>137</v>
      </c>
      <c r="D190" s="21">
        <v>3</v>
      </c>
      <c r="E190" s="24" t="s">
        <v>284</v>
      </c>
      <c r="F190" s="18" t="s">
        <v>804</v>
      </c>
      <c r="G190" s="24" t="s">
        <v>770</v>
      </c>
      <c r="H190" s="18">
        <v>1</v>
      </c>
      <c r="I190" s="18" t="s">
        <v>64</v>
      </c>
    </row>
    <row r="191" spans="1:9" hidden="1" x14ac:dyDescent="0.3">
      <c r="A191" s="20">
        <v>46121</v>
      </c>
      <c r="B191" s="18" t="s">
        <v>91</v>
      </c>
      <c r="C191" s="21" t="s">
        <v>285</v>
      </c>
      <c r="D191" s="21">
        <v>1</v>
      </c>
      <c r="E191" s="24" t="s">
        <v>286</v>
      </c>
      <c r="F191" s="18" t="s">
        <v>804</v>
      </c>
      <c r="G191" s="24" t="s">
        <v>679</v>
      </c>
      <c r="H191" s="18">
        <v>1</v>
      </c>
      <c r="I191" s="18" t="s">
        <v>12</v>
      </c>
    </row>
    <row r="192" spans="1:9" ht="28.8" hidden="1" x14ac:dyDescent="0.3">
      <c r="A192" s="20">
        <v>46121</v>
      </c>
      <c r="B192" s="21" t="s">
        <v>241</v>
      </c>
      <c r="C192" s="21" t="s">
        <v>137</v>
      </c>
      <c r="D192" s="21">
        <v>0</v>
      </c>
      <c r="E192" s="24" t="s">
        <v>287</v>
      </c>
      <c r="F192" s="18" t="s">
        <v>804</v>
      </c>
      <c r="G192" s="24" t="s">
        <v>147</v>
      </c>
      <c r="H192" s="18">
        <v>1</v>
      </c>
      <c r="I192" s="18" t="s">
        <v>64</v>
      </c>
    </row>
    <row r="193" spans="1:9" hidden="1" x14ac:dyDescent="0.3">
      <c r="A193" s="20">
        <v>46121</v>
      </c>
      <c r="B193" s="21" t="s">
        <v>241</v>
      </c>
      <c r="C193" s="21" t="s">
        <v>155</v>
      </c>
      <c r="D193" s="21">
        <v>2</v>
      </c>
      <c r="E193" s="24" t="s">
        <v>288</v>
      </c>
      <c r="F193" s="18" t="s">
        <v>804</v>
      </c>
      <c r="G193" s="24" t="s">
        <v>202</v>
      </c>
      <c r="H193" s="18">
        <v>1</v>
      </c>
      <c r="I193" s="18" t="s">
        <v>64</v>
      </c>
    </row>
    <row r="194" spans="1:9" ht="43.2" hidden="1" x14ac:dyDescent="0.3">
      <c r="A194" s="20">
        <v>46121</v>
      </c>
      <c r="B194" s="21" t="s">
        <v>289</v>
      </c>
      <c r="C194" s="18" t="s">
        <v>113</v>
      </c>
      <c r="D194" s="18">
        <v>3</v>
      </c>
      <c r="E194" s="24" t="s">
        <v>290</v>
      </c>
      <c r="F194" s="18" t="s">
        <v>804</v>
      </c>
      <c r="G194" s="24" t="s">
        <v>734</v>
      </c>
      <c r="H194" s="21">
        <v>1</v>
      </c>
      <c r="I194" s="21" t="s">
        <v>115</v>
      </c>
    </row>
    <row r="195" spans="1:9" ht="28.8" hidden="1" x14ac:dyDescent="0.3">
      <c r="A195" s="20">
        <v>46121</v>
      </c>
      <c r="B195" s="21" t="s">
        <v>241</v>
      </c>
      <c r="C195" s="21" t="s">
        <v>116</v>
      </c>
      <c r="D195" s="21">
        <v>0</v>
      </c>
      <c r="E195" s="24" t="s">
        <v>291</v>
      </c>
      <c r="F195" s="18" t="s">
        <v>804</v>
      </c>
      <c r="G195" s="24" t="s">
        <v>147</v>
      </c>
      <c r="H195" s="18">
        <v>1</v>
      </c>
      <c r="I195" s="18" t="s">
        <v>64</v>
      </c>
    </row>
    <row r="196" spans="1:9" hidden="1" x14ac:dyDescent="0.3">
      <c r="A196" s="20">
        <v>46121</v>
      </c>
      <c r="B196" s="21" t="s">
        <v>241</v>
      </c>
      <c r="C196" s="18" t="s">
        <v>113</v>
      </c>
      <c r="D196" s="18">
        <v>1</v>
      </c>
      <c r="E196" s="24" t="s">
        <v>292</v>
      </c>
      <c r="F196" s="18" t="s">
        <v>804</v>
      </c>
      <c r="G196" s="24" t="s">
        <v>683</v>
      </c>
      <c r="H196" s="18">
        <v>1</v>
      </c>
      <c r="I196" s="18" t="s">
        <v>52</v>
      </c>
    </row>
    <row r="197" spans="1:9" ht="28.8" hidden="1" x14ac:dyDescent="0.3">
      <c r="A197" s="20">
        <v>46122</v>
      </c>
      <c r="B197" s="21" t="s">
        <v>241</v>
      </c>
      <c r="C197" s="21" t="s">
        <v>293</v>
      </c>
      <c r="D197" s="21">
        <v>2</v>
      </c>
      <c r="E197" s="24" t="s">
        <v>294</v>
      </c>
      <c r="F197" s="18" t="s">
        <v>804</v>
      </c>
      <c r="G197" s="24" t="s">
        <v>771</v>
      </c>
      <c r="H197" s="18">
        <v>1</v>
      </c>
      <c r="I197" s="18" t="s">
        <v>64</v>
      </c>
    </row>
    <row r="198" spans="1:9" ht="28.8" hidden="1" x14ac:dyDescent="0.3">
      <c r="A198" s="20">
        <v>46122</v>
      </c>
      <c r="B198" s="21" t="s">
        <v>241</v>
      </c>
      <c r="C198" s="21" t="s">
        <v>155</v>
      </c>
      <c r="D198" s="21">
        <v>1</v>
      </c>
      <c r="E198" s="24" t="s">
        <v>295</v>
      </c>
      <c r="F198" s="18" t="s">
        <v>804</v>
      </c>
      <c r="G198" s="24" t="s">
        <v>683</v>
      </c>
      <c r="H198" s="18">
        <v>1</v>
      </c>
      <c r="I198" s="18" t="s">
        <v>64</v>
      </c>
    </row>
    <row r="199" spans="1:9" ht="28.8" hidden="1" x14ac:dyDescent="0.3">
      <c r="A199" s="17">
        <v>46122</v>
      </c>
      <c r="B199" s="21" t="s">
        <v>254</v>
      </c>
      <c r="C199" s="21" t="s">
        <v>266</v>
      </c>
      <c r="D199" s="18">
        <v>2</v>
      </c>
      <c r="E199" s="23" t="s">
        <v>296</v>
      </c>
      <c r="F199" s="18" t="s">
        <v>804</v>
      </c>
      <c r="G199" s="23" t="s">
        <v>798</v>
      </c>
      <c r="H199" s="21">
        <v>1</v>
      </c>
      <c r="I199" s="21" t="s">
        <v>252</v>
      </c>
    </row>
    <row r="200" spans="1:9" hidden="1" x14ac:dyDescent="0.3">
      <c r="A200" s="17">
        <v>46123</v>
      </c>
      <c r="B200" s="18" t="s">
        <v>247</v>
      </c>
      <c r="C200" s="18" t="s">
        <v>264</v>
      </c>
      <c r="D200" s="18">
        <v>1</v>
      </c>
      <c r="E200" s="23" t="s">
        <v>297</v>
      </c>
      <c r="F200" s="18" t="s">
        <v>804</v>
      </c>
      <c r="G200" s="23" t="s">
        <v>39</v>
      </c>
      <c r="H200" s="21">
        <v>1</v>
      </c>
      <c r="I200" s="21" t="s">
        <v>87</v>
      </c>
    </row>
    <row r="201" spans="1:9" hidden="1" x14ac:dyDescent="0.3">
      <c r="A201" s="17">
        <v>46123</v>
      </c>
      <c r="B201" s="21" t="s">
        <v>254</v>
      </c>
      <c r="C201" s="18" t="s">
        <v>193</v>
      </c>
      <c r="D201" s="18">
        <v>2</v>
      </c>
      <c r="E201" s="23" t="s">
        <v>298</v>
      </c>
      <c r="F201" s="18" t="s">
        <v>804</v>
      </c>
      <c r="G201" s="23" t="s">
        <v>756</v>
      </c>
      <c r="H201" s="21">
        <v>1</v>
      </c>
      <c r="I201" s="21" t="s">
        <v>87</v>
      </c>
    </row>
    <row r="202" spans="1:9" hidden="1" x14ac:dyDescent="0.3">
      <c r="A202" s="17">
        <v>46123</v>
      </c>
      <c r="B202" s="21" t="s">
        <v>223</v>
      </c>
      <c r="C202" s="21" t="s">
        <v>221</v>
      </c>
      <c r="D202" s="21">
        <v>0</v>
      </c>
      <c r="E202" s="23" t="s">
        <v>299</v>
      </c>
      <c r="F202" s="18" t="s">
        <v>804</v>
      </c>
      <c r="G202" s="23" t="s">
        <v>147</v>
      </c>
      <c r="H202" s="18">
        <v>1</v>
      </c>
      <c r="I202" s="18" t="s">
        <v>52</v>
      </c>
    </row>
    <row r="203" spans="1:9" hidden="1" x14ac:dyDescent="0.3">
      <c r="A203" s="17">
        <v>46123</v>
      </c>
      <c r="B203" s="18" t="s">
        <v>154</v>
      </c>
      <c r="C203" s="18" t="s">
        <v>74</v>
      </c>
      <c r="D203" s="18">
        <v>0</v>
      </c>
      <c r="E203" s="23" t="s">
        <v>300</v>
      </c>
      <c r="F203" s="18" t="s">
        <v>804</v>
      </c>
      <c r="G203" s="23" t="s">
        <v>147</v>
      </c>
      <c r="H203" s="18">
        <v>1</v>
      </c>
      <c r="I203" s="18" t="s">
        <v>52</v>
      </c>
    </row>
    <row r="204" spans="1:9" ht="28.8" hidden="1" x14ac:dyDescent="0.3">
      <c r="A204" s="17">
        <v>46124</v>
      </c>
      <c r="B204" s="21" t="s">
        <v>254</v>
      </c>
      <c r="C204" s="18" t="s">
        <v>301</v>
      </c>
      <c r="D204" s="18">
        <v>2</v>
      </c>
      <c r="E204" s="23" t="s">
        <v>302</v>
      </c>
      <c r="F204" s="18" t="s">
        <v>804</v>
      </c>
      <c r="G204" s="23" t="s">
        <v>727</v>
      </c>
      <c r="H204" s="18">
        <v>1</v>
      </c>
      <c r="I204" s="18" t="s">
        <v>64</v>
      </c>
    </row>
    <row r="205" spans="1:9" ht="28.8" hidden="1" x14ac:dyDescent="0.3">
      <c r="A205" s="17">
        <v>46124</v>
      </c>
      <c r="B205" s="21" t="s">
        <v>254</v>
      </c>
      <c r="C205" s="18" t="s">
        <v>155</v>
      </c>
      <c r="D205" s="18">
        <v>2</v>
      </c>
      <c r="E205" s="23" t="s">
        <v>303</v>
      </c>
      <c r="F205" s="18" t="s">
        <v>804</v>
      </c>
      <c r="G205" s="23" t="s">
        <v>718</v>
      </c>
      <c r="H205" s="18">
        <v>1</v>
      </c>
      <c r="I205" s="21" t="s">
        <v>240</v>
      </c>
    </row>
    <row r="206" spans="1:9" ht="28.8" hidden="1" x14ac:dyDescent="0.3">
      <c r="A206" s="17">
        <v>46124</v>
      </c>
      <c r="B206" s="21" t="s">
        <v>223</v>
      </c>
      <c r="C206" s="18" t="s">
        <v>301</v>
      </c>
      <c r="D206" s="18">
        <v>5</v>
      </c>
      <c r="E206" s="23" t="s">
        <v>304</v>
      </c>
      <c r="F206" s="18" t="s">
        <v>804</v>
      </c>
      <c r="G206" s="23" t="s">
        <v>728</v>
      </c>
      <c r="H206" s="18">
        <v>1</v>
      </c>
      <c r="I206" s="21" t="s">
        <v>240</v>
      </c>
    </row>
    <row r="207" spans="1:9" hidden="1" x14ac:dyDescent="0.3">
      <c r="A207" s="17">
        <v>46124</v>
      </c>
      <c r="B207" s="21" t="s">
        <v>254</v>
      </c>
      <c r="C207" s="18" t="s">
        <v>193</v>
      </c>
      <c r="D207" s="18">
        <v>0</v>
      </c>
      <c r="E207" s="23" t="s">
        <v>305</v>
      </c>
      <c r="F207" s="18" t="s">
        <v>804</v>
      </c>
      <c r="G207" s="23" t="s">
        <v>147</v>
      </c>
      <c r="H207" s="18">
        <v>1</v>
      </c>
      <c r="I207" s="21" t="s">
        <v>240</v>
      </c>
    </row>
    <row r="208" spans="1:9" ht="16.2" hidden="1" customHeight="1" x14ac:dyDescent="0.3">
      <c r="A208" s="17">
        <v>46125</v>
      </c>
      <c r="B208" s="21" t="s">
        <v>223</v>
      </c>
      <c r="C208" s="18" t="s">
        <v>113</v>
      </c>
      <c r="D208" s="18">
        <v>2</v>
      </c>
      <c r="E208" s="23" t="s">
        <v>306</v>
      </c>
      <c r="F208" s="18" t="s">
        <v>804</v>
      </c>
      <c r="G208" s="23" t="s">
        <v>680</v>
      </c>
      <c r="H208" s="18">
        <v>1</v>
      </c>
      <c r="I208" s="21" t="s">
        <v>115</v>
      </c>
    </row>
    <row r="209" spans="1:9" ht="28.8" hidden="1" x14ac:dyDescent="0.3">
      <c r="A209" s="17">
        <v>46125</v>
      </c>
      <c r="B209" s="18" t="s">
        <v>241</v>
      </c>
      <c r="C209" s="21" t="s">
        <v>116</v>
      </c>
      <c r="D209" s="18">
        <v>0</v>
      </c>
      <c r="E209" s="23" t="s">
        <v>307</v>
      </c>
      <c r="F209" s="18" t="s">
        <v>804</v>
      </c>
      <c r="G209" s="23" t="s">
        <v>147</v>
      </c>
      <c r="H209" s="18">
        <v>1</v>
      </c>
      <c r="I209" s="18" t="s">
        <v>64</v>
      </c>
    </row>
    <row r="210" spans="1:9" ht="28.8" hidden="1" x14ac:dyDescent="0.3">
      <c r="A210" s="17">
        <v>46125</v>
      </c>
      <c r="B210" s="21" t="s">
        <v>223</v>
      </c>
      <c r="C210" s="18" t="s">
        <v>193</v>
      </c>
      <c r="D210" s="18">
        <v>1</v>
      </c>
      <c r="E210" s="23" t="s">
        <v>308</v>
      </c>
      <c r="F210" s="18" t="s">
        <v>804</v>
      </c>
      <c r="G210" s="23" t="s">
        <v>39</v>
      </c>
      <c r="H210" s="18">
        <v>1</v>
      </c>
      <c r="I210" s="21" t="s">
        <v>115</v>
      </c>
    </row>
    <row r="211" spans="1:9" hidden="1" x14ac:dyDescent="0.3">
      <c r="A211" s="17">
        <v>46125</v>
      </c>
      <c r="B211" s="18" t="s">
        <v>241</v>
      </c>
      <c r="C211" s="18" t="s">
        <v>179</v>
      </c>
      <c r="D211" s="18">
        <v>1</v>
      </c>
      <c r="E211" s="23" t="s">
        <v>309</v>
      </c>
      <c r="F211" s="18" t="s">
        <v>804</v>
      </c>
      <c r="G211" s="23" t="s">
        <v>736</v>
      </c>
      <c r="H211" s="18">
        <v>1</v>
      </c>
      <c r="I211" s="18" t="s">
        <v>64</v>
      </c>
    </row>
    <row r="212" spans="1:9" ht="43.2" hidden="1" x14ac:dyDescent="0.3">
      <c r="A212" s="17">
        <v>46125</v>
      </c>
      <c r="B212" s="18" t="s">
        <v>241</v>
      </c>
      <c r="C212" s="18" t="s">
        <v>179</v>
      </c>
      <c r="D212" s="18">
        <v>4</v>
      </c>
      <c r="E212" s="23" t="s">
        <v>310</v>
      </c>
      <c r="F212" s="18" t="s">
        <v>804</v>
      </c>
      <c r="G212" s="23" t="s">
        <v>712</v>
      </c>
      <c r="H212" s="18">
        <v>1</v>
      </c>
      <c r="I212" s="18" t="s">
        <v>64</v>
      </c>
    </row>
    <row r="213" spans="1:9" ht="28.8" hidden="1" x14ac:dyDescent="0.3">
      <c r="A213" s="17">
        <v>46125</v>
      </c>
      <c r="B213" s="21" t="s">
        <v>223</v>
      </c>
      <c r="C213" s="18" t="s">
        <v>311</v>
      </c>
      <c r="D213" s="18">
        <v>2</v>
      </c>
      <c r="E213" s="23" t="s">
        <v>306</v>
      </c>
      <c r="F213" s="18" t="s">
        <v>804</v>
      </c>
      <c r="G213" s="23" t="s">
        <v>680</v>
      </c>
      <c r="H213" s="18">
        <v>1</v>
      </c>
      <c r="I213" s="21" t="s">
        <v>115</v>
      </c>
    </row>
    <row r="214" spans="1:9" hidden="1" x14ac:dyDescent="0.3">
      <c r="A214" s="17">
        <v>46125</v>
      </c>
      <c r="B214" s="21" t="s">
        <v>254</v>
      </c>
      <c r="C214" s="21" t="s">
        <v>205</v>
      </c>
      <c r="D214" s="21">
        <v>1</v>
      </c>
      <c r="E214" s="23" t="s">
        <v>312</v>
      </c>
      <c r="F214" s="18" t="s">
        <v>804</v>
      </c>
      <c r="G214" s="23" t="s">
        <v>39</v>
      </c>
      <c r="H214" s="18">
        <v>1</v>
      </c>
      <c r="I214" s="18" t="s">
        <v>52</v>
      </c>
    </row>
    <row r="215" spans="1:9" hidden="1" x14ac:dyDescent="0.3">
      <c r="A215" s="17">
        <v>46125</v>
      </c>
      <c r="B215" s="21" t="s">
        <v>223</v>
      </c>
      <c r="C215" s="18" t="s">
        <v>10</v>
      </c>
      <c r="D215" s="18">
        <v>2</v>
      </c>
      <c r="E215" s="23" t="s">
        <v>313</v>
      </c>
      <c r="F215" s="18" t="s">
        <v>804</v>
      </c>
      <c r="G215" s="23" t="s">
        <v>717</v>
      </c>
      <c r="H215" s="18">
        <v>1</v>
      </c>
      <c r="I215" s="21" t="s">
        <v>115</v>
      </c>
    </row>
    <row r="216" spans="1:9" ht="28.8" hidden="1" x14ac:dyDescent="0.3">
      <c r="A216" s="17">
        <v>46126</v>
      </c>
      <c r="B216" s="21" t="s">
        <v>223</v>
      </c>
      <c r="C216" s="18" t="s">
        <v>10</v>
      </c>
      <c r="D216" s="18">
        <v>3</v>
      </c>
      <c r="E216" s="23" t="s">
        <v>314</v>
      </c>
      <c r="F216" s="18" t="s">
        <v>804</v>
      </c>
      <c r="G216" s="23" t="s">
        <v>719</v>
      </c>
      <c r="H216" s="18">
        <v>1</v>
      </c>
      <c r="I216" s="21" t="s">
        <v>115</v>
      </c>
    </row>
    <row r="217" spans="1:9" ht="28.8" hidden="1" x14ac:dyDescent="0.3">
      <c r="A217" s="17">
        <v>46126</v>
      </c>
      <c r="B217" s="18" t="s">
        <v>241</v>
      </c>
      <c r="C217" s="21" t="s">
        <v>215</v>
      </c>
      <c r="D217" s="18">
        <v>3</v>
      </c>
      <c r="E217" s="23" t="s">
        <v>315</v>
      </c>
      <c r="F217" s="18" t="s">
        <v>804</v>
      </c>
      <c r="G217" s="23" t="s">
        <v>772</v>
      </c>
      <c r="H217" s="18">
        <v>1</v>
      </c>
      <c r="I217" s="18" t="s">
        <v>64</v>
      </c>
    </row>
    <row r="218" spans="1:9" hidden="1" x14ac:dyDescent="0.3">
      <c r="A218" s="17">
        <v>46126</v>
      </c>
      <c r="B218" s="18" t="s">
        <v>9</v>
      </c>
      <c r="C218" s="18" t="s">
        <v>155</v>
      </c>
      <c r="D218" s="18">
        <v>1</v>
      </c>
      <c r="E218" s="23" t="s">
        <v>316</v>
      </c>
      <c r="F218" s="18" t="s">
        <v>804</v>
      </c>
      <c r="G218" s="23" t="s">
        <v>683</v>
      </c>
      <c r="H218" s="18">
        <v>1</v>
      </c>
      <c r="I218" s="18" t="s">
        <v>52</v>
      </c>
    </row>
    <row r="219" spans="1:9" ht="28.8" hidden="1" x14ac:dyDescent="0.3">
      <c r="A219" s="17">
        <v>46126</v>
      </c>
      <c r="B219" s="18" t="s">
        <v>317</v>
      </c>
      <c r="C219" s="18" t="s">
        <v>74</v>
      </c>
      <c r="D219" s="18">
        <v>2</v>
      </c>
      <c r="E219" s="23" t="s">
        <v>318</v>
      </c>
      <c r="F219" s="18" t="s">
        <v>804</v>
      </c>
      <c r="G219" s="23" t="s">
        <v>730</v>
      </c>
      <c r="H219" s="18">
        <v>1</v>
      </c>
      <c r="I219" s="18" t="s">
        <v>52</v>
      </c>
    </row>
    <row r="220" spans="1:9" ht="28.8" hidden="1" x14ac:dyDescent="0.3">
      <c r="A220" s="17">
        <v>46126</v>
      </c>
      <c r="B220" s="21" t="s">
        <v>254</v>
      </c>
      <c r="C220" s="21" t="s">
        <v>261</v>
      </c>
      <c r="D220" s="18">
        <v>2</v>
      </c>
      <c r="E220" s="23" t="s">
        <v>319</v>
      </c>
      <c r="F220" s="18" t="s">
        <v>804</v>
      </c>
      <c r="G220" s="23" t="s">
        <v>731</v>
      </c>
      <c r="H220" s="21">
        <v>1</v>
      </c>
      <c r="I220" s="21" t="s">
        <v>87</v>
      </c>
    </row>
    <row r="221" spans="1:9" ht="28.8" hidden="1" x14ac:dyDescent="0.3">
      <c r="A221" s="17">
        <v>46126</v>
      </c>
      <c r="B221" s="18" t="s">
        <v>317</v>
      </c>
      <c r="C221" s="18" t="s">
        <v>257</v>
      </c>
      <c r="D221" s="18">
        <v>1</v>
      </c>
      <c r="E221" s="23" t="s">
        <v>321</v>
      </c>
      <c r="F221" s="18" t="s">
        <v>804</v>
      </c>
      <c r="G221" s="23" t="s">
        <v>31</v>
      </c>
      <c r="H221" s="18">
        <v>1</v>
      </c>
      <c r="I221" s="18" t="s">
        <v>52</v>
      </c>
    </row>
    <row r="222" spans="1:9" hidden="1" x14ac:dyDescent="0.3">
      <c r="A222" s="17">
        <v>46126</v>
      </c>
      <c r="B222" s="21" t="s">
        <v>254</v>
      </c>
      <c r="C222" s="21" t="s">
        <v>205</v>
      </c>
      <c r="D222" s="21">
        <v>0</v>
      </c>
      <c r="E222" s="23" t="s">
        <v>322</v>
      </c>
      <c r="F222" s="18" t="s">
        <v>804</v>
      </c>
      <c r="G222" s="23" t="s">
        <v>147</v>
      </c>
      <c r="H222" s="21">
        <v>1</v>
      </c>
      <c r="I222" s="21" t="s">
        <v>87</v>
      </c>
    </row>
    <row r="223" spans="1:9" ht="28.8" hidden="1" x14ac:dyDescent="0.3">
      <c r="A223" s="17">
        <v>46127</v>
      </c>
      <c r="B223" s="18" t="s">
        <v>241</v>
      </c>
      <c r="C223" s="18" t="s">
        <v>179</v>
      </c>
      <c r="D223" s="18">
        <v>2</v>
      </c>
      <c r="E223" s="23" t="s">
        <v>323</v>
      </c>
      <c r="F223" s="18" t="s">
        <v>804</v>
      </c>
      <c r="G223" s="23" t="s">
        <v>732</v>
      </c>
      <c r="H223" s="18">
        <v>1</v>
      </c>
      <c r="I223" s="18" t="s">
        <v>64</v>
      </c>
    </row>
    <row r="224" spans="1:9" ht="28.8" hidden="1" x14ac:dyDescent="0.3">
      <c r="A224" s="17">
        <v>46127</v>
      </c>
      <c r="B224" s="18" t="s">
        <v>317</v>
      </c>
      <c r="C224" s="18" t="s">
        <v>155</v>
      </c>
      <c r="D224" s="18">
        <v>2</v>
      </c>
      <c r="E224" s="23" t="s">
        <v>324</v>
      </c>
      <c r="F224" s="18" t="s">
        <v>804</v>
      </c>
      <c r="G224" s="23" t="s">
        <v>680</v>
      </c>
      <c r="H224" s="18">
        <v>1</v>
      </c>
      <c r="I224" s="18" t="s">
        <v>52</v>
      </c>
    </row>
    <row r="225" spans="1:9" ht="28.8" hidden="1" x14ac:dyDescent="0.3">
      <c r="A225" s="17">
        <v>46127</v>
      </c>
      <c r="B225" s="21" t="s">
        <v>223</v>
      </c>
      <c r="C225" s="18" t="s">
        <v>37</v>
      </c>
      <c r="D225" s="18">
        <v>4</v>
      </c>
      <c r="E225" s="23" t="s">
        <v>325</v>
      </c>
      <c r="F225" s="18" t="s">
        <v>804</v>
      </c>
      <c r="G225" s="23" t="s">
        <v>733</v>
      </c>
      <c r="H225" s="18">
        <v>1</v>
      </c>
      <c r="I225" s="21" t="s">
        <v>240</v>
      </c>
    </row>
    <row r="226" spans="1:9" ht="28.8" hidden="1" x14ac:dyDescent="0.3">
      <c r="A226" s="17">
        <v>46128</v>
      </c>
      <c r="B226" s="21" t="s">
        <v>254</v>
      </c>
      <c r="C226" s="21" t="s">
        <v>205</v>
      </c>
      <c r="D226" s="21">
        <v>2</v>
      </c>
      <c r="E226" s="23" t="s">
        <v>326</v>
      </c>
      <c r="F226" s="18" t="s">
        <v>804</v>
      </c>
      <c r="G226" s="23" t="s">
        <v>696</v>
      </c>
      <c r="H226" s="21">
        <v>1</v>
      </c>
      <c r="I226" s="21" t="s">
        <v>87</v>
      </c>
    </row>
    <row r="227" spans="1:9" ht="28.8" hidden="1" x14ac:dyDescent="0.3">
      <c r="A227" s="20">
        <v>46128</v>
      </c>
      <c r="B227" s="21" t="s">
        <v>254</v>
      </c>
      <c r="C227" s="18" t="s">
        <v>113</v>
      </c>
      <c r="D227" s="18">
        <v>2</v>
      </c>
      <c r="E227" s="24" t="s">
        <v>327</v>
      </c>
      <c r="F227" s="18" t="s">
        <v>804</v>
      </c>
      <c r="G227" s="24" t="s">
        <v>680</v>
      </c>
      <c r="H227" s="18">
        <v>1</v>
      </c>
      <c r="I227" s="18" t="s">
        <v>12</v>
      </c>
    </row>
    <row r="228" spans="1:9" ht="28.8" hidden="1" x14ac:dyDescent="0.3">
      <c r="A228" s="17">
        <v>46128</v>
      </c>
      <c r="B228" s="21" t="s">
        <v>223</v>
      </c>
      <c r="C228" s="18" t="s">
        <v>113</v>
      </c>
      <c r="D228" s="18">
        <v>2</v>
      </c>
      <c r="E228" s="23" t="s">
        <v>328</v>
      </c>
      <c r="F228" s="18" t="s">
        <v>804</v>
      </c>
      <c r="G228" s="23" t="s">
        <v>680</v>
      </c>
      <c r="H228" s="18">
        <v>1</v>
      </c>
      <c r="I228" s="18" t="s">
        <v>12</v>
      </c>
    </row>
    <row r="229" spans="1:9" ht="28.8" hidden="1" x14ac:dyDescent="0.3">
      <c r="A229" s="17">
        <v>46128</v>
      </c>
      <c r="B229" s="18" t="s">
        <v>9</v>
      </c>
      <c r="C229" s="18" t="s">
        <v>179</v>
      </c>
      <c r="D229" s="18">
        <v>2</v>
      </c>
      <c r="E229" s="23" t="s">
        <v>329</v>
      </c>
      <c r="F229" s="18" t="s">
        <v>804</v>
      </c>
      <c r="G229" s="23" t="s">
        <v>680</v>
      </c>
      <c r="H229" s="18">
        <v>1</v>
      </c>
      <c r="I229" s="18" t="s">
        <v>64</v>
      </c>
    </row>
    <row r="230" spans="1:9" ht="43.2" hidden="1" x14ac:dyDescent="0.3">
      <c r="A230" s="17">
        <v>46128</v>
      </c>
      <c r="B230" s="18" t="s">
        <v>241</v>
      </c>
      <c r="C230" s="18" t="s">
        <v>113</v>
      </c>
      <c r="D230" s="18">
        <v>3</v>
      </c>
      <c r="E230" s="23" t="s">
        <v>330</v>
      </c>
      <c r="F230" s="18" t="s">
        <v>804</v>
      </c>
      <c r="G230" s="23" t="s">
        <v>734</v>
      </c>
      <c r="H230" s="18">
        <v>1</v>
      </c>
      <c r="I230" s="18" t="s">
        <v>64</v>
      </c>
    </row>
    <row r="231" spans="1:9" ht="43.2" hidden="1" x14ac:dyDescent="0.3">
      <c r="A231" s="17">
        <v>46128</v>
      </c>
      <c r="B231" s="18" t="s">
        <v>317</v>
      </c>
      <c r="C231" s="18" t="s">
        <v>113</v>
      </c>
      <c r="D231" s="18">
        <v>3</v>
      </c>
      <c r="E231" s="23" t="s">
        <v>331</v>
      </c>
      <c r="F231" s="18" t="s">
        <v>804</v>
      </c>
      <c r="G231" s="23" t="s">
        <v>734</v>
      </c>
      <c r="H231" s="18">
        <v>1</v>
      </c>
      <c r="I231" s="18" t="s">
        <v>52</v>
      </c>
    </row>
    <row r="232" spans="1:9" ht="28.8" hidden="1" x14ac:dyDescent="0.3">
      <c r="A232" s="17">
        <v>46130</v>
      </c>
      <c r="B232" s="21" t="s">
        <v>223</v>
      </c>
      <c r="C232" s="18" t="s">
        <v>155</v>
      </c>
      <c r="D232" s="18">
        <v>2</v>
      </c>
      <c r="E232" s="23" t="s">
        <v>332</v>
      </c>
      <c r="F232" s="18" t="s">
        <v>804</v>
      </c>
      <c r="G232" s="23" t="s">
        <v>735</v>
      </c>
      <c r="H232" s="18">
        <v>1</v>
      </c>
      <c r="I232" s="21" t="s">
        <v>240</v>
      </c>
    </row>
    <row r="233" spans="1:9" hidden="1" x14ac:dyDescent="0.3">
      <c r="A233" s="17">
        <v>46130</v>
      </c>
      <c r="B233" s="18" t="s">
        <v>317</v>
      </c>
      <c r="C233" s="18" t="s">
        <v>155</v>
      </c>
      <c r="D233" s="18">
        <v>2</v>
      </c>
      <c r="E233" s="23" t="s">
        <v>333</v>
      </c>
      <c r="F233" s="18" t="s">
        <v>804</v>
      </c>
      <c r="G233" s="23" t="s">
        <v>700</v>
      </c>
      <c r="H233" s="18">
        <v>1</v>
      </c>
      <c r="I233" s="18" t="s">
        <v>12</v>
      </c>
    </row>
    <row r="234" spans="1:9" ht="72" hidden="1" x14ac:dyDescent="0.3">
      <c r="A234" s="17">
        <v>46130</v>
      </c>
      <c r="B234" s="21" t="s">
        <v>254</v>
      </c>
      <c r="C234" s="21" t="s">
        <v>261</v>
      </c>
      <c r="D234" s="18">
        <v>4</v>
      </c>
      <c r="E234" s="23" t="s">
        <v>334</v>
      </c>
      <c r="F234" s="18" t="s">
        <v>804</v>
      </c>
      <c r="G234" s="23" t="s">
        <v>773</v>
      </c>
      <c r="H234" s="18">
        <v>1</v>
      </c>
      <c r="I234" s="18" t="s">
        <v>12</v>
      </c>
    </row>
    <row r="235" spans="1:9" ht="28.8" hidden="1" x14ac:dyDescent="0.3">
      <c r="A235" s="17">
        <v>46130</v>
      </c>
      <c r="B235" s="21" t="s">
        <v>317</v>
      </c>
      <c r="C235" s="18" t="s">
        <v>155</v>
      </c>
      <c r="D235" s="18">
        <v>3</v>
      </c>
      <c r="E235" s="23" t="s">
        <v>335</v>
      </c>
      <c r="F235" s="18" t="s">
        <v>804</v>
      </c>
      <c r="G235" s="23" t="s">
        <v>799</v>
      </c>
      <c r="H235" s="18">
        <v>1</v>
      </c>
      <c r="I235" s="18" t="s">
        <v>12</v>
      </c>
    </row>
    <row r="236" spans="1:9" ht="28.8" hidden="1" x14ac:dyDescent="0.3">
      <c r="A236" s="17">
        <v>46132</v>
      </c>
      <c r="B236" s="18" t="s">
        <v>247</v>
      </c>
      <c r="C236" s="21" t="s">
        <v>82</v>
      </c>
      <c r="D236" s="18">
        <v>2</v>
      </c>
      <c r="E236" s="23" t="s">
        <v>336</v>
      </c>
      <c r="F236" s="18" t="s">
        <v>804</v>
      </c>
      <c r="G236" s="23" t="s">
        <v>800</v>
      </c>
      <c r="H236" s="21">
        <v>1</v>
      </c>
      <c r="I236" s="21" t="s">
        <v>87</v>
      </c>
    </row>
    <row r="237" spans="1:9" hidden="1" x14ac:dyDescent="0.3">
      <c r="A237" s="17">
        <v>46132</v>
      </c>
      <c r="B237" s="21" t="s">
        <v>254</v>
      </c>
      <c r="C237" s="21" t="s">
        <v>123</v>
      </c>
      <c r="D237" s="18">
        <v>1</v>
      </c>
      <c r="E237" s="23" t="s">
        <v>337</v>
      </c>
      <c r="F237" s="18" t="s">
        <v>804</v>
      </c>
      <c r="G237" s="23" t="s">
        <v>679</v>
      </c>
      <c r="H237" s="21">
        <v>1</v>
      </c>
      <c r="I237" s="21" t="s">
        <v>87</v>
      </c>
    </row>
    <row r="238" spans="1:9" ht="28.8" hidden="1" x14ac:dyDescent="0.3">
      <c r="A238" s="17">
        <v>46132</v>
      </c>
      <c r="B238" s="18" t="s">
        <v>317</v>
      </c>
      <c r="C238" s="18" t="s">
        <v>74</v>
      </c>
      <c r="D238" s="18">
        <v>3</v>
      </c>
      <c r="E238" s="23" t="s">
        <v>338</v>
      </c>
      <c r="F238" s="18" t="s">
        <v>804</v>
      </c>
      <c r="G238" s="23" t="s">
        <v>737</v>
      </c>
      <c r="H238" s="18">
        <v>1</v>
      </c>
      <c r="I238" s="18" t="s">
        <v>52</v>
      </c>
    </row>
    <row r="239" spans="1:9" ht="28.8" hidden="1" x14ac:dyDescent="0.3">
      <c r="A239" s="17">
        <v>46132</v>
      </c>
      <c r="B239" s="18" t="s">
        <v>317</v>
      </c>
      <c r="C239" s="21" t="s">
        <v>266</v>
      </c>
      <c r="D239" s="18">
        <v>3</v>
      </c>
      <c r="E239" s="23" t="s">
        <v>339</v>
      </c>
      <c r="F239" s="18" t="s">
        <v>804</v>
      </c>
      <c r="G239" s="23" t="s">
        <v>775</v>
      </c>
      <c r="H239" s="18">
        <v>1</v>
      </c>
      <c r="I239" s="18" t="s">
        <v>52</v>
      </c>
    </row>
    <row r="240" spans="1:9" ht="28.8" hidden="1" x14ac:dyDescent="0.3">
      <c r="A240" s="17">
        <v>46132</v>
      </c>
      <c r="B240" s="18" t="s">
        <v>241</v>
      </c>
      <c r="C240" s="21" t="s">
        <v>261</v>
      </c>
      <c r="D240" s="18">
        <v>1</v>
      </c>
      <c r="E240" s="23" t="s">
        <v>340</v>
      </c>
      <c r="F240" s="18" t="s">
        <v>804</v>
      </c>
      <c r="G240" s="23" t="s">
        <v>762</v>
      </c>
      <c r="H240" s="18">
        <v>1</v>
      </c>
      <c r="I240" s="18" t="s">
        <v>64</v>
      </c>
    </row>
    <row r="241" spans="1:9" hidden="1" x14ac:dyDescent="0.3">
      <c r="A241" s="17">
        <v>46133</v>
      </c>
      <c r="B241" s="21" t="s">
        <v>223</v>
      </c>
      <c r="C241" s="18" t="s">
        <v>301</v>
      </c>
      <c r="D241" s="18">
        <v>1</v>
      </c>
      <c r="E241" s="23" t="s">
        <v>341</v>
      </c>
      <c r="F241" s="18" t="s">
        <v>804</v>
      </c>
      <c r="G241" s="23" t="s">
        <v>73</v>
      </c>
      <c r="H241" s="18">
        <v>1</v>
      </c>
      <c r="I241" s="21" t="s">
        <v>115</v>
      </c>
    </row>
    <row r="242" spans="1:9" hidden="1" x14ac:dyDescent="0.3">
      <c r="A242" s="17">
        <v>46133</v>
      </c>
      <c r="B242" s="18" t="s">
        <v>247</v>
      </c>
      <c r="C242" s="18" t="s">
        <v>264</v>
      </c>
      <c r="D242" s="18">
        <v>1</v>
      </c>
      <c r="E242" s="23" t="s">
        <v>342</v>
      </c>
      <c r="F242" s="18" t="s">
        <v>804</v>
      </c>
      <c r="G242" s="23" t="s">
        <v>681</v>
      </c>
      <c r="H242" s="21">
        <v>1</v>
      </c>
      <c r="I242" s="21" t="s">
        <v>87</v>
      </c>
    </row>
    <row r="243" spans="1:9" hidden="1" x14ac:dyDescent="0.3">
      <c r="A243" s="17">
        <v>46133</v>
      </c>
      <c r="B243" s="18" t="s">
        <v>317</v>
      </c>
      <c r="C243" s="18" t="s">
        <v>76</v>
      </c>
      <c r="D243" s="18">
        <v>0</v>
      </c>
      <c r="E243" s="23" t="s">
        <v>343</v>
      </c>
      <c r="F243" s="18" t="s">
        <v>804</v>
      </c>
      <c r="G243" s="23" t="s">
        <v>147</v>
      </c>
      <c r="H243" s="18">
        <v>1</v>
      </c>
      <c r="I243" s="18" t="s">
        <v>52</v>
      </c>
    </row>
    <row r="244" spans="1:9" ht="28.8" hidden="1" x14ac:dyDescent="0.3">
      <c r="A244" s="17">
        <v>46133</v>
      </c>
      <c r="B244" s="18" t="s">
        <v>317</v>
      </c>
      <c r="C244" s="18" t="s">
        <v>76</v>
      </c>
      <c r="D244" s="18">
        <v>0</v>
      </c>
      <c r="E244" s="23" t="s">
        <v>344</v>
      </c>
      <c r="F244" s="18" t="s">
        <v>804</v>
      </c>
      <c r="G244" s="23" t="s">
        <v>147</v>
      </c>
      <c r="H244" s="18">
        <v>1</v>
      </c>
      <c r="I244" s="18" t="s">
        <v>52</v>
      </c>
    </row>
    <row r="245" spans="1:9" ht="28.8" hidden="1" x14ac:dyDescent="0.3">
      <c r="A245" s="17">
        <v>46133</v>
      </c>
      <c r="B245" s="21" t="s">
        <v>223</v>
      </c>
      <c r="C245" s="18" t="s">
        <v>301</v>
      </c>
      <c r="D245" s="18">
        <v>1</v>
      </c>
      <c r="E245" s="23" t="s">
        <v>345</v>
      </c>
      <c r="F245" s="18" t="s">
        <v>804</v>
      </c>
      <c r="G245" s="23" t="s">
        <v>73</v>
      </c>
      <c r="H245" s="18">
        <v>1</v>
      </c>
      <c r="I245" s="21" t="s">
        <v>115</v>
      </c>
    </row>
    <row r="246" spans="1:9" ht="28.8" hidden="1" x14ac:dyDescent="0.3">
      <c r="A246" s="17">
        <v>46133</v>
      </c>
      <c r="B246" s="18" t="s">
        <v>241</v>
      </c>
      <c r="C246" s="18" t="s">
        <v>155</v>
      </c>
      <c r="D246" s="18">
        <v>2</v>
      </c>
      <c r="E246" s="23" t="s">
        <v>346</v>
      </c>
      <c r="F246" s="18" t="s">
        <v>804</v>
      </c>
      <c r="G246" s="23" t="s">
        <v>202</v>
      </c>
      <c r="H246" s="18">
        <v>1</v>
      </c>
      <c r="I246" s="18" t="s">
        <v>64</v>
      </c>
    </row>
    <row r="247" spans="1:9" hidden="1" x14ac:dyDescent="0.3">
      <c r="A247" s="17">
        <v>46133</v>
      </c>
      <c r="B247" s="18" t="s">
        <v>9</v>
      </c>
      <c r="C247" s="18" t="s">
        <v>155</v>
      </c>
      <c r="D247" s="18">
        <v>1</v>
      </c>
      <c r="E247" s="23" t="s">
        <v>347</v>
      </c>
      <c r="F247" s="18" t="s">
        <v>804</v>
      </c>
      <c r="G247" s="23" t="s">
        <v>694</v>
      </c>
      <c r="H247" s="18">
        <v>1</v>
      </c>
      <c r="I247" s="21" t="s">
        <v>240</v>
      </c>
    </row>
    <row r="248" spans="1:9" ht="28.8" hidden="1" x14ac:dyDescent="0.3">
      <c r="A248" s="17">
        <v>46133</v>
      </c>
      <c r="B248" s="18" t="s">
        <v>172</v>
      </c>
      <c r="C248" s="21" t="s">
        <v>137</v>
      </c>
      <c r="D248" s="18">
        <v>0</v>
      </c>
      <c r="E248" s="23" t="s">
        <v>348</v>
      </c>
      <c r="F248" s="18" t="s">
        <v>804</v>
      </c>
      <c r="G248" s="23" t="s">
        <v>147</v>
      </c>
      <c r="H248" s="18">
        <v>1</v>
      </c>
      <c r="I248" s="18" t="s">
        <v>12</v>
      </c>
    </row>
    <row r="249" spans="1:9" hidden="1" x14ac:dyDescent="0.3">
      <c r="A249" s="17">
        <v>46134</v>
      </c>
      <c r="B249" s="18" t="s">
        <v>9</v>
      </c>
      <c r="C249" s="18" t="s">
        <v>311</v>
      </c>
      <c r="D249" s="18">
        <v>1</v>
      </c>
      <c r="E249" s="23" t="s">
        <v>349</v>
      </c>
      <c r="F249" s="18" t="s">
        <v>804</v>
      </c>
      <c r="G249" s="23" t="s">
        <v>723</v>
      </c>
      <c r="H249" s="18">
        <v>1</v>
      </c>
      <c r="I249" s="21" t="s">
        <v>115</v>
      </c>
    </row>
    <row r="250" spans="1:9" ht="28.8" hidden="1" x14ac:dyDescent="0.3">
      <c r="A250" s="17">
        <v>46134</v>
      </c>
      <c r="B250" s="18" t="s">
        <v>317</v>
      </c>
      <c r="C250" s="18" t="s">
        <v>74</v>
      </c>
      <c r="D250" s="18">
        <v>0</v>
      </c>
      <c r="E250" s="23" t="s">
        <v>350</v>
      </c>
      <c r="F250" s="18" t="s">
        <v>804</v>
      </c>
      <c r="G250" s="23" t="s">
        <v>147</v>
      </c>
      <c r="H250" s="18">
        <v>1</v>
      </c>
      <c r="I250" s="18" t="s">
        <v>52</v>
      </c>
    </row>
    <row r="251" spans="1:9" hidden="1" x14ac:dyDescent="0.3">
      <c r="A251" s="17">
        <v>46134</v>
      </c>
      <c r="B251" s="18" t="s">
        <v>317</v>
      </c>
      <c r="C251" s="18" t="s">
        <v>76</v>
      </c>
      <c r="D251" s="18">
        <v>0</v>
      </c>
      <c r="E251" s="23" t="s">
        <v>351</v>
      </c>
      <c r="F251" s="18" t="s">
        <v>804</v>
      </c>
      <c r="G251" s="23" t="s">
        <v>147</v>
      </c>
      <c r="H251" s="18">
        <v>1</v>
      </c>
      <c r="I251" s="18" t="s">
        <v>52</v>
      </c>
    </row>
    <row r="252" spans="1:9" hidden="1" x14ac:dyDescent="0.3">
      <c r="A252" s="17">
        <v>46134</v>
      </c>
      <c r="B252" s="18" t="s">
        <v>91</v>
      </c>
      <c r="C252" s="18" t="s">
        <v>10</v>
      </c>
      <c r="D252" s="18">
        <v>2</v>
      </c>
      <c r="E252" s="23" t="s">
        <v>352</v>
      </c>
      <c r="F252" s="18" t="s">
        <v>804</v>
      </c>
      <c r="G252" s="23" t="s">
        <v>202</v>
      </c>
      <c r="H252" s="18">
        <v>1</v>
      </c>
      <c r="I252" s="21" t="s">
        <v>115</v>
      </c>
    </row>
    <row r="253" spans="1:9" hidden="1" x14ac:dyDescent="0.3">
      <c r="A253" s="17">
        <v>46134</v>
      </c>
      <c r="B253" s="21" t="s">
        <v>223</v>
      </c>
      <c r="C253" s="18" t="s">
        <v>301</v>
      </c>
      <c r="D253" s="18">
        <v>1</v>
      </c>
      <c r="E253" s="23" t="s">
        <v>353</v>
      </c>
      <c r="F253" s="18" t="s">
        <v>804</v>
      </c>
      <c r="G253" s="23" t="s">
        <v>723</v>
      </c>
      <c r="H253" s="18">
        <v>1</v>
      </c>
      <c r="I253" s="21" t="s">
        <v>115</v>
      </c>
    </row>
    <row r="254" spans="1:9" hidden="1" x14ac:dyDescent="0.3">
      <c r="A254" s="17">
        <v>46134</v>
      </c>
      <c r="B254" s="18" t="s">
        <v>9</v>
      </c>
      <c r="C254" s="18" t="s">
        <v>354</v>
      </c>
      <c r="D254" s="18">
        <v>1</v>
      </c>
      <c r="E254" s="23" t="s">
        <v>355</v>
      </c>
      <c r="F254" s="18" t="s">
        <v>804</v>
      </c>
      <c r="G254" s="23" t="s">
        <v>683</v>
      </c>
      <c r="H254" s="18">
        <v>1</v>
      </c>
      <c r="I254" s="21" t="s">
        <v>240</v>
      </c>
    </row>
    <row r="255" spans="1:9" ht="28.8" hidden="1" x14ac:dyDescent="0.3">
      <c r="A255" s="17">
        <v>46134</v>
      </c>
      <c r="B255" s="18" t="s">
        <v>9</v>
      </c>
      <c r="C255" s="21" t="s">
        <v>205</v>
      </c>
      <c r="D255" s="21">
        <v>0</v>
      </c>
      <c r="E255" s="23" t="s">
        <v>356</v>
      </c>
      <c r="F255" s="18" t="s">
        <v>804</v>
      </c>
      <c r="G255" s="23" t="s">
        <v>147</v>
      </c>
      <c r="H255" s="18">
        <v>1</v>
      </c>
      <c r="I255" s="18" t="s">
        <v>12</v>
      </c>
    </row>
    <row r="256" spans="1:9" hidden="1" x14ac:dyDescent="0.3">
      <c r="A256" s="17">
        <v>46134</v>
      </c>
      <c r="B256" s="18" t="s">
        <v>9</v>
      </c>
      <c r="C256" s="18" t="s">
        <v>155</v>
      </c>
      <c r="D256" s="18">
        <v>1</v>
      </c>
      <c r="E256" s="23" t="s">
        <v>357</v>
      </c>
      <c r="F256" s="18" t="s">
        <v>804</v>
      </c>
      <c r="G256" s="23" t="s">
        <v>683</v>
      </c>
      <c r="H256" s="18">
        <v>1</v>
      </c>
      <c r="I256" s="21" t="s">
        <v>240</v>
      </c>
    </row>
    <row r="257" spans="1:9" hidden="1" x14ac:dyDescent="0.3">
      <c r="A257" s="17">
        <v>46134</v>
      </c>
      <c r="B257" s="21" t="s">
        <v>254</v>
      </c>
      <c r="C257" s="21" t="s">
        <v>123</v>
      </c>
      <c r="D257" s="18">
        <v>0</v>
      </c>
      <c r="E257" s="23" t="s">
        <v>358</v>
      </c>
      <c r="F257" s="18" t="s">
        <v>804</v>
      </c>
      <c r="G257" s="23" t="s">
        <v>147</v>
      </c>
      <c r="H257" s="18">
        <v>1</v>
      </c>
      <c r="I257" s="18" t="s">
        <v>12</v>
      </c>
    </row>
    <row r="258" spans="1:9" ht="43.2" hidden="1" x14ac:dyDescent="0.3">
      <c r="A258" s="17">
        <v>46134</v>
      </c>
      <c r="B258" s="18" t="s">
        <v>317</v>
      </c>
      <c r="C258" s="21" t="s">
        <v>266</v>
      </c>
      <c r="D258" s="18">
        <v>3</v>
      </c>
      <c r="E258" s="23" t="s">
        <v>359</v>
      </c>
      <c r="F258" s="18" t="s">
        <v>804</v>
      </c>
      <c r="G258" s="23" t="s">
        <v>776</v>
      </c>
      <c r="H258" s="18">
        <v>1</v>
      </c>
      <c r="I258" s="18" t="s">
        <v>52</v>
      </c>
    </row>
    <row r="259" spans="1:9" hidden="1" x14ac:dyDescent="0.3">
      <c r="A259" s="17">
        <v>46134</v>
      </c>
      <c r="B259" s="21" t="s">
        <v>223</v>
      </c>
      <c r="C259" s="18" t="s">
        <v>301</v>
      </c>
      <c r="D259" s="18">
        <v>1</v>
      </c>
      <c r="E259" s="23" t="s">
        <v>360</v>
      </c>
      <c r="F259" s="18" t="s">
        <v>804</v>
      </c>
      <c r="G259" s="23" t="s">
        <v>723</v>
      </c>
      <c r="H259" s="18">
        <v>1</v>
      </c>
      <c r="I259" s="21" t="s">
        <v>115</v>
      </c>
    </row>
    <row r="260" spans="1:9" ht="28.8" hidden="1" x14ac:dyDescent="0.3">
      <c r="A260" s="17">
        <v>46135</v>
      </c>
      <c r="B260" s="21" t="s">
        <v>223</v>
      </c>
      <c r="C260" s="21" t="s">
        <v>143</v>
      </c>
      <c r="D260" s="18">
        <v>1</v>
      </c>
      <c r="E260" s="23" t="s">
        <v>361</v>
      </c>
      <c r="F260" s="18" t="s">
        <v>804</v>
      </c>
      <c r="G260" s="23" t="s">
        <v>126</v>
      </c>
      <c r="H260" s="21">
        <v>1</v>
      </c>
      <c r="I260" s="21" t="s">
        <v>252</v>
      </c>
    </row>
    <row r="261" spans="1:9" ht="28.8" hidden="1" x14ac:dyDescent="0.3">
      <c r="A261" s="17">
        <v>46135</v>
      </c>
      <c r="B261" s="18" t="s">
        <v>9</v>
      </c>
      <c r="C261" s="21" t="s">
        <v>116</v>
      </c>
      <c r="D261" s="18">
        <v>1</v>
      </c>
      <c r="E261" s="23" t="s">
        <v>362</v>
      </c>
      <c r="F261" s="18" t="s">
        <v>804</v>
      </c>
      <c r="G261" s="23" t="s">
        <v>736</v>
      </c>
      <c r="H261" s="18">
        <v>1</v>
      </c>
      <c r="I261" s="21" t="s">
        <v>115</v>
      </c>
    </row>
    <row r="262" spans="1:9" hidden="1" x14ac:dyDescent="0.3">
      <c r="A262" s="17">
        <v>46135</v>
      </c>
      <c r="B262" s="18" t="s">
        <v>241</v>
      </c>
      <c r="C262" s="18" t="s">
        <v>155</v>
      </c>
      <c r="D262" s="18">
        <v>1</v>
      </c>
      <c r="E262" s="23" t="s">
        <v>363</v>
      </c>
      <c r="F262" s="18" t="s">
        <v>804</v>
      </c>
      <c r="G262" s="23" t="s">
        <v>736</v>
      </c>
      <c r="H262" s="18">
        <v>1</v>
      </c>
      <c r="I262" s="18" t="s">
        <v>64</v>
      </c>
    </row>
    <row r="263" spans="1:9" ht="43.2" hidden="1" x14ac:dyDescent="0.3">
      <c r="A263" s="17">
        <v>46135</v>
      </c>
      <c r="B263" s="18" t="s">
        <v>241</v>
      </c>
      <c r="C263" s="18" t="s">
        <v>200</v>
      </c>
      <c r="D263" s="18">
        <v>1</v>
      </c>
      <c r="E263" s="23" t="s">
        <v>364</v>
      </c>
      <c r="F263" s="18" t="s">
        <v>804</v>
      </c>
      <c r="G263" s="23" t="s">
        <v>729</v>
      </c>
      <c r="H263" s="18">
        <v>1</v>
      </c>
      <c r="I263" s="18" t="s">
        <v>64</v>
      </c>
    </row>
    <row r="264" spans="1:9" hidden="1" x14ac:dyDescent="0.3">
      <c r="A264" s="17">
        <v>46135</v>
      </c>
      <c r="B264" s="21" t="s">
        <v>223</v>
      </c>
      <c r="C264" s="21" t="s">
        <v>266</v>
      </c>
      <c r="D264" s="18">
        <v>1</v>
      </c>
      <c r="E264" s="23" t="s">
        <v>365</v>
      </c>
      <c r="F264" s="18" t="s">
        <v>804</v>
      </c>
      <c r="G264" s="23" t="s">
        <v>681</v>
      </c>
      <c r="H264" s="21">
        <v>1</v>
      </c>
      <c r="I264" s="21" t="s">
        <v>252</v>
      </c>
    </row>
    <row r="265" spans="1:9" ht="28.8" hidden="1" x14ac:dyDescent="0.3">
      <c r="A265" s="17">
        <v>46135</v>
      </c>
      <c r="B265" s="18" t="s">
        <v>317</v>
      </c>
      <c r="C265" s="18" t="s">
        <v>76</v>
      </c>
      <c r="D265" s="18">
        <v>1</v>
      </c>
      <c r="E265" s="23" t="s">
        <v>366</v>
      </c>
      <c r="F265" s="18" t="s">
        <v>804</v>
      </c>
      <c r="G265" s="23" t="s">
        <v>126</v>
      </c>
      <c r="H265" s="18">
        <v>1</v>
      </c>
      <c r="I265" s="18" t="s">
        <v>52</v>
      </c>
    </row>
    <row r="266" spans="1:9" ht="43.2" hidden="1" x14ac:dyDescent="0.3">
      <c r="A266" s="17">
        <v>46135</v>
      </c>
      <c r="B266" s="21" t="s">
        <v>223</v>
      </c>
      <c r="C266" s="18" t="s">
        <v>179</v>
      </c>
      <c r="D266" s="18">
        <v>2</v>
      </c>
      <c r="E266" s="23" t="s">
        <v>367</v>
      </c>
      <c r="F266" s="18" t="s">
        <v>804</v>
      </c>
      <c r="G266" s="23" t="s">
        <v>680</v>
      </c>
      <c r="H266" s="21">
        <v>1</v>
      </c>
      <c r="I266" s="21" t="s">
        <v>252</v>
      </c>
    </row>
    <row r="267" spans="1:9" ht="28.8" hidden="1" x14ac:dyDescent="0.3">
      <c r="A267" s="17">
        <v>46135</v>
      </c>
      <c r="B267" s="18" t="s">
        <v>241</v>
      </c>
      <c r="C267" s="18" t="s">
        <v>155</v>
      </c>
      <c r="D267" s="18">
        <v>1</v>
      </c>
      <c r="E267" s="23" t="s">
        <v>368</v>
      </c>
      <c r="F267" s="18" t="s">
        <v>804</v>
      </c>
      <c r="G267" s="23" t="s">
        <v>369</v>
      </c>
      <c r="H267" s="18">
        <v>1</v>
      </c>
      <c r="I267" s="21" t="s">
        <v>240</v>
      </c>
    </row>
    <row r="268" spans="1:9" ht="43.2" hidden="1" x14ac:dyDescent="0.3">
      <c r="A268" s="17">
        <v>46136</v>
      </c>
      <c r="B268" s="18" t="s">
        <v>241</v>
      </c>
      <c r="C268" s="18" t="s">
        <v>155</v>
      </c>
      <c r="D268" s="18">
        <v>2</v>
      </c>
      <c r="E268" s="23" t="s">
        <v>370</v>
      </c>
      <c r="F268" s="18" t="s">
        <v>804</v>
      </c>
      <c r="G268" s="23" t="s">
        <v>774</v>
      </c>
      <c r="H268" s="18">
        <v>1</v>
      </c>
      <c r="I268" s="18" t="s">
        <v>64</v>
      </c>
    </row>
    <row r="269" spans="1:9" ht="43.2" hidden="1" x14ac:dyDescent="0.3">
      <c r="A269" s="17">
        <v>46136</v>
      </c>
      <c r="B269" s="21" t="s">
        <v>223</v>
      </c>
      <c r="C269" s="18" t="s">
        <v>371</v>
      </c>
      <c r="D269" s="18">
        <v>3</v>
      </c>
      <c r="E269" s="23" t="s">
        <v>372</v>
      </c>
      <c r="F269" s="18" t="s">
        <v>804</v>
      </c>
      <c r="G269" s="23" t="s">
        <v>734</v>
      </c>
      <c r="H269" s="18">
        <v>1</v>
      </c>
      <c r="I269" s="21" t="s">
        <v>115</v>
      </c>
    </row>
    <row r="270" spans="1:9" ht="28.8" hidden="1" x14ac:dyDescent="0.3">
      <c r="A270" s="17">
        <v>46136</v>
      </c>
      <c r="B270" s="18" t="s">
        <v>247</v>
      </c>
      <c r="C270" s="18" t="s">
        <v>278</v>
      </c>
      <c r="D270" s="18">
        <v>1</v>
      </c>
      <c r="E270" s="23" t="s">
        <v>373</v>
      </c>
      <c r="F270" s="18" t="s">
        <v>804</v>
      </c>
      <c r="G270" s="23" t="s">
        <v>738</v>
      </c>
      <c r="H270" s="18">
        <v>1</v>
      </c>
      <c r="I270" s="18" t="s">
        <v>12</v>
      </c>
    </row>
    <row r="271" spans="1:9" ht="28.8" hidden="1" x14ac:dyDescent="0.3">
      <c r="A271" s="17">
        <v>46136</v>
      </c>
      <c r="B271" s="21" t="s">
        <v>243</v>
      </c>
      <c r="C271" s="18" t="s">
        <v>259</v>
      </c>
      <c r="D271" s="18">
        <v>1</v>
      </c>
      <c r="E271" s="23" t="s">
        <v>374</v>
      </c>
      <c r="F271" s="18" t="s">
        <v>804</v>
      </c>
      <c r="G271" s="23" t="s">
        <v>31</v>
      </c>
      <c r="H271" s="21">
        <v>1</v>
      </c>
      <c r="I271" s="21" t="s">
        <v>87</v>
      </c>
    </row>
    <row r="272" spans="1:9" ht="28.8" hidden="1" x14ac:dyDescent="0.3">
      <c r="A272" s="17">
        <v>46136</v>
      </c>
      <c r="B272" s="18" t="s">
        <v>317</v>
      </c>
      <c r="C272" s="18" t="s">
        <v>76</v>
      </c>
      <c r="D272" s="18">
        <v>2</v>
      </c>
      <c r="E272" s="23" t="s">
        <v>375</v>
      </c>
      <c r="F272" s="18" t="s">
        <v>804</v>
      </c>
      <c r="G272" s="23" t="s">
        <v>678</v>
      </c>
      <c r="H272" s="18">
        <v>1</v>
      </c>
      <c r="I272" s="18" t="s">
        <v>52</v>
      </c>
    </row>
    <row r="273" spans="1:9" ht="43.2" hidden="1" x14ac:dyDescent="0.3">
      <c r="A273" s="17">
        <v>46136</v>
      </c>
      <c r="B273" s="21" t="s">
        <v>223</v>
      </c>
      <c r="C273" s="21" t="s">
        <v>266</v>
      </c>
      <c r="D273" s="18">
        <v>4</v>
      </c>
      <c r="E273" s="23" t="s">
        <v>376</v>
      </c>
      <c r="F273" s="18" t="s">
        <v>804</v>
      </c>
      <c r="G273" s="23" t="s">
        <v>712</v>
      </c>
      <c r="H273" s="21">
        <v>1</v>
      </c>
      <c r="I273" s="21" t="s">
        <v>252</v>
      </c>
    </row>
    <row r="274" spans="1:9" hidden="1" x14ac:dyDescent="0.3">
      <c r="A274" s="17">
        <v>46137</v>
      </c>
      <c r="B274" s="21" t="s">
        <v>254</v>
      </c>
      <c r="C274" s="21" t="s">
        <v>123</v>
      </c>
      <c r="D274" s="18">
        <v>1</v>
      </c>
      <c r="E274" s="23" t="s">
        <v>377</v>
      </c>
      <c r="F274" s="18" t="s">
        <v>804</v>
      </c>
      <c r="G274" s="23" t="s">
        <v>683</v>
      </c>
      <c r="H274" s="18">
        <v>1</v>
      </c>
      <c r="I274" s="18" t="s">
        <v>52</v>
      </c>
    </row>
    <row r="275" spans="1:9" hidden="1" x14ac:dyDescent="0.3">
      <c r="A275" s="17">
        <v>46137</v>
      </c>
      <c r="B275" s="21" t="s">
        <v>172</v>
      </c>
      <c r="C275" s="18" t="s">
        <v>155</v>
      </c>
      <c r="D275" s="18">
        <v>0</v>
      </c>
      <c r="E275" s="23" t="s">
        <v>378</v>
      </c>
      <c r="F275" s="18" t="s">
        <v>804</v>
      </c>
      <c r="G275" s="23" t="s">
        <v>147</v>
      </c>
      <c r="H275" s="18">
        <v>1</v>
      </c>
      <c r="I275" s="18" t="s">
        <v>52</v>
      </c>
    </row>
    <row r="276" spans="1:9" ht="28.8" hidden="1" x14ac:dyDescent="0.3">
      <c r="A276" s="17">
        <v>46139</v>
      </c>
      <c r="B276" s="21" t="s">
        <v>254</v>
      </c>
      <c r="C276" s="18" t="s">
        <v>74</v>
      </c>
      <c r="D276" s="18">
        <v>3</v>
      </c>
      <c r="E276" s="23" t="s">
        <v>379</v>
      </c>
      <c r="F276" s="18" t="s">
        <v>804</v>
      </c>
      <c r="G276" s="23" t="s">
        <v>777</v>
      </c>
      <c r="H276" s="18">
        <v>1</v>
      </c>
      <c r="I276" s="18" t="s">
        <v>52</v>
      </c>
    </row>
    <row r="277" spans="1:9" ht="28.8" hidden="1" x14ac:dyDescent="0.3">
      <c r="A277" s="17">
        <v>46137</v>
      </c>
      <c r="B277" s="18" t="s">
        <v>9</v>
      </c>
      <c r="C277" s="18" t="s">
        <v>193</v>
      </c>
      <c r="D277" s="18">
        <v>3</v>
      </c>
      <c r="E277" s="23" t="s">
        <v>380</v>
      </c>
      <c r="F277" s="18" t="s">
        <v>804</v>
      </c>
      <c r="G277" s="23" t="s">
        <v>721</v>
      </c>
      <c r="H277" s="18">
        <v>1</v>
      </c>
      <c r="I277" s="21" t="s">
        <v>115</v>
      </c>
    </row>
    <row r="278" spans="1:9" ht="28.8" hidden="1" x14ac:dyDescent="0.3">
      <c r="A278" s="20">
        <v>46139</v>
      </c>
      <c r="B278" s="18" t="s">
        <v>9</v>
      </c>
      <c r="C278" s="21" t="s">
        <v>116</v>
      </c>
      <c r="D278" s="21">
        <v>2</v>
      </c>
      <c r="E278" s="24" t="s">
        <v>381</v>
      </c>
      <c r="F278" s="18" t="s">
        <v>804</v>
      </c>
      <c r="G278" s="24" t="s">
        <v>717</v>
      </c>
      <c r="H278" s="21">
        <v>1</v>
      </c>
      <c r="I278" s="21" t="s">
        <v>115</v>
      </c>
    </row>
    <row r="279" spans="1:9" ht="43.2" hidden="1" x14ac:dyDescent="0.3">
      <c r="A279" s="20">
        <v>46139</v>
      </c>
      <c r="B279" s="18" t="s">
        <v>241</v>
      </c>
      <c r="C279" s="21" t="s">
        <v>200</v>
      </c>
      <c r="D279" s="21">
        <v>4</v>
      </c>
      <c r="E279" s="24" t="s">
        <v>382</v>
      </c>
      <c r="F279" s="18" t="s">
        <v>804</v>
      </c>
      <c r="G279" s="24" t="s">
        <v>801</v>
      </c>
      <c r="H279" s="18">
        <v>1</v>
      </c>
      <c r="I279" s="18" t="s">
        <v>64</v>
      </c>
    </row>
    <row r="280" spans="1:9" hidden="1" x14ac:dyDescent="0.3">
      <c r="A280" s="20">
        <v>46139</v>
      </c>
      <c r="B280" s="21" t="s">
        <v>172</v>
      </c>
      <c r="C280" s="21" t="s">
        <v>261</v>
      </c>
      <c r="D280" s="21">
        <v>1</v>
      </c>
      <c r="E280" s="24" t="s">
        <v>383</v>
      </c>
      <c r="F280" s="18" t="s">
        <v>804</v>
      </c>
      <c r="G280" s="24" t="s">
        <v>384</v>
      </c>
      <c r="H280" s="21">
        <v>1</v>
      </c>
      <c r="I280" s="21" t="s">
        <v>252</v>
      </c>
    </row>
    <row r="281" spans="1:9" ht="28.8" hidden="1" x14ac:dyDescent="0.3">
      <c r="A281" s="20">
        <v>46139</v>
      </c>
      <c r="B281" s="18" t="s">
        <v>317</v>
      </c>
      <c r="C281" s="21" t="s">
        <v>266</v>
      </c>
      <c r="D281" s="21">
        <v>2</v>
      </c>
      <c r="E281" s="24" t="s">
        <v>385</v>
      </c>
      <c r="F281" s="18" t="s">
        <v>804</v>
      </c>
      <c r="G281" s="24" t="s">
        <v>726</v>
      </c>
      <c r="H281" s="18">
        <v>1</v>
      </c>
      <c r="I281" s="18" t="s">
        <v>52</v>
      </c>
    </row>
    <row r="282" spans="1:9" ht="28.8" hidden="1" x14ac:dyDescent="0.3">
      <c r="A282" s="20">
        <v>46139</v>
      </c>
      <c r="B282" s="21" t="s">
        <v>172</v>
      </c>
      <c r="C282" s="21" t="s">
        <v>82</v>
      </c>
      <c r="D282" s="21">
        <v>1</v>
      </c>
      <c r="E282" s="24" t="s">
        <v>386</v>
      </c>
      <c r="F282" s="18" t="s">
        <v>804</v>
      </c>
      <c r="G282" s="24" t="s">
        <v>73</v>
      </c>
      <c r="H282" s="21">
        <v>1</v>
      </c>
      <c r="I282" s="21" t="s">
        <v>252</v>
      </c>
    </row>
    <row r="283" spans="1:9" ht="28.8" hidden="1" x14ac:dyDescent="0.3">
      <c r="A283" s="20">
        <v>46139</v>
      </c>
      <c r="B283" s="18" t="s">
        <v>317</v>
      </c>
      <c r="C283" s="21" t="s">
        <v>266</v>
      </c>
      <c r="D283" s="21">
        <v>1</v>
      </c>
      <c r="E283" s="24" t="s">
        <v>387</v>
      </c>
      <c r="F283" s="18" t="s">
        <v>804</v>
      </c>
      <c r="G283" s="24" t="s">
        <v>395</v>
      </c>
      <c r="H283" s="18">
        <v>1</v>
      </c>
      <c r="I283" s="18" t="s">
        <v>52</v>
      </c>
    </row>
    <row r="284" spans="1:9" ht="28.8" hidden="1" x14ac:dyDescent="0.3">
      <c r="A284" s="20">
        <v>46139</v>
      </c>
      <c r="B284" s="21" t="s">
        <v>254</v>
      </c>
      <c r="C284" s="18" t="s">
        <v>74</v>
      </c>
      <c r="D284" s="21">
        <v>2</v>
      </c>
      <c r="E284" s="24" t="s">
        <v>388</v>
      </c>
      <c r="F284" s="18" t="s">
        <v>804</v>
      </c>
      <c r="G284" s="24" t="s">
        <v>778</v>
      </c>
      <c r="H284" s="18">
        <v>1</v>
      </c>
      <c r="I284" s="18" t="s">
        <v>52</v>
      </c>
    </row>
    <row r="285" spans="1:9" ht="28.8" hidden="1" x14ac:dyDescent="0.3">
      <c r="A285" s="20">
        <v>46140</v>
      </c>
      <c r="B285" s="21" t="s">
        <v>172</v>
      </c>
      <c r="C285" s="21" t="s">
        <v>221</v>
      </c>
      <c r="D285" s="21">
        <v>2</v>
      </c>
      <c r="E285" s="24" t="s">
        <v>389</v>
      </c>
      <c r="F285" s="18" t="s">
        <v>804</v>
      </c>
      <c r="G285" s="24" t="s">
        <v>739</v>
      </c>
      <c r="H285" s="21">
        <v>1</v>
      </c>
      <c r="I285" s="21" t="s">
        <v>252</v>
      </c>
    </row>
    <row r="286" spans="1:9" hidden="1" x14ac:dyDescent="0.3">
      <c r="A286" s="20">
        <v>46140</v>
      </c>
      <c r="B286" s="21" t="s">
        <v>172</v>
      </c>
      <c r="C286" s="21" t="s">
        <v>221</v>
      </c>
      <c r="D286" s="21">
        <v>1</v>
      </c>
      <c r="E286" s="24" t="s">
        <v>390</v>
      </c>
      <c r="F286" s="18" t="s">
        <v>804</v>
      </c>
      <c r="G286" s="24" t="s">
        <v>679</v>
      </c>
      <c r="H286" s="21">
        <v>1</v>
      </c>
      <c r="I286" s="21" t="s">
        <v>252</v>
      </c>
    </row>
    <row r="287" spans="1:9" ht="28.8" hidden="1" x14ac:dyDescent="0.3">
      <c r="A287" s="20">
        <v>46140</v>
      </c>
      <c r="B287" s="21" t="s">
        <v>172</v>
      </c>
      <c r="C287" s="21" t="s">
        <v>261</v>
      </c>
      <c r="D287" s="21">
        <v>1</v>
      </c>
      <c r="E287" s="24" t="s">
        <v>391</v>
      </c>
      <c r="F287" s="18" t="s">
        <v>804</v>
      </c>
      <c r="G287" s="24" t="s">
        <v>711</v>
      </c>
      <c r="H287" s="21">
        <v>1</v>
      </c>
      <c r="I287" s="21" t="s">
        <v>252</v>
      </c>
    </row>
    <row r="288" spans="1:9" ht="28.8" hidden="1" x14ac:dyDescent="0.3">
      <c r="A288" s="20">
        <v>46141</v>
      </c>
      <c r="B288" s="18" t="s">
        <v>9</v>
      </c>
      <c r="C288" s="18" t="s">
        <v>10</v>
      </c>
      <c r="D288" s="18">
        <v>1</v>
      </c>
      <c r="E288" s="24" t="s">
        <v>392</v>
      </c>
      <c r="F288" s="18" t="s">
        <v>804</v>
      </c>
      <c r="G288" s="24" t="s">
        <v>723</v>
      </c>
      <c r="H288" s="21">
        <v>1</v>
      </c>
      <c r="I288" s="21" t="s">
        <v>115</v>
      </c>
    </row>
    <row r="289" spans="1:9" ht="28.8" hidden="1" x14ac:dyDescent="0.3">
      <c r="A289" s="20">
        <v>46118</v>
      </c>
      <c r="B289" s="18" t="s">
        <v>9</v>
      </c>
      <c r="C289" s="18" t="s">
        <v>311</v>
      </c>
      <c r="D289" s="18">
        <v>1</v>
      </c>
      <c r="E289" s="24" t="s">
        <v>393</v>
      </c>
      <c r="F289" s="18" t="s">
        <v>804</v>
      </c>
      <c r="G289" s="24" t="s">
        <v>73</v>
      </c>
      <c r="H289" s="21">
        <v>1</v>
      </c>
      <c r="I289" s="21" t="s">
        <v>115</v>
      </c>
    </row>
    <row r="290" spans="1:9" ht="28.8" hidden="1" x14ac:dyDescent="0.3">
      <c r="A290" s="20">
        <v>46142</v>
      </c>
      <c r="B290" s="21" t="s">
        <v>172</v>
      </c>
      <c r="C290" s="18" t="s">
        <v>311</v>
      </c>
      <c r="D290" s="18">
        <v>2</v>
      </c>
      <c r="E290" s="24" t="s">
        <v>394</v>
      </c>
      <c r="F290" s="18" t="s">
        <v>804</v>
      </c>
      <c r="G290" s="24" t="s">
        <v>740</v>
      </c>
      <c r="H290" s="21">
        <v>1</v>
      </c>
      <c r="I290" s="21" t="s">
        <v>252</v>
      </c>
    </row>
    <row r="291" spans="1:9" ht="28.8" hidden="1" x14ac:dyDescent="0.3">
      <c r="A291" s="20">
        <v>46142</v>
      </c>
      <c r="B291" s="21" t="s">
        <v>223</v>
      </c>
      <c r="C291" s="18" t="s">
        <v>10</v>
      </c>
      <c r="D291" s="18">
        <v>1</v>
      </c>
      <c r="E291" s="24" t="s">
        <v>396</v>
      </c>
      <c r="F291" s="18" t="s">
        <v>804</v>
      </c>
      <c r="G291" s="24" t="s">
        <v>736</v>
      </c>
      <c r="H291" s="21">
        <v>1</v>
      </c>
      <c r="I291" s="21" t="s">
        <v>115</v>
      </c>
    </row>
    <row r="292" spans="1:9" ht="28.8" hidden="1" x14ac:dyDescent="0.3">
      <c r="A292" s="20">
        <v>46142</v>
      </c>
      <c r="B292" s="18" t="s">
        <v>9</v>
      </c>
      <c r="C292" s="18" t="s">
        <v>301</v>
      </c>
      <c r="D292" s="21">
        <v>0</v>
      </c>
      <c r="E292" s="24" t="s">
        <v>397</v>
      </c>
      <c r="F292" s="18" t="s">
        <v>804</v>
      </c>
      <c r="G292" s="23" t="s">
        <v>147</v>
      </c>
      <c r="H292" s="21">
        <v>1</v>
      </c>
      <c r="I292" s="21" t="s">
        <v>115</v>
      </c>
    </row>
    <row r="293" spans="1:9" hidden="1" x14ac:dyDescent="0.3">
      <c r="A293" s="20">
        <v>46142</v>
      </c>
      <c r="B293" s="21" t="s">
        <v>254</v>
      </c>
      <c r="C293" s="21" t="s">
        <v>123</v>
      </c>
      <c r="D293" s="21">
        <v>2</v>
      </c>
      <c r="E293" s="24" t="s">
        <v>398</v>
      </c>
      <c r="F293" s="18" t="s">
        <v>804</v>
      </c>
      <c r="G293" s="24" t="s">
        <v>700</v>
      </c>
      <c r="H293" s="21">
        <v>1</v>
      </c>
      <c r="I293" s="21" t="s">
        <v>240</v>
      </c>
    </row>
    <row r="294" spans="1:9" ht="28.8" hidden="1" x14ac:dyDescent="0.3">
      <c r="A294" s="20">
        <v>46142</v>
      </c>
      <c r="B294" s="18" t="s">
        <v>9</v>
      </c>
      <c r="C294" s="21" t="s">
        <v>116</v>
      </c>
      <c r="D294" s="21">
        <v>0</v>
      </c>
      <c r="E294" s="24" t="s">
        <v>399</v>
      </c>
      <c r="F294" s="18" t="s">
        <v>804</v>
      </c>
      <c r="G294" s="23" t="s">
        <v>147</v>
      </c>
      <c r="H294" s="21">
        <v>1</v>
      </c>
      <c r="I294" s="21" t="s">
        <v>115</v>
      </c>
    </row>
    <row r="295" spans="1:9" ht="129.6" hidden="1" x14ac:dyDescent="0.3">
      <c r="A295" s="20">
        <v>46142</v>
      </c>
      <c r="B295" s="21" t="s">
        <v>289</v>
      </c>
      <c r="C295" s="21" t="s">
        <v>155</v>
      </c>
      <c r="D295" s="21">
        <v>5</v>
      </c>
      <c r="E295" s="24" t="s">
        <v>400</v>
      </c>
      <c r="F295" s="18" t="s">
        <v>804</v>
      </c>
      <c r="G295" s="24" t="s">
        <v>741</v>
      </c>
      <c r="H295" s="21">
        <v>1</v>
      </c>
      <c r="I295" s="21" t="s">
        <v>87</v>
      </c>
    </row>
    <row r="296" spans="1:9" ht="28.8" hidden="1" x14ac:dyDescent="0.3">
      <c r="A296" s="20">
        <v>46143</v>
      </c>
      <c r="B296" s="21" t="s">
        <v>289</v>
      </c>
      <c r="C296" s="21" t="s">
        <v>401</v>
      </c>
      <c r="D296" s="21">
        <v>3</v>
      </c>
      <c r="E296" s="24" t="s">
        <v>402</v>
      </c>
      <c r="F296" s="18" t="s">
        <v>804</v>
      </c>
      <c r="G296" s="24" t="s">
        <v>802</v>
      </c>
      <c r="H296" s="21">
        <v>1</v>
      </c>
      <c r="I296" s="21" t="s">
        <v>87</v>
      </c>
    </row>
    <row r="297" spans="1:9" hidden="1" x14ac:dyDescent="0.3">
      <c r="A297" s="20">
        <v>46143</v>
      </c>
      <c r="B297" s="21" t="s">
        <v>289</v>
      </c>
      <c r="C297" s="21" t="s">
        <v>401</v>
      </c>
      <c r="D297" s="21">
        <v>1</v>
      </c>
      <c r="E297" s="24" t="s">
        <v>403</v>
      </c>
      <c r="F297" s="18" t="s">
        <v>804</v>
      </c>
      <c r="G297" s="24" t="s">
        <v>39</v>
      </c>
      <c r="H297" s="21">
        <v>1</v>
      </c>
      <c r="I297" s="21" t="s">
        <v>87</v>
      </c>
    </row>
    <row r="298" spans="1:9" ht="28.8" hidden="1" x14ac:dyDescent="0.3">
      <c r="A298" s="20">
        <v>46143</v>
      </c>
      <c r="B298" s="21" t="s">
        <v>254</v>
      </c>
      <c r="C298" s="21" t="s">
        <v>113</v>
      </c>
      <c r="D298" s="21">
        <v>3</v>
      </c>
      <c r="E298" s="24" t="s">
        <v>404</v>
      </c>
      <c r="F298" s="18" t="s">
        <v>804</v>
      </c>
      <c r="G298" s="24" t="s">
        <v>719</v>
      </c>
      <c r="H298" s="21">
        <v>1</v>
      </c>
      <c r="I298" s="21" t="s">
        <v>115</v>
      </c>
    </row>
    <row r="299" spans="1:9" ht="28.8" hidden="1" x14ac:dyDescent="0.3">
      <c r="A299" s="20">
        <v>46143</v>
      </c>
      <c r="B299" s="21" t="s">
        <v>254</v>
      </c>
      <c r="C299" s="21" t="s">
        <v>113</v>
      </c>
      <c r="D299" s="21">
        <v>1</v>
      </c>
      <c r="E299" s="24" t="s">
        <v>405</v>
      </c>
      <c r="F299" s="18" t="s">
        <v>804</v>
      </c>
      <c r="G299" s="24" t="s">
        <v>73</v>
      </c>
      <c r="H299" s="21">
        <v>1</v>
      </c>
      <c r="I299" s="21" t="s">
        <v>115</v>
      </c>
    </row>
    <row r="300" spans="1:9" hidden="1" x14ac:dyDescent="0.3">
      <c r="A300" s="20">
        <v>46144</v>
      </c>
      <c r="B300" s="21" t="s">
        <v>172</v>
      </c>
      <c r="C300" s="18" t="s">
        <v>311</v>
      </c>
      <c r="D300" s="18">
        <v>0</v>
      </c>
      <c r="E300" s="24" t="s">
        <v>406</v>
      </c>
      <c r="F300" s="18" t="s">
        <v>804</v>
      </c>
      <c r="G300" s="23" t="s">
        <v>147</v>
      </c>
      <c r="H300" s="18">
        <v>1</v>
      </c>
      <c r="I300" s="18" t="s">
        <v>52</v>
      </c>
    </row>
    <row r="301" spans="1:9" hidden="1" x14ac:dyDescent="0.3">
      <c r="A301" s="20">
        <v>46146</v>
      </c>
      <c r="B301" s="21" t="s">
        <v>254</v>
      </c>
      <c r="C301" s="21" t="s">
        <v>193</v>
      </c>
      <c r="D301" s="21">
        <v>1</v>
      </c>
      <c r="E301" s="24" t="s">
        <v>407</v>
      </c>
      <c r="F301" s="18" t="s">
        <v>804</v>
      </c>
      <c r="G301" s="24" t="s">
        <v>31</v>
      </c>
      <c r="H301" s="18">
        <v>1</v>
      </c>
      <c r="I301" s="18" t="s">
        <v>52</v>
      </c>
    </row>
    <row r="302" spans="1:9" hidden="1" x14ac:dyDescent="0.3">
      <c r="A302" s="20">
        <v>46146</v>
      </c>
      <c r="B302" s="21" t="s">
        <v>408</v>
      </c>
      <c r="C302" s="21" t="s">
        <v>155</v>
      </c>
      <c r="D302" s="21">
        <v>1</v>
      </c>
      <c r="E302" s="24" t="s">
        <v>409</v>
      </c>
      <c r="F302" s="18" t="s">
        <v>804</v>
      </c>
      <c r="G302" s="24" t="s">
        <v>694</v>
      </c>
      <c r="H302" s="18">
        <v>1</v>
      </c>
      <c r="I302" s="18" t="s">
        <v>64</v>
      </c>
    </row>
    <row r="303" spans="1:9" hidden="1" x14ac:dyDescent="0.3">
      <c r="A303" s="20">
        <v>46146</v>
      </c>
      <c r="B303" s="21" t="s">
        <v>408</v>
      </c>
      <c r="C303" s="21" t="s">
        <v>155</v>
      </c>
      <c r="D303" s="21">
        <v>1</v>
      </c>
      <c r="E303" s="24" t="s">
        <v>410</v>
      </c>
      <c r="F303" s="18" t="s">
        <v>804</v>
      </c>
      <c r="G303" s="24" t="s">
        <v>681</v>
      </c>
      <c r="H303" s="18">
        <v>1</v>
      </c>
      <c r="I303" s="18" t="s">
        <v>64</v>
      </c>
    </row>
    <row r="304" spans="1:9" hidden="1" x14ac:dyDescent="0.3">
      <c r="A304" s="20">
        <v>46146</v>
      </c>
      <c r="B304" s="21" t="s">
        <v>172</v>
      </c>
      <c r="C304" s="21" t="s">
        <v>257</v>
      </c>
      <c r="D304" s="21">
        <v>1</v>
      </c>
      <c r="E304" s="24" t="s">
        <v>411</v>
      </c>
      <c r="F304" s="18" t="s">
        <v>804</v>
      </c>
      <c r="G304" s="24" t="s">
        <v>694</v>
      </c>
      <c r="H304" s="21">
        <v>1</v>
      </c>
      <c r="I304" s="21" t="s">
        <v>252</v>
      </c>
    </row>
    <row r="305" spans="1:9" ht="28.8" hidden="1" x14ac:dyDescent="0.3">
      <c r="A305" s="20">
        <v>46146</v>
      </c>
      <c r="B305" s="21" t="s">
        <v>412</v>
      </c>
      <c r="C305" s="18" t="s">
        <v>311</v>
      </c>
      <c r="D305" s="18">
        <v>1</v>
      </c>
      <c r="E305" s="24" t="s">
        <v>413</v>
      </c>
      <c r="F305" s="18" t="s">
        <v>804</v>
      </c>
      <c r="G305" s="24" t="s">
        <v>683</v>
      </c>
      <c r="H305" s="21">
        <v>1</v>
      </c>
      <c r="I305" s="21" t="s">
        <v>115</v>
      </c>
    </row>
    <row r="306" spans="1:9" hidden="1" x14ac:dyDescent="0.3">
      <c r="A306" s="20">
        <v>46146</v>
      </c>
      <c r="B306" s="21" t="s">
        <v>172</v>
      </c>
      <c r="C306" s="21" t="s">
        <v>221</v>
      </c>
      <c r="D306" s="21">
        <v>0</v>
      </c>
      <c r="E306" s="24" t="s">
        <v>414</v>
      </c>
      <c r="F306" s="18" t="s">
        <v>804</v>
      </c>
      <c r="G306" s="23" t="s">
        <v>147</v>
      </c>
      <c r="H306" s="21">
        <v>1</v>
      </c>
      <c r="I306" s="21" t="s">
        <v>252</v>
      </c>
    </row>
    <row r="307" spans="1:9" ht="28.8" hidden="1" x14ac:dyDescent="0.3">
      <c r="A307" s="20">
        <v>46146</v>
      </c>
      <c r="B307" s="21" t="s">
        <v>408</v>
      </c>
      <c r="C307" s="21" t="s">
        <v>266</v>
      </c>
      <c r="D307" s="21">
        <v>2</v>
      </c>
      <c r="E307" s="24" t="s">
        <v>415</v>
      </c>
      <c r="F307" s="18" t="s">
        <v>804</v>
      </c>
      <c r="G307" s="24" t="s">
        <v>688</v>
      </c>
      <c r="H307" s="21">
        <v>1</v>
      </c>
      <c r="I307" s="21" t="s">
        <v>115</v>
      </c>
    </row>
    <row r="308" spans="1:9" hidden="1" x14ac:dyDescent="0.3">
      <c r="A308" s="20">
        <v>46147</v>
      </c>
      <c r="B308" s="21" t="s">
        <v>247</v>
      </c>
      <c r="C308" s="21" t="s">
        <v>264</v>
      </c>
      <c r="D308" s="21">
        <v>1</v>
      </c>
      <c r="E308" s="24" t="s">
        <v>416</v>
      </c>
      <c r="F308" s="18" t="s">
        <v>804</v>
      </c>
      <c r="G308" s="24" t="s">
        <v>39</v>
      </c>
      <c r="H308" s="18">
        <v>1</v>
      </c>
      <c r="I308" s="18" t="s">
        <v>12</v>
      </c>
    </row>
    <row r="309" spans="1:9" ht="28.8" hidden="1" x14ac:dyDescent="0.3">
      <c r="A309" s="20">
        <v>46147</v>
      </c>
      <c r="B309" s="21" t="s">
        <v>172</v>
      </c>
      <c r="C309" s="21" t="s">
        <v>221</v>
      </c>
      <c r="D309" s="21">
        <v>2</v>
      </c>
      <c r="E309" s="24" t="s">
        <v>417</v>
      </c>
      <c r="F309" s="18" t="s">
        <v>804</v>
      </c>
      <c r="G309" s="24" t="s">
        <v>742</v>
      </c>
      <c r="H309" s="21">
        <v>1</v>
      </c>
      <c r="I309" s="21" t="s">
        <v>252</v>
      </c>
    </row>
    <row r="310" spans="1:9" hidden="1" x14ac:dyDescent="0.3">
      <c r="A310" s="20">
        <v>46147</v>
      </c>
      <c r="B310" s="21" t="s">
        <v>247</v>
      </c>
      <c r="C310" s="21" t="s">
        <v>264</v>
      </c>
      <c r="D310" s="21">
        <v>2</v>
      </c>
      <c r="E310" s="24" t="s">
        <v>418</v>
      </c>
      <c r="F310" s="18" t="s">
        <v>804</v>
      </c>
      <c r="G310" s="24" t="s">
        <v>743</v>
      </c>
      <c r="H310" s="18">
        <v>1</v>
      </c>
      <c r="I310" s="18" t="s">
        <v>12</v>
      </c>
    </row>
    <row r="311" spans="1:9" hidden="1" x14ac:dyDescent="0.3">
      <c r="A311" s="20">
        <v>46147</v>
      </c>
      <c r="B311" s="21" t="s">
        <v>172</v>
      </c>
      <c r="C311" s="21" t="s">
        <v>221</v>
      </c>
      <c r="D311" s="21">
        <v>1</v>
      </c>
      <c r="E311" s="24" t="s">
        <v>419</v>
      </c>
      <c r="F311" s="18" t="s">
        <v>804</v>
      </c>
      <c r="G311" s="24" t="s">
        <v>39</v>
      </c>
      <c r="H311" s="21">
        <v>1</v>
      </c>
      <c r="I311" s="21" t="s">
        <v>252</v>
      </c>
    </row>
    <row r="312" spans="1:9" ht="28.8" hidden="1" x14ac:dyDescent="0.3">
      <c r="A312" s="20">
        <v>46147</v>
      </c>
      <c r="B312" s="21" t="s">
        <v>247</v>
      </c>
      <c r="C312" s="21" t="s">
        <v>264</v>
      </c>
      <c r="D312" s="21">
        <v>3</v>
      </c>
      <c r="E312" s="24" t="s">
        <v>420</v>
      </c>
      <c r="F312" s="18" t="s">
        <v>804</v>
      </c>
      <c r="G312" s="24" t="s">
        <v>744</v>
      </c>
      <c r="H312" s="18">
        <v>1</v>
      </c>
      <c r="I312" s="18" t="s">
        <v>12</v>
      </c>
    </row>
    <row r="313" spans="1:9" hidden="1" x14ac:dyDescent="0.3">
      <c r="A313" s="20">
        <v>46147</v>
      </c>
      <c r="B313" s="21" t="s">
        <v>172</v>
      </c>
      <c r="C313" s="18" t="s">
        <v>76</v>
      </c>
      <c r="D313" s="18">
        <v>1</v>
      </c>
      <c r="E313" s="24" t="s">
        <v>421</v>
      </c>
      <c r="F313" s="18" t="s">
        <v>804</v>
      </c>
      <c r="G313" s="24" t="s">
        <v>694</v>
      </c>
      <c r="H313" s="21">
        <v>1</v>
      </c>
      <c r="I313" s="21" t="s">
        <v>252</v>
      </c>
    </row>
    <row r="314" spans="1:9" hidden="1" x14ac:dyDescent="0.3">
      <c r="A314" s="20">
        <v>46148</v>
      </c>
      <c r="B314" s="21" t="s">
        <v>412</v>
      </c>
      <c r="C314" s="18" t="s">
        <v>10</v>
      </c>
      <c r="D314" s="18">
        <v>0</v>
      </c>
      <c r="E314" s="24" t="s">
        <v>422</v>
      </c>
      <c r="F314" s="18" t="s">
        <v>804</v>
      </c>
      <c r="G314" s="23" t="s">
        <v>147</v>
      </c>
      <c r="H314" s="21">
        <v>1</v>
      </c>
      <c r="I314" s="21" t="s">
        <v>115</v>
      </c>
    </row>
    <row r="315" spans="1:9" ht="28.8" hidden="1" x14ac:dyDescent="0.3">
      <c r="A315" s="20">
        <v>46148</v>
      </c>
      <c r="B315" s="21" t="s">
        <v>408</v>
      </c>
      <c r="C315" s="18" t="s">
        <v>74</v>
      </c>
      <c r="D315" s="21">
        <v>0</v>
      </c>
      <c r="E315" s="24" t="s">
        <v>423</v>
      </c>
      <c r="F315" s="18" t="s">
        <v>804</v>
      </c>
      <c r="G315" s="23" t="s">
        <v>147</v>
      </c>
      <c r="H315" s="18">
        <v>1</v>
      </c>
      <c r="I315" s="18" t="s">
        <v>64</v>
      </c>
    </row>
    <row r="316" spans="1:9" hidden="1" x14ac:dyDescent="0.3">
      <c r="A316" s="20">
        <v>46148</v>
      </c>
      <c r="B316" s="21" t="s">
        <v>408</v>
      </c>
      <c r="C316" s="21" t="s">
        <v>155</v>
      </c>
      <c r="D316" s="21">
        <v>1</v>
      </c>
      <c r="E316" s="22" t="s">
        <v>424</v>
      </c>
      <c r="F316" s="18" t="s">
        <v>804</v>
      </c>
      <c r="G316" s="22" t="s">
        <v>39</v>
      </c>
      <c r="H316" s="18">
        <v>1</v>
      </c>
      <c r="I316" s="18" t="s">
        <v>64</v>
      </c>
    </row>
    <row r="317" spans="1:9" hidden="1" x14ac:dyDescent="0.3">
      <c r="A317" s="20">
        <v>46148</v>
      </c>
      <c r="B317" s="21" t="s">
        <v>408</v>
      </c>
      <c r="C317" s="21" t="s">
        <v>155</v>
      </c>
      <c r="D317" s="21">
        <v>0</v>
      </c>
      <c r="E317" s="24" t="s">
        <v>425</v>
      </c>
      <c r="F317" s="18" t="s">
        <v>804</v>
      </c>
      <c r="G317" s="23" t="s">
        <v>147</v>
      </c>
      <c r="H317" s="18">
        <v>1</v>
      </c>
      <c r="I317" s="18" t="s">
        <v>64</v>
      </c>
    </row>
    <row r="318" spans="1:9" ht="28.8" hidden="1" x14ac:dyDescent="0.3">
      <c r="A318" s="20">
        <v>46148</v>
      </c>
      <c r="B318" s="21" t="s">
        <v>408</v>
      </c>
      <c r="C318" s="21" t="s">
        <v>155</v>
      </c>
      <c r="D318" s="21">
        <v>2</v>
      </c>
      <c r="E318" s="24" t="s">
        <v>426</v>
      </c>
      <c r="F318" s="18" t="s">
        <v>804</v>
      </c>
      <c r="G318" s="24" t="s">
        <v>745</v>
      </c>
      <c r="H318" s="18">
        <v>1</v>
      </c>
      <c r="I318" s="18" t="s">
        <v>64</v>
      </c>
    </row>
    <row r="319" spans="1:9" ht="28.8" hidden="1" x14ac:dyDescent="0.3">
      <c r="A319" s="20">
        <v>46148</v>
      </c>
      <c r="B319" s="21" t="s">
        <v>408</v>
      </c>
      <c r="C319" s="21" t="s">
        <v>155</v>
      </c>
      <c r="D319" s="21">
        <v>2</v>
      </c>
      <c r="E319" s="24" t="s">
        <v>427</v>
      </c>
      <c r="F319" s="18" t="s">
        <v>804</v>
      </c>
      <c r="G319" s="24" t="s">
        <v>727</v>
      </c>
      <c r="H319" s="18">
        <v>1</v>
      </c>
      <c r="I319" s="18" t="s">
        <v>64</v>
      </c>
    </row>
    <row r="320" spans="1:9" ht="28.8" hidden="1" x14ac:dyDescent="0.3">
      <c r="A320" s="20">
        <v>46149</v>
      </c>
      <c r="B320" s="21" t="s">
        <v>412</v>
      </c>
      <c r="C320" s="18" t="s">
        <v>301</v>
      </c>
      <c r="D320" s="21">
        <v>1</v>
      </c>
      <c r="E320" s="24" t="s">
        <v>428</v>
      </c>
      <c r="F320" s="18" t="s">
        <v>804</v>
      </c>
      <c r="G320" s="24" t="s">
        <v>73</v>
      </c>
      <c r="H320" s="21">
        <v>1</v>
      </c>
      <c r="I320" s="21" t="s">
        <v>115</v>
      </c>
    </row>
    <row r="321" spans="1:9" hidden="1" x14ac:dyDescent="0.3">
      <c r="A321" s="20">
        <v>46149</v>
      </c>
      <c r="B321" s="21" t="s">
        <v>172</v>
      </c>
      <c r="C321" s="18" t="s">
        <v>76</v>
      </c>
      <c r="D321" s="18">
        <v>0</v>
      </c>
      <c r="E321" s="24" t="s">
        <v>429</v>
      </c>
      <c r="F321" s="18" t="s">
        <v>804</v>
      </c>
      <c r="G321" s="23" t="s">
        <v>147</v>
      </c>
      <c r="H321" s="21">
        <v>1</v>
      </c>
      <c r="I321" s="21" t="s">
        <v>252</v>
      </c>
    </row>
    <row r="322" spans="1:9" hidden="1" x14ac:dyDescent="0.3">
      <c r="A322" s="20">
        <v>46149</v>
      </c>
      <c r="B322" s="21" t="s">
        <v>254</v>
      </c>
      <c r="C322" s="21" t="s">
        <v>193</v>
      </c>
      <c r="D322" s="21">
        <v>0</v>
      </c>
      <c r="E322" s="24" t="s">
        <v>430</v>
      </c>
      <c r="F322" s="18" t="s">
        <v>804</v>
      </c>
      <c r="G322" s="23" t="s">
        <v>147</v>
      </c>
      <c r="H322" s="18">
        <v>1</v>
      </c>
      <c r="I322" s="18" t="s">
        <v>52</v>
      </c>
    </row>
    <row r="323" spans="1:9" hidden="1" x14ac:dyDescent="0.3">
      <c r="A323" s="20">
        <v>46149</v>
      </c>
      <c r="B323" s="21" t="s">
        <v>408</v>
      </c>
      <c r="C323" s="21" t="s">
        <v>155</v>
      </c>
      <c r="D323" s="21">
        <v>1</v>
      </c>
      <c r="E323" s="24" t="s">
        <v>431</v>
      </c>
      <c r="F323" s="18" t="s">
        <v>804</v>
      </c>
      <c r="G323" s="24" t="s">
        <v>39</v>
      </c>
      <c r="H323" s="18">
        <v>1</v>
      </c>
      <c r="I323" s="18" t="s">
        <v>64</v>
      </c>
    </row>
    <row r="324" spans="1:9" hidden="1" x14ac:dyDescent="0.3">
      <c r="A324" s="20">
        <v>46149</v>
      </c>
      <c r="B324" s="21" t="s">
        <v>408</v>
      </c>
      <c r="C324" s="21" t="s">
        <v>155</v>
      </c>
      <c r="D324" s="21">
        <v>1</v>
      </c>
      <c r="E324" s="24" t="s">
        <v>432</v>
      </c>
      <c r="F324" s="18" t="s">
        <v>804</v>
      </c>
      <c r="G324" s="24" t="s">
        <v>39</v>
      </c>
      <c r="H324" s="18">
        <v>1</v>
      </c>
      <c r="I324" s="18" t="s">
        <v>64</v>
      </c>
    </row>
    <row r="325" spans="1:9" hidden="1" x14ac:dyDescent="0.3">
      <c r="A325" s="20">
        <v>46150</v>
      </c>
      <c r="B325" s="21" t="s">
        <v>254</v>
      </c>
      <c r="C325" s="21" t="s">
        <v>193</v>
      </c>
      <c r="D325" s="21">
        <v>0</v>
      </c>
      <c r="E325" s="24" t="s">
        <v>430</v>
      </c>
      <c r="F325" s="18" t="s">
        <v>804</v>
      </c>
      <c r="G325" s="23" t="s">
        <v>147</v>
      </c>
      <c r="H325" s="18">
        <v>1</v>
      </c>
      <c r="I325" s="18" t="s">
        <v>52</v>
      </c>
    </row>
    <row r="326" spans="1:9" hidden="1" x14ac:dyDescent="0.3">
      <c r="A326" s="20">
        <v>46153</v>
      </c>
      <c r="B326" s="21" t="s">
        <v>408</v>
      </c>
      <c r="C326" s="21" t="s">
        <v>155</v>
      </c>
      <c r="D326" s="21">
        <v>2</v>
      </c>
      <c r="E326" s="24" t="s">
        <v>433</v>
      </c>
      <c r="F326" s="18" t="s">
        <v>804</v>
      </c>
      <c r="G326" s="24" t="s">
        <v>779</v>
      </c>
      <c r="H326" s="18">
        <v>1</v>
      </c>
      <c r="I326" s="18" t="s">
        <v>64</v>
      </c>
    </row>
    <row r="327" spans="1:9" hidden="1" x14ac:dyDescent="0.3">
      <c r="A327" s="20">
        <v>46153</v>
      </c>
      <c r="B327" s="21" t="s">
        <v>408</v>
      </c>
      <c r="C327" s="21" t="s">
        <v>434</v>
      </c>
      <c r="D327" s="21">
        <v>0</v>
      </c>
      <c r="E327" s="24" t="s">
        <v>435</v>
      </c>
      <c r="F327" s="18" t="s">
        <v>804</v>
      </c>
      <c r="G327" s="23" t="s">
        <v>147</v>
      </c>
      <c r="H327" s="18">
        <v>1</v>
      </c>
      <c r="I327" s="18" t="s">
        <v>64</v>
      </c>
    </row>
    <row r="328" spans="1:9" ht="28.8" hidden="1" x14ac:dyDescent="0.3">
      <c r="A328" s="20">
        <v>46153</v>
      </c>
      <c r="B328" s="21" t="s">
        <v>243</v>
      </c>
      <c r="C328" s="21" t="s">
        <v>436</v>
      </c>
      <c r="D328" s="21">
        <v>1</v>
      </c>
      <c r="E328" s="24" t="s">
        <v>437</v>
      </c>
      <c r="F328" s="18" t="s">
        <v>804</v>
      </c>
      <c r="G328" s="24" t="s">
        <v>126</v>
      </c>
      <c r="H328" s="21">
        <v>1</v>
      </c>
      <c r="I328" s="21" t="s">
        <v>115</v>
      </c>
    </row>
    <row r="329" spans="1:9" hidden="1" x14ac:dyDescent="0.3">
      <c r="A329" s="20">
        <v>46154</v>
      </c>
      <c r="B329" s="21" t="s">
        <v>408</v>
      </c>
      <c r="C329" s="21" t="s">
        <v>155</v>
      </c>
      <c r="D329" s="21">
        <v>1</v>
      </c>
      <c r="E329" s="24" t="s">
        <v>438</v>
      </c>
      <c r="F329" s="18" t="s">
        <v>804</v>
      </c>
      <c r="G329" s="24" t="s">
        <v>39</v>
      </c>
      <c r="H329" s="18">
        <v>1</v>
      </c>
      <c r="I329" s="18" t="s">
        <v>64</v>
      </c>
    </row>
    <row r="330" spans="1:9" hidden="1" x14ac:dyDescent="0.3">
      <c r="A330" s="20">
        <v>46154</v>
      </c>
      <c r="B330" s="18" t="s">
        <v>75</v>
      </c>
      <c r="C330" s="21" t="s">
        <v>193</v>
      </c>
      <c r="D330" s="21">
        <v>0</v>
      </c>
      <c r="E330" s="24" t="s">
        <v>430</v>
      </c>
      <c r="F330" s="18" t="s">
        <v>804</v>
      </c>
      <c r="G330" s="23" t="s">
        <v>147</v>
      </c>
      <c r="H330" s="18">
        <v>1</v>
      </c>
      <c r="I330" s="18" t="s">
        <v>52</v>
      </c>
    </row>
    <row r="331" spans="1:9" hidden="1" x14ac:dyDescent="0.3">
      <c r="A331" s="20">
        <v>46154</v>
      </c>
      <c r="B331" s="18" t="s">
        <v>75</v>
      </c>
      <c r="C331" s="21" t="s">
        <v>193</v>
      </c>
      <c r="D331" s="21">
        <v>0</v>
      </c>
      <c r="E331" s="24" t="s">
        <v>430</v>
      </c>
      <c r="F331" s="18" t="s">
        <v>804</v>
      </c>
      <c r="G331" s="23" t="s">
        <v>147</v>
      </c>
      <c r="H331" s="18">
        <v>1</v>
      </c>
      <c r="I331" s="18" t="s">
        <v>52</v>
      </c>
    </row>
    <row r="332" spans="1:9" ht="28.8" hidden="1" x14ac:dyDescent="0.3">
      <c r="A332" s="20">
        <v>46154</v>
      </c>
      <c r="B332" s="21" t="s">
        <v>172</v>
      </c>
      <c r="C332" s="21" t="s">
        <v>116</v>
      </c>
      <c r="D332" s="21">
        <v>2</v>
      </c>
      <c r="E332" s="24" t="s">
        <v>439</v>
      </c>
      <c r="F332" s="18" t="s">
        <v>804</v>
      </c>
      <c r="G332" s="24" t="s">
        <v>680</v>
      </c>
      <c r="H332" s="18">
        <v>1</v>
      </c>
      <c r="I332" s="18" t="s">
        <v>52</v>
      </c>
    </row>
    <row r="333" spans="1:9" ht="43.2" hidden="1" x14ac:dyDescent="0.3">
      <c r="A333" s="20">
        <v>46154</v>
      </c>
      <c r="B333" s="21" t="s">
        <v>412</v>
      </c>
      <c r="C333" s="21" t="s">
        <v>266</v>
      </c>
      <c r="D333" s="21">
        <v>3</v>
      </c>
      <c r="E333" s="24" t="s">
        <v>440</v>
      </c>
      <c r="F333" s="18" t="s">
        <v>804</v>
      </c>
      <c r="G333" s="24" t="s">
        <v>780</v>
      </c>
      <c r="H333" s="21">
        <v>1</v>
      </c>
      <c r="I333" s="21" t="s">
        <v>252</v>
      </c>
    </row>
    <row r="334" spans="1:9" hidden="1" x14ac:dyDescent="0.3">
      <c r="A334" s="20">
        <v>46154</v>
      </c>
      <c r="B334" s="21" t="s">
        <v>412</v>
      </c>
      <c r="C334" s="21" t="s">
        <v>266</v>
      </c>
      <c r="D334" s="21">
        <v>1</v>
      </c>
      <c r="E334" s="24" t="s">
        <v>441</v>
      </c>
      <c r="F334" s="18" t="s">
        <v>804</v>
      </c>
      <c r="G334" s="24" t="s">
        <v>746</v>
      </c>
      <c r="H334" s="21">
        <v>1</v>
      </c>
      <c r="I334" s="21" t="s">
        <v>252</v>
      </c>
    </row>
    <row r="335" spans="1:9" ht="28.8" hidden="1" x14ac:dyDescent="0.3">
      <c r="A335" s="20">
        <v>46154</v>
      </c>
      <c r="B335" s="21" t="s">
        <v>412</v>
      </c>
      <c r="C335" s="21" t="s">
        <v>442</v>
      </c>
      <c r="D335" s="21">
        <v>0</v>
      </c>
      <c r="E335" s="24" t="s">
        <v>443</v>
      </c>
      <c r="F335" s="18" t="s">
        <v>804</v>
      </c>
      <c r="G335" s="23" t="s">
        <v>147</v>
      </c>
      <c r="H335" s="21">
        <v>1</v>
      </c>
      <c r="I335" s="21" t="s">
        <v>252</v>
      </c>
    </row>
    <row r="336" spans="1:9" ht="28.8" hidden="1" x14ac:dyDescent="0.3">
      <c r="A336" s="20">
        <v>46154</v>
      </c>
      <c r="B336" s="21" t="s">
        <v>412</v>
      </c>
      <c r="C336" s="18" t="s">
        <v>301</v>
      </c>
      <c r="D336" s="21">
        <v>1</v>
      </c>
      <c r="E336" s="24" t="s">
        <v>444</v>
      </c>
      <c r="F336" s="18" t="s">
        <v>804</v>
      </c>
      <c r="G336" s="24" t="s">
        <v>679</v>
      </c>
      <c r="H336" s="21">
        <v>1</v>
      </c>
      <c r="I336" s="21" t="s">
        <v>252</v>
      </c>
    </row>
    <row r="337" spans="1:9" hidden="1" x14ac:dyDescent="0.3">
      <c r="A337" s="20">
        <v>46155</v>
      </c>
      <c r="B337" s="21" t="s">
        <v>408</v>
      </c>
      <c r="C337" s="21" t="s">
        <v>155</v>
      </c>
      <c r="D337" s="21">
        <v>1</v>
      </c>
      <c r="E337" s="24" t="s">
        <v>445</v>
      </c>
      <c r="F337" s="18" t="s">
        <v>804</v>
      </c>
      <c r="G337" s="24" t="s">
        <v>39</v>
      </c>
      <c r="H337" s="18">
        <v>1</v>
      </c>
      <c r="I337" s="18" t="s">
        <v>64</v>
      </c>
    </row>
    <row r="338" spans="1:9" hidden="1" x14ac:dyDescent="0.3">
      <c r="A338" s="20">
        <v>46155</v>
      </c>
      <c r="B338" s="18" t="s">
        <v>91</v>
      </c>
      <c r="C338" s="21" t="s">
        <v>221</v>
      </c>
      <c r="D338" s="21">
        <v>2</v>
      </c>
      <c r="E338" s="24" t="s">
        <v>446</v>
      </c>
      <c r="F338" s="18" t="s">
        <v>804</v>
      </c>
      <c r="G338" s="24" t="s">
        <v>756</v>
      </c>
      <c r="H338" s="18">
        <v>1</v>
      </c>
      <c r="I338" s="18" t="s">
        <v>64</v>
      </c>
    </row>
    <row r="339" spans="1:9" hidden="1" x14ac:dyDescent="0.3">
      <c r="A339" s="20">
        <v>46155</v>
      </c>
      <c r="B339" s="18" t="s">
        <v>91</v>
      </c>
      <c r="C339" s="21" t="s">
        <v>215</v>
      </c>
      <c r="D339" s="21">
        <v>1</v>
      </c>
      <c r="E339" s="24" t="s">
        <v>447</v>
      </c>
      <c r="F339" s="18" t="s">
        <v>804</v>
      </c>
      <c r="G339" s="24" t="s">
        <v>31</v>
      </c>
      <c r="H339" s="18">
        <v>1</v>
      </c>
      <c r="I339" s="18" t="s">
        <v>64</v>
      </c>
    </row>
    <row r="340" spans="1:9" hidden="1" x14ac:dyDescent="0.3">
      <c r="A340" s="20">
        <v>46155</v>
      </c>
      <c r="B340" s="21" t="s">
        <v>408</v>
      </c>
      <c r="C340" s="21" t="s">
        <v>155</v>
      </c>
      <c r="D340" s="21">
        <v>0</v>
      </c>
      <c r="E340" s="24" t="s">
        <v>448</v>
      </c>
      <c r="F340" s="18" t="s">
        <v>804</v>
      </c>
      <c r="G340" s="23" t="s">
        <v>147</v>
      </c>
      <c r="H340" s="18">
        <v>1</v>
      </c>
      <c r="I340" s="18" t="s">
        <v>64</v>
      </c>
    </row>
    <row r="341" spans="1:9" ht="28.8" hidden="1" x14ac:dyDescent="0.3">
      <c r="A341" s="20">
        <v>46155</v>
      </c>
      <c r="B341" s="21" t="s">
        <v>408</v>
      </c>
      <c r="C341" s="21" t="s">
        <v>155</v>
      </c>
      <c r="D341" s="21">
        <v>2</v>
      </c>
      <c r="E341" s="24" t="s">
        <v>449</v>
      </c>
      <c r="F341" s="18" t="s">
        <v>804</v>
      </c>
      <c r="G341" s="24" t="s">
        <v>747</v>
      </c>
      <c r="H341" s="18">
        <v>1</v>
      </c>
      <c r="I341" s="18" t="s">
        <v>64</v>
      </c>
    </row>
    <row r="342" spans="1:9" hidden="1" x14ac:dyDescent="0.3">
      <c r="A342" s="20">
        <v>46155</v>
      </c>
      <c r="B342" s="18" t="s">
        <v>91</v>
      </c>
      <c r="C342" s="21" t="s">
        <v>200</v>
      </c>
      <c r="D342" s="21">
        <v>2</v>
      </c>
      <c r="E342" s="24" t="s">
        <v>450</v>
      </c>
      <c r="F342" s="18" t="s">
        <v>804</v>
      </c>
      <c r="G342" s="24" t="s">
        <v>748</v>
      </c>
      <c r="H342" s="18">
        <v>1</v>
      </c>
      <c r="I342" s="18" t="s">
        <v>64</v>
      </c>
    </row>
    <row r="343" spans="1:9" hidden="1" x14ac:dyDescent="0.3">
      <c r="A343" s="20">
        <v>46156</v>
      </c>
      <c r="B343" s="18" t="s">
        <v>91</v>
      </c>
      <c r="C343" s="21" t="s">
        <v>155</v>
      </c>
      <c r="D343" s="21">
        <v>0</v>
      </c>
      <c r="E343" s="24" t="s">
        <v>451</v>
      </c>
      <c r="F343" s="18" t="s">
        <v>804</v>
      </c>
      <c r="G343" s="23" t="s">
        <v>147</v>
      </c>
      <c r="H343" s="18">
        <v>1</v>
      </c>
      <c r="I343" s="18" t="s">
        <v>64</v>
      </c>
    </row>
    <row r="344" spans="1:9" ht="28.8" hidden="1" x14ac:dyDescent="0.3">
      <c r="A344" s="20">
        <v>46156</v>
      </c>
      <c r="B344" s="18" t="s">
        <v>75</v>
      </c>
      <c r="C344" s="21" t="s">
        <v>193</v>
      </c>
      <c r="D344" s="21">
        <v>2</v>
      </c>
      <c r="E344" s="24" t="s">
        <v>452</v>
      </c>
      <c r="F344" s="18" t="s">
        <v>804</v>
      </c>
      <c r="G344" s="24" t="s">
        <v>680</v>
      </c>
      <c r="H344" s="18">
        <v>1</v>
      </c>
      <c r="I344" s="18" t="s">
        <v>52</v>
      </c>
    </row>
    <row r="345" spans="1:9" hidden="1" x14ac:dyDescent="0.3">
      <c r="A345" s="20">
        <v>46157</v>
      </c>
      <c r="B345" s="18" t="s">
        <v>91</v>
      </c>
      <c r="C345" s="21" t="s">
        <v>155</v>
      </c>
      <c r="D345" s="21">
        <v>1</v>
      </c>
      <c r="E345" s="24" t="s">
        <v>453</v>
      </c>
      <c r="F345" s="18" t="s">
        <v>804</v>
      </c>
      <c r="G345" s="24" t="s">
        <v>694</v>
      </c>
      <c r="H345" s="18">
        <v>1</v>
      </c>
      <c r="I345" s="18" t="s">
        <v>64</v>
      </c>
    </row>
    <row r="346" spans="1:9" hidden="1" x14ac:dyDescent="0.3">
      <c r="A346" s="20">
        <v>46157</v>
      </c>
      <c r="B346" s="18" t="s">
        <v>91</v>
      </c>
      <c r="C346" s="21" t="s">
        <v>155</v>
      </c>
      <c r="D346" s="21">
        <v>0</v>
      </c>
      <c r="E346" s="24" t="s">
        <v>454</v>
      </c>
      <c r="F346" s="18" t="s">
        <v>804</v>
      </c>
      <c r="G346" s="23" t="s">
        <v>147</v>
      </c>
      <c r="H346" s="18">
        <v>1</v>
      </c>
      <c r="I346" s="18" t="s">
        <v>64</v>
      </c>
    </row>
    <row r="347" spans="1:9" hidden="1" x14ac:dyDescent="0.3">
      <c r="A347" s="28">
        <v>46157</v>
      </c>
      <c r="B347" s="18" t="s">
        <v>91</v>
      </c>
      <c r="C347" s="21" t="s">
        <v>455</v>
      </c>
      <c r="D347" s="21">
        <v>2</v>
      </c>
      <c r="E347" s="24" t="s">
        <v>456</v>
      </c>
      <c r="F347" s="18" t="s">
        <v>804</v>
      </c>
      <c r="G347" s="24" t="s">
        <v>749</v>
      </c>
      <c r="H347" s="18">
        <v>1</v>
      </c>
      <c r="I347" s="18" t="s">
        <v>64</v>
      </c>
    </row>
    <row r="348" spans="1:9" hidden="1" x14ac:dyDescent="0.3">
      <c r="A348" s="20">
        <v>46157</v>
      </c>
      <c r="B348" s="21" t="s">
        <v>408</v>
      </c>
      <c r="C348" s="21" t="s">
        <v>155</v>
      </c>
      <c r="D348" s="21">
        <v>1</v>
      </c>
      <c r="E348" s="24" t="s">
        <v>457</v>
      </c>
      <c r="F348" s="18" t="s">
        <v>804</v>
      </c>
      <c r="G348" s="24" t="s">
        <v>750</v>
      </c>
      <c r="H348" s="18">
        <v>1</v>
      </c>
      <c r="I348" s="18" t="s">
        <v>64</v>
      </c>
    </row>
    <row r="349" spans="1:9" hidden="1" x14ac:dyDescent="0.3">
      <c r="A349" s="20">
        <v>46160</v>
      </c>
      <c r="B349" s="18" t="s">
        <v>91</v>
      </c>
      <c r="C349" s="18" t="s">
        <v>10</v>
      </c>
      <c r="D349" s="18">
        <v>1</v>
      </c>
      <c r="E349" s="24" t="s">
        <v>458</v>
      </c>
      <c r="F349" s="18" t="s">
        <v>804</v>
      </c>
      <c r="G349" s="24" t="s">
        <v>679</v>
      </c>
      <c r="H349" s="18">
        <v>1</v>
      </c>
      <c r="I349" s="18" t="s">
        <v>64</v>
      </c>
    </row>
    <row r="350" spans="1:9" ht="28.8" hidden="1" x14ac:dyDescent="0.3">
      <c r="A350" s="20">
        <v>46160</v>
      </c>
      <c r="B350" s="18" t="s">
        <v>91</v>
      </c>
      <c r="C350" s="18" t="s">
        <v>155</v>
      </c>
      <c r="D350" s="18">
        <v>1</v>
      </c>
      <c r="E350" s="24" t="s">
        <v>459</v>
      </c>
      <c r="F350" s="18" t="s">
        <v>804</v>
      </c>
      <c r="G350" s="24" t="s">
        <v>713</v>
      </c>
      <c r="H350" s="18">
        <v>1</v>
      </c>
      <c r="I350" s="18" t="s">
        <v>64</v>
      </c>
    </row>
    <row r="351" spans="1:9" ht="28.8" hidden="1" x14ac:dyDescent="0.3">
      <c r="A351" s="20">
        <v>46160</v>
      </c>
      <c r="B351" s="18" t="s">
        <v>91</v>
      </c>
      <c r="C351" s="18" t="s">
        <v>179</v>
      </c>
      <c r="D351" s="18">
        <v>1</v>
      </c>
      <c r="E351" s="24" t="s">
        <v>460</v>
      </c>
      <c r="F351" s="18" t="s">
        <v>804</v>
      </c>
      <c r="G351" s="24" t="s">
        <v>713</v>
      </c>
      <c r="H351" s="18">
        <v>1</v>
      </c>
      <c r="I351" s="18" t="s">
        <v>64</v>
      </c>
    </row>
    <row r="352" spans="1:9" ht="28.8" hidden="1" x14ac:dyDescent="0.3">
      <c r="A352" s="20">
        <v>46160</v>
      </c>
      <c r="B352" s="18" t="s">
        <v>75</v>
      </c>
      <c r="C352" s="18" t="s">
        <v>193</v>
      </c>
      <c r="D352" s="18">
        <v>2</v>
      </c>
      <c r="E352" s="24" t="s">
        <v>461</v>
      </c>
      <c r="F352" s="18" t="s">
        <v>804</v>
      </c>
      <c r="G352" s="24" t="s">
        <v>751</v>
      </c>
      <c r="H352" s="18">
        <v>1</v>
      </c>
      <c r="I352" s="18" t="s">
        <v>52</v>
      </c>
    </row>
    <row r="353" spans="1:9" ht="28.8" hidden="1" x14ac:dyDescent="0.3">
      <c r="A353" s="20">
        <v>46160</v>
      </c>
      <c r="B353" s="18" t="s">
        <v>412</v>
      </c>
      <c r="C353" s="18" t="s">
        <v>155</v>
      </c>
      <c r="D353" s="18">
        <v>1</v>
      </c>
      <c r="E353" s="24" t="s">
        <v>462</v>
      </c>
      <c r="F353" s="18" t="s">
        <v>804</v>
      </c>
      <c r="G353" s="24" t="s">
        <v>713</v>
      </c>
      <c r="H353" s="18">
        <v>1</v>
      </c>
      <c r="I353" s="18" t="s">
        <v>252</v>
      </c>
    </row>
    <row r="354" spans="1:9" ht="57.6" hidden="1" x14ac:dyDescent="0.3">
      <c r="A354" s="20">
        <v>46160</v>
      </c>
      <c r="B354" s="18" t="s">
        <v>463</v>
      </c>
      <c r="C354" s="18" t="s">
        <v>155</v>
      </c>
      <c r="D354" s="18">
        <v>2</v>
      </c>
      <c r="E354" s="24" t="s">
        <v>464</v>
      </c>
      <c r="F354" s="18" t="s">
        <v>804</v>
      </c>
      <c r="G354" s="24" t="s">
        <v>781</v>
      </c>
      <c r="H354" s="18">
        <v>1</v>
      </c>
      <c r="I354" s="18" t="s">
        <v>64</v>
      </c>
    </row>
    <row r="355" spans="1:9" ht="28.8" hidden="1" x14ac:dyDescent="0.3">
      <c r="A355" s="20">
        <v>46160</v>
      </c>
      <c r="B355" s="18" t="s">
        <v>408</v>
      </c>
      <c r="C355" s="18" t="s">
        <v>10</v>
      </c>
      <c r="D355" s="18">
        <v>2</v>
      </c>
      <c r="E355" s="24" t="s">
        <v>465</v>
      </c>
      <c r="F355" s="18" t="s">
        <v>804</v>
      </c>
      <c r="G355" s="24" t="s">
        <v>782</v>
      </c>
      <c r="H355" s="18">
        <v>1</v>
      </c>
      <c r="I355" s="18" t="s">
        <v>64</v>
      </c>
    </row>
    <row r="356" spans="1:9" ht="28.8" hidden="1" x14ac:dyDescent="0.3">
      <c r="A356" s="20">
        <v>46160</v>
      </c>
      <c r="B356" s="18" t="s">
        <v>91</v>
      </c>
      <c r="C356" s="18" t="s">
        <v>455</v>
      </c>
      <c r="D356" s="18">
        <v>1</v>
      </c>
      <c r="E356" s="24" t="s">
        <v>466</v>
      </c>
      <c r="F356" s="18" t="s">
        <v>804</v>
      </c>
      <c r="G356" s="24" t="s">
        <v>694</v>
      </c>
      <c r="H356" s="18">
        <v>1</v>
      </c>
      <c r="I356" s="18" t="s">
        <v>64</v>
      </c>
    </row>
    <row r="357" spans="1:9" ht="28.8" hidden="1" x14ac:dyDescent="0.3">
      <c r="A357" s="20">
        <v>46161</v>
      </c>
      <c r="B357" s="18" t="s">
        <v>408</v>
      </c>
      <c r="C357" s="18" t="s">
        <v>155</v>
      </c>
      <c r="D357" s="18">
        <v>1</v>
      </c>
      <c r="E357" s="24" t="s">
        <v>467</v>
      </c>
      <c r="F357" s="18" t="s">
        <v>804</v>
      </c>
      <c r="G357" s="24" t="s">
        <v>683</v>
      </c>
      <c r="H357" s="18">
        <v>1</v>
      </c>
      <c r="I357" s="18" t="s">
        <v>52</v>
      </c>
    </row>
    <row r="358" spans="1:9" hidden="1" x14ac:dyDescent="0.3">
      <c r="A358" s="20">
        <v>46161</v>
      </c>
      <c r="B358" s="18" t="s">
        <v>172</v>
      </c>
      <c r="C358" s="18" t="s">
        <v>76</v>
      </c>
      <c r="D358" s="18">
        <v>1</v>
      </c>
      <c r="E358" s="24" t="s">
        <v>468</v>
      </c>
      <c r="F358" s="18" t="s">
        <v>804</v>
      </c>
      <c r="G358" s="24" t="s">
        <v>694</v>
      </c>
      <c r="H358" s="18">
        <v>1</v>
      </c>
      <c r="I358" s="18" t="s">
        <v>52</v>
      </c>
    </row>
    <row r="359" spans="1:9" ht="28.8" hidden="1" x14ac:dyDescent="0.3">
      <c r="A359" s="20">
        <v>46161</v>
      </c>
      <c r="B359" s="18" t="s">
        <v>408</v>
      </c>
      <c r="C359" s="18" t="s">
        <v>155</v>
      </c>
      <c r="D359" s="18">
        <v>1</v>
      </c>
      <c r="E359" s="24" t="s">
        <v>469</v>
      </c>
      <c r="F359" s="18" t="s">
        <v>804</v>
      </c>
      <c r="G359" s="24" t="s">
        <v>694</v>
      </c>
      <c r="H359" s="18">
        <v>1</v>
      </c>
      <c r="I359" s="18" t="s">
        <v>64</v>
      </c>
    </row>
    <row r="360" spans="1:9" ht="28.8" hidden="1" x14ac:dyDescent="0.3">
      <c r="A360" s="20">
        <v>46161</v>
      </c>
      <c r="B360" s="18" t="s">
        <v>172</v>
      </c>
      <c r="C360" s="21" t="s">
        <v>215</v>
      </c>
      <c r="D360" s="18">
        <v>2</v>
      </c>
      <c r="E360" s="24" t="s">
        <v>470</v>
      </c>
      <c r="F360" s="18" t="s">
        <v>804</v>
      </c>
      <c r="G360" s="24" t="s">
        <v>752</v>
      </c>
      <c r="H360" s="18">
        <v>1</v>
      </c>
      <c r="I360" s="18" t="s">
        <v>115</v>
      </c>
    </row>
    <row r="361" spans="1:9" ht="28.8" hidden="1" x14ac:dyDescent="0.3">
      <c r="A361" s="20">
        <v>46162</v>
      </c>
      <c r="B361" s="18" t="s">
        <v>408</v>
      </c>
      <c r="C361" s="18" t="s">
        <v>10</v>
      </c>
      <c r="D361" s="18">
        <v>2</v>
      </c>
      <c r="E361" s="24" t="s">
        <v>471</v>
      </c>
      <c r="F361" s="18" t="s">
        <v>804</v>
      </c>
      <c r="G361" s="24" t="s">
        <v>680</v>
      </c>
      <c r="H361" s="18">
        <v>1</v>
      </c>
      <c r="I361" s="18" t="s">
        <v>64</v>
      </c>
    </row>
    <row r="362" spans="1:9" ht="28.8" hidden="1" x14ac:dyDescent="0.3">
      <c r="A362" s="20">
        <v>46162</v>
      </c>
      <c r="B362" s="18" t="s">
        <v>408</v>
      </c>
      <c r="C362" s="18" t="s">
        <v>455</v>
      </c>
      <c r="D362" s="18">
        <v>2</v>
      </c>
      <c r="E362" s="24" t="s">
        <v>472</v>
      </c>
      <c r="F362" s="18" t="s">
        <v>804</v>
      </c>
      <c r="G362" s="24" t="s">
        <v>678</v>
      </c>
      <c r="H362" s="18">
        <v>1</v>
      </c>
      <c r="I362" s="18" t="s">
        <v>64</v>
      </c>
    </row>
    <row r="363" spans="1:9" ht="28.8" hidden="1" x14ac:dyDescent="0.3">
      <c r="A363" s="20">
        <v>46162</v>
      </c>
      <c r="B363" s="18" t="s">
        <v>91</v>
      </c>
      <c r="C363" s="18" t="s">
        <v>455</v>
      </c>
      <c r="D363" s="18">
        <v>1</v>
      </c>
      <c r="E363" s="24" t="s">
        <v>473</v>
      </c>
      <c r="F363" s="18" t="s">
        <v>804</v>
      </c>
      <c r="G363" s="24" t="s">
        <v>679</v>
      </c>
      <c r="H363" s="18">
        <v>1</v>
      </c>
      <c r="I363" s="18" t="s">
        <v>240</v>
      </c>
    </row>
    <row r="364" spans="1:9" hidden="1" x14ac:dyDescent="0.3">
      <c r="A364" s="20">
        <v>46162</v>
      </c>
      <c r="B364" s="18" t="s">
        <v>172</v>
      </c>
      <c r="C364" s="18" t="s">
        <v>76</v>
      </c>
      <c r="D364" s="18">
        <v>1</v>
      </c>
      <c r="E364" s="24" t="s">
        <v>474</v>
      </c>
      <c r="F364" s="18" t="s">
        <v>804</v>
      </c>
      <c r="G364" s="24" t="s">
        <v>694</v>
      </c>
      <c r="H364" s="18">
        <v>1</v>
      </c>
      <c r="I364" s="18" t="s">
        <v>52</v>
      </c>
    </row>
    <row r="365" spans="1:9" ht="43.2" hidden="1" x14ac:dyDescent="0.3">
      <c r="A365" s="20">
        <v>46162</v>
      </c>
      <c r="B365" s="18" t="s">
        <v>91</v>
      </c>
      <c r="C365" s="21" t="s">
        <v>200</v>
      </c>
      <c r="D365" s="18">
        <v>4</v>
      </c>
      <c r="E365" s="24" t="s">
        <v>475</v>
      </c>
      <c r="F365" s="18" t="s">
        <v>804</v>
      </c>
      <c r="G365" s="24" t="s">
        <v>783</v>
      </c>
      <c r="H365" s="18">
        <v>1</v>
      </c>
      <c r="I365" s="18" t="s">
        <v>64</v>
      </c>
    </row>
    <row r="366" spans="1:9" ht="28.8" hidden="1" x14ac:dyDescent="0.3">
      <c r="A366" s="20">
        <v>46162</v>
      </c>
      <c r="B366" s="18" t="s">
        <v>412</v>
      </c>
      <c r="C366" s="18" t="s">
        <v>311</v>
      </c>
      <c r="D366" s="18">
        <v>1</v>
      </c>
      <c r="E366" s="24" t="s">
        <v>476</v>
      </c>
      <c r="F366" s="18" t="s">
        <v>804</v>
      </c>
      <c r="G366" s="24" t="s">
        <v>73</v>
      </c>
      <c r="H366" s="18">
        <v>1</v>
      </c>
      <c r="I366" s="18" t="s">
        <v>252</v>
      </c>
    </row>
    <row r="367" spans="1:9" ht="28.8" hidden="1" x14ac:dyDescent="0.3">
      <c r="A367" s="20">
        <v>46163</v>
      </c>
      <c r="B367" s="18" t="s">
        <v>408</v>
      </c>
      <c r="C367" s="18" t="s">
        <v>10</v>
      </c>
      <c r="D367" s="18">
        <v>2</v>
      </c>
      <c r="E367" s="24" t="s">
        <v>477</v>
      </c>
      <c r="F367" s="18" t="s">
        <v>804</v>
      </c>
      <c r="G367" s="24" t="s">
        <v>784</v>
      </c>
      <c r="H367" s="18">
        <v>1</v>
      </c>
      <c r="I367" s="18" t="s">
        <v>64</v>
      </c>
    </row>
    <row r="368" spans="1:9" ht="28.8" hidden="1" x14ac:dyDescent="0.3">
      <c r="A368" s="20">
        <v>46163</v>
      </c>
      <c r="B368" s="18" t="s">
        <v>91</v>
      </c>
      <c r="C368" s="21" t="s">
        <v>116</v>
      </c>
      <c r="D368" s="18">
        <v>2</v>
      </c>
      <c r="E368" s="24" t="s">
        <v>478</v>
      </c>
      <c r="F368" s="18" t="s">
        <v>804</v>
      </c>
      <c r="G368" s="24" t="s">
        <v>785</v>
      </c>
      <c r="H368" s="18">
        <v>1</v>
      </c>
      <c r="I368" s="18" t="s">
        <v>64</v>
      </c>
    </row>
    <row r="369" spans="1:9" hidden="1" x14ac:dyDescent="0.3">
      <c r="A369" s="20">
        <v>46163</v>
      </c>
      <c r="B369" s="21" t="s">
        <v>91</v>
      </c>
      <c r="C369" s="21" t="s">
        <v>193</v>
      </c>
      <c r="D369" s="21">
        <v>1</v>
      </c>
      <c r="E369" s="24" t="s">
        <v>479</v>
      </c>
      <c r="F369" s="18" t="s">
        <v>804</v>
      </c>
      <c r="G369" s="24" t="s">
        <v>384</v>
      </c>
      <c r="H369" s="21">
        <v>1</v>
      </c>
      <c r="I369" s="21" t="s">
        <v>64</v>
      </c>
    </row>
    <row r="370" spans="1:9" ht="28.8" hidden="1" x14ac:dyDescent="0.3">
      <c r="A370" s="20">
        <v>46163</v>
      </c>
      <c r="B370" s="18" t="s">
        <v>91</v>
      </c>
      <c r="C370" s="18" t="s">
        <v>179</v>
      </c>
      <c r="D370" s="18">
        <v>1</v>
      </c>
      <c r="E370" s="24" t="s">
        <v>480</v>
      </c>
      <c r="F370" s="18" t="s">
        <v>804</v>
      </c>
      <c r="G370" s="24" t="s">
        <v>481</v>
      </c>
      <c r="H370" s="18">
        <v>1</v>
      </c>
      <c r="I370" s="18" t="s">
        <v>240</v>
      </c>
    </row>
    <row r="371" spans="1:9" hidden="1" x14ac:dyDescent="0.3">
      <c r="A371" s="20">
        <v>46164</v>
      </c>
      <c r="B371" s="18" t="s">
        <v>172</v>
      </c>
      <c r="C371" s="18" t="s">
        <v>193</v>
      </c>
      <c r="D371" s="18">
        <v>0</v>
      </c>
      <c r="E371" s="24" t="s">
        <v>482</v>
      </c>
      <c r="F371" s="18" t="s">
        <v>804</v>
      </c>
      <c r="G371" s="23" t="s">
        <v>147</v>
      </c>
      <c r="H371" s="18">
        <v>1</v>
      </c>
      <c r="I371" s="18" t="s">
        <v>52</v>
      </c>
    </row>
    <row r="372" spans="1:9" ht="43.2" hidden="1" x14ac:dyDescent="0.3">
      <c r="A372" s="20">
        <v>46164</v>
      </c>
      <c r="B372" s="18" t="s">
        <v>408</v>
      </c>
      <c r="C372" s="21" t="s">
        <v>137</v>
      </c>
      <c r="D372" s="18">
        <v>4</v>
      </c>
      <c r="E372" s="24" t="s">
        <v>483</v>
      </c>
      <c r="F372" s="18" t="s">
        <v>804</v>
      </c>
      <c r="G372" s="24" t="s">
        <v>712</v>
      </c>
      <c r="H372" s="18">
        <v>1</v>
      </c>
      <c r="I372" s="18" t="s">
        <v>64</v>
      </c>
    </row>
    <row r="373" spans="1:9" hidden="1" x14ac:dyDescent="0.3">
      <c r="A373" s="20">
        <v>46164</v>
      </c>
      <c r="B373" s="18" t="s">
        <v>172</v>
      </c>
      <c r="C373" s="21" t="s">
        <v>205</v>
      </c>
      <c r="D373" s="18">
        <v>0</v>
      </c>
      <c r="E373" s="24" t="s">
        <v>484</v>
      </c>
      <c r="F373" s="18" t="s">
        <v>804</v>
      </c>
      <c r="G373" s="23" t="s">
        <v>147</v>
      </c>
      <c r="H373" s="18">
        <v>1</v>
      </c>
      <c r="I373" s="18" t="s">
        <v>52</v>
      </c>
    </row>
    <row r="374" spans="1:9" hidden="1" x14ac:dyDescent="0.3">
      <c r="A374" s="20">
        <v>46164</v>
      </c>
      <c r="B374" s="18" t="s">
        <v>408</v>
      </c>
      <c r="C374" s="21" t="s">
        <v>137</v>
      </c>
      <c r="D374" s="18">
        <v>2</v>
      </c>
      <c r="E374" s="24" t="s">
        <v>485</v>
      </c>
      <c r="F374" s="18" t="s">
        <v>804</v>
      </c>
      <c r="G374" s="24" t="s">
        <v>749</v>
      </c>
      <c r="H374" s="18">
        <v>1</v>
      </c>
      <c r="I374" s="18" t="s">
        <v>64</v>
      </c>
    </row>
    <row r="375" spans="1:9" ht="28.8" hidden="1" x14ac:dyDescent="0.3">
      <c r="A375" s="20">
        <v>46164</v>
      </c>
      <c r="B375" s="18" t="s">
        <v>408</v>
      </c>
      <c r="C375" s="21" t="s">
        <v>200</v>
      </c>
      <c r="D375" s="18">
        <v>0</v>
      </c>
      <c r="E375" s="24" t="s">
        <v>486</v>
      </c>
      <c r="F375" s="18" t="s">
        <v>804</v>
      </c>
      <c r="G375" s="23" t="s">
        <v>147</v>
      </c>
      <c r="H375" s="18">
        <v>1</v>
      </c>
      <c r="I375" s="18" t="s">
        <v>64</v>
      </c>
    </row>
    <row r="376" spans="1:9" hidden="1" x14ac:dyDescent="0.3">
      <c r="A376" s="20">
        <v>46164</v>
      </c>
      <c r="B376" s="18" t="s">
        <v>91</v>
      </c>
      <c r="C376" s="21" t="s">
        <v>200</v>
      </c>
      <c r="D376" s="18">
        <v>1</v>
      </c>
      <c r="E376" s="24" t="s">
        <v>487</v>
      </c>
      <c r="F376" s="18" t="s">
        <v>804</v>
      </c>
      <c r="G376" s="24" t="s">
        <v>711</v>
      </c>
      <c r="H376" s="18">
        <v>1</v>
      </c>
      <c r="I376" s="18" t="s">
        <v>64</v>
      </c>
    </row>
    <row r="377" spans="1:9" ht="28.8" hidden="1" x14ac:dyDescent="0.3">
      <c r="A377" s="20">
        <v>46164</v>
      </c>
      <c r="B377" s="18" t="s">
        <v>412</v>
      </c>
      <c r="C377" s="18" t="s">
        <v>311</v>
      </c>
      <c r="D377" s="18">
        <v>1</v>
      </c>
      <c r="E377" s="24" t="s">
        <v>488</v>
      </c>
      <c r="F377" s="18" t="s">
        <v>804</v>
      </c>
      <c r="G377" s="24" t="s">
        <v>753</v>
      </c>
      <c r="H377" s="18">
        <v>1</v>
      </c>
      <c r="I377" s="18" t="s">
        <v>252</v>
      </c>
    </row>
    <row r="378" spans="1:9" hidden="1" x14ac:dyDescent="0.3">
      <c r="A378" s="20">
        <v>46167</v>
      </c>
      <c r="B378" s="18" t="s">
        <v>172</v>
      </c>
      <c r="C378" s="21" t="s">
        <v>205</v>
      </c>
      <c r="D378" s="18">
        <v>2</v>
      </c>
      <c r="E378" s="24" t="s">
        <v>489</v>
      </c>
      <c r="F378" s="18" t="s">
        <v>804</v>
      </c>
      <c r="G378" s="24" t="s">
        <v>710</v>
      </c>
      <c r="H378" s="18">
        <v>1</v>
      </c>
      <c r="I378" s="18" t="s">
        <v>52</v>
      </c>
    </row>
    <row r="379" spans="1:9" hidden="1" x14ac:dyDescent="0.3">
      <c r="A379" s="20">
        <v>46167</v>
      </c>
      <c r="B379" s="18" t="s">
        <v>172</v>
      </c>
      <c r="C379" s="21" t="s">
        <v>205</v>
      </c>
      <c r="D379" s="18">
        <v>1</v>
      </c>
      <c r="E379" s="24" t="s">
        <v>490</v>
      </c>
      <c r="F379" s="18" t="s">
        <v>804</v>
      </c>
      <c r="G379" s="24" t="s">
        <v>384</v>
      </c>
      <c r="H379" s="18">
        <v>1</v>
      </c>
      <c r="I379" s="18" t="s">
        <v>52</v>
      </c>
    </row>
    <row r="380" spans="1:9" ht="28.8" hidden="1" x14ac:dyDescent="0.3">
      <c r="A380" s="20">
        <v>46167</v>
      </c>
      <c r="B380" s="18" t="s">
        <v>172</v>
      </c>
      <c r="C380" s="18" t="s">
        <v>193</v>
      </c>
      <c r="D380" s="18">
        <v>0</v>
      </c>
      <c r="E380" s="24" t="s">
        <v>491</v>
      </c>
      <c r="F380" s="18" t="s">
        <v>804</v>
      </c>
      <c r="G380" s="23" t="s">
        <v>147</v>
      </c>
      <c r="H380" s="18">
        <v>1</v>
      </c>
      <c r="I380" s="18" t="s">
        <v>52</v>
      </c>
    </row>
    <row r="381" spans="1:9" ht="28.8" hidden="1" x14ac:dyDescent="0.3">
      <c r="A381" s="20">
        <v>46167</v>
      </c>
      <c r="B381" s="18" t="s">
        <v>412</v>
      </c>
      <c r="C381" s="21" t="s">
        <v>266</v>
      </c>
      <c r="D381" s="18">
        <v>1</v>
      </c>
      <c r="E381" s="24" t="s">
        <v>492</v>
      </c>
      <c r="F381" s="18" t="s">
        <v>804</v>
      </c>
      <c r="G381" s="24" t="s">
        <v>746</v>
      </c>
      <c r="H381" s="18">
        <v>1</v>
      </c>
      <c r="I381" s="18" t="s">
        <v>252</v>
      </c>
    </row>
    <row r="382" spans="1:9" ht="28.8" hidden="1" x14ac:dyDescent="0.3">
      <c r="A382" s="20">
        <v>46169</v>
      </c>
      <c r="B382" s="18" t="s">
        <v>408</v>
      </c>
      <c r="C382" s="21" t="s">
        <v>261</v>
      </c>
      <c r="D382" s="18">
        <v>1</v>
      </c>
      <c r="E382" s="24" t="s">
        <v>493</v>
      </c>
      <c r="F382" s="18" t="s">
        <v>804</v>
      </c>
      <c r="G382" s="24" t="s">
        <v>754</v>
      </c>
      <c r="H382" s="18">
        <v>1</v>
      </c>
      <c r="I382" s="18" t="s">
        <v>64</v>
      </c>
    </row>
    <row r="383" spans="1:9" ht="28.8" hidden="1" x14ac:dyDescent="0.3">
      <c r="A383" s="20">
        <v>46168</v>
      </c>
      <c r="B383" s="18" t="s">
        <v>412</v>
      </c>
      <c r="C383" s="18" t="s">
        <v>442</v>
      </c>
      <c r="D383" s="18">
        <v>3</v>
      </c>
      <c r="E383" s="24" t="s">
        <v>494</v>
      </c>
      <c r="F383" s="18" t="s">
        <v>804</v>
      </c>
      <c r="G383" s="24" t="s">
        <v>755</v>
      </c>
      <c r="H383" s="18">
        <v>1</v>
      </c>
      <c r="I383" s="18" t="s">
        <v>252</v>
      </c>
    </row>
    <row r="384" spans="1:9" ht="28.8" hidden="1" x14ac:dyDescent="0.3">
      <c r="A384" s="20">
        <v>46168</v>
      </c>
      <c r="B384" s="18" t="s">
        <v>172</v>
      </c>
      <c r="C384" s="21" t="s">
        <v>205</v>
      </c>
      <c r="D384" s="18">
        <v>0</v>
      </c>
      <c r="E384" s="24" t="s">
        <v>495</v>
      </c>
      <c r="F384" s="18" t="s">
        <v>804</v>
      </c>
      <c r="G384" s="23" t="s">
        <v>147</v>
      </c>
      <c r="H384" s="18">
        <v>1</v>
      </c>
      <c r="I384" s="18" t="s">
        <v>52</v>
      </c>
    </row>
    <row r="385" spans="1:9" ht="28.8" hidden="1" x14ac:dyDescent="0.3">
      <c r="A385" s="20">
        <v>46168</v>
      </c>
      <c r="B385" s="18" t="s">
        <v>172</v>
      </c>
      <c r="C385" s="18" t="s">
        <v>193</v>
      </c>
      <c r="D385" s="18">
        <v>0</v>
      </c>
      <c r="E385" s="24" t="s">
        <v>496</v>
      </c>
      <c r="F385" s="18" t="s">
        <v>804</v>
      </c>
      <c r="G385" s="23" t="s">
        <v>147</v>
      </c>
      <c r="H385" s="18">
        <v>1</v>
      </c>
      <c r="I385" s="18" t="s">
        <v>52</v>
      </c>
    </row>
    <row r="386" spans="1:9" ht="28.8" hidden="1" x14ac:dyDescent="0.3">
      <c r="A386" s="20">
        <v>46168</v>
      </c>
      <c r="B386" s="18" t="s">
        <v>408</v>
      </c>
      <c r="C386" s="18" t="s">
        <v>74</v>
      </c>
      <c r="D386" s="18">
        <v>1</v>
      </c>
      <c r="E386" s="24" t="s">
        <v>497</v>
      </c>
      <c r="F386" s="18" t="s">
        <v>804</v>
      </c>
      <c r="G386" s="24" t="s">
        <v>39</v>
      </c>
      <c r="H386" s="18">
        <v>1</v>
      </c>
      <c r="I386" s="18" t="s">
        <v>64</v>
      </c>
    </row>
    <row r="387" spans="1:9" ht="57.6" hidden="1" x14ac:dyDescent="0.3">
      <c r="A387" s="20">
        <v>46168</v>
      </c>
      <c r="B387" s="18" t="s">
        <v>408</v>
      </c>
      <c r="C387" s="18" t="s">
        <v>221</v>
      </c>
      <c r="D387" s="18">
        <v>6</v>
      </c>
      <c r="E387" s="24" t="s">
        <v>498</v>
      </c>
      <c r="F387" s="18" t="s">
        <v>804</v>
      </c>
      <c r="G387" s="24" t="s">
        <v>807</v>
      </c>
      <c r="H387" s="18">
        <v>1</v>
      </c>
      <c r="I387" s="18" t="s">
        <v>64</v>
      </c>
    </row>
    <row r="388" spans="1:9" ht="28.8" hidden="1" x14ac:dyDescent="0.3">
      <c r="A388" s="20">
        <v>46168</v>
      </c>
      <c r="B388" s="18" t="s">
        <v>91</v>
      </c>
      <c r="C388" s="18" t="s">
        <v>155</v>
      </c>
      <c r="D388" s="18">
        <v>3</v>
      </c>
      <c r="E388" s="24" t="s">
        <v>499</v>
      </c>
      <c r="F388" s="18" t="s">
        <v>804</v>
      </c>
      <c r="G388" s="24" t="s">
        <v>786</v>
      </c>
      <c r="H388" s="18">
        <v>1</v>
      </c>
      <c r="I388" s="18" t="s">
        <v>500</v>
      </c>
    </row>
    <row r="389" spans="1:9" ht="28.8" hidden="1" x14ac:dyDescent="0.3">
      <c r="A389" s="20">
        <v>46168</v>
      </c>
      <c r="B389" s="18" t="s">
        <v>91</v>
      </c>
      <c r="C389" s="18" t="s">
        <v>155</v>
      </c>
      <c r="D389" s="18">
        <v>4</v>
      </c>
      <c r="E389" s="24" t="s">
        <v>501</v>
      </c>
      <c r="F389" s="18" t="s">
        <v>804</v>
      </c>
      <c r="G389" s="24" t="s">
        <v>787</v>
      </c>
      <c r="H389" s="18">
        <v>1</v>
      </c>
      <c r="I389" s="18" t="s">
        <v>500</v>
      </c>
    </row>
    <row r="390" spans="1:9" ht="28.8" hidden="1" x14ac:dyDescent="0.3">
      <c r="A390" s="20">
        <v>46169</v>
      </c>
      <c r="B390" s="18" t="s">
        <v>243</v>
      </c>
      <c r="C390" s="18" t="s">
        <v>155</v>
      </c>
      <c r="D390" s="18">
        <v>0</v>
      </c>
      <c r="E390" s="24" t="s">
        <v>502</v>
      </c>
      <c r="F390" s="18" t="s">
        <v>804</v>
      </c>
      <c r="G390" s="23" t="s">
        <v>147</v>
      </c>
      <c r="H390" s="18">
        <v>1</v>
      </c>
      <c r="I390" s="18" t="s">
        <v>115</v>
      </c>
    </row>
    <row r="391" spans="1:9" ht="28.8" hidden="1" x14ac:dyDescent="0.3">
      <c r="A391" s="20">
        <v>46169</v>
      </c>
      <c r="B391" s="18" t="s">
        <v>172</v>
      </c>
      <c r="C391" s="21" t="s">
        <v>205</v>
      </c>
      <c r="D391" s="18">
        <v>0</v>
      </c>
      <c r="E391" s="24" t="s">
        <v>503</v>
      </c>
      <c r="F391" s="18" t="s">
        <v>804</v>
      </c>
      <c r="G391" s="23" t="s">
        <v>147</v>
      </c>
      <c r="H391" s="18">
        <v>1</v>
      </c>
      <c r="I391" s="18" t="s">
        <v>52</v>
      </c>
    </row>
    <row r="392" spans="1:9" ht="28.8" hidden="1" x14ac:dyDescent="0.3">
      <c r="A392" s="20">
        <v>46169</v>
      </c>
      <c r="B392" s="18" t="s">
        <v>408</v>
      </c>
      <c r="C392" s="21" t="s">
        <v>261</v>
      </c>
      <c r="D392" s="18">
        <v>0</v>
      </c>
      <c r="E392" s="24" t="s">
        <v>504</v>
      </c>
      <c r="F392" s="18" t="s">
        <v>804</v>
      </c>
      <c r="G392" s="23" t="s">
        <v>147</v>
      </c>
      <c r="H392" s="18">
        <v>1</v>
      </c>
      <c r="I392" s="18" t="s">
        <v>64</v>
      </c>
    </row>
    <row r="393" spans="1:9" ht="28.8" hidden="1" x14ac:dyDescent="0.3">
      <c r="A393" s="20">
        <v>46170</v>
      </c>
      <c r="B393" s="18" t="s">
        <v>91</v>
      </c>
      <c r="C393" s="21" t="s">
        <v>200</v>
      </c>
      <c r="D393" s="18">
        <v>2</v>
      </c>
      <c r="E393" s="24" t="s">
        <v>505</v>
      </c>
      <c r="F393" s="18" t="s">
        <v>804</v>
      </c>
      <c r="G393" s="24" t="s">
        <v>228</v>
      </c>
      <c r="H393" s="18">
        <v>1</v>
      </c>
      <c r="I393" s="18" t="s">
        <v>500</v>
      </c>
    </row>
    <row r="394" spans="1:9" ht="28.8" hidden="1" x14ac:dyDescent="0.3">
      <c r="A394" s="20">
        <v>46170</v>
      </c>
      <c r="B394" s="18" t="s">
        <v>408</v>
      </c>
      <c r="C394" s="21" t="s">
        <v>116</v>
      </c>
      <c r="D394" s="18">
        <v>2</v>
      </c>
      <c r="E394" s="24" t="s">
        <v>506</v>
      </c>
      <c r="F394" s="18" t="s">
        <v>804</v>
      </c>
      <c r="G394" s="24" t="s">
        <v>756</v>
      </c>
      <c r="H394" s="18">
        <v>1</v>
      </c>
      <c r="I394" s="18" t="s">
        <v>64</v>
      </c>
    </row>
    <row r="395" spans="1:9" ht="28.8" hidden="1" x14ac:dyDescent="0.3">
      <c r="A395" s="20">
        <v>46170</v>
      </c>
      <c r="B395" s="18" t="s">
        <v>172</v>
      </c>
      <c r="C395" s="18" t="s">
        <v>193</v>
      </c>
      <c r="D395" s="18">
        <v>2</v>
      </c>
      <c r="E395" s="24" t="s">
        <v>507</v>
      </c>
      <c r="F395" s="18" t="s">
        <v>804</v>
      </c>
      <c r="G395" s="24" t="s">
        <v>704</v>
      </c>
      <c r="H395" s="18">
        <v>1</v>
      </c>
      <c r="I395" s="18" t="s">
        <v>52</v>
      </c>
    </row>
    <row r="396" spans="1:9" ht="28.8" hidden="1" x14ac:dyDescent="0.3">
      <c r="A396" s="20">
        <v>46170</v>
      </c>
      <c r="B396" s="18" t="s">
        <v>408</v>
      </c>
      <c r="C396" s="18" t="s">
        <v>74</v>
      </c>
      <c r="D396" s="18">
        <v>1</v>
      </c>
      <c r="E396" s="24" t="s">
        <v>508</v>
      </c>
      <c r="F396" s="18" t="s">
        <v>804</v>
      </c>
      <c r="G396" s="24" t="s">
        <v>694</v>
      </c>
      <c r="H396" s="18">
        <v>1</v>
      </c>
      <c r="I396" s="18" t="s">
        <v>64</v>
      </c>
    </row>
    <row r="397" spans="1:9" ht="43.2" hidden="1" x14ac:dyDescent="0.3">
      <c r="A397" s="20">
        <v>46171</v>
      </c>
      <c r="B397" s="18" t="s">
        <v>412</v>
      </c>
      <c r="C397" s="18" t="s">
        <v>76</v>
      </c>
      <c r="D397" s="18">
        <v>2</v>
      </c>
      <c r="E397" s="24" t="s">
        <v>509</v>
      </c>
      <c r="F397" s="18" t="s">
        <v>804</v>
      </c>
      <c r="G397" s="24" t="s">
        <v>788</v>
      </c>
      <c r="H397" s="18">
        <v>1</v>
      </c>
      <c r="I397" s="18" t="s">
        <v>252</v>
      </c>
    </row>
    <row r="398" spans="1:9" ht="28.8" hidden="1" x14ac:dyDescent="0.3">
      <c r="A398" s="20">
        <v>46171</v>
      </c>
      <c r="B398" s="18" t="s">
        <v>172</v>
      </c>
      <c r="C398" s="18" t="s">
        <v>193</v>
      </c>
      <c r="D398" s="18">
        <v>1</v>
      </c>
      <c r="E398" s="24" t="s">
        <v>510</v>
      </c>
      <c r="F398" s="18" t="s">
        <v>804</v>
      </c>
      <c r="G398" s="24" t="s">
        <v>39</v>
      </c>
      <c r="H398" s="18">
        <v>1</v>
      </c>
      <c r="I398" s="18" t="s">
        <v>52</v>
      </c>
    </row>
    <row r="399" spans="1:9" ht="28.8" hidden="1" x14ac:dyDescent="0.3">
      <c r="A399" s="20">
        <v>46171</v>
      </c>
      <c r="B399" s="18" t="s">
        <v>289</v>
      </c>
      <c r="C399" s="18" t="s">
        <v>511</v>
      </c>
      <c r="D399" s="18">
        <v>2</v>
      </c>
      <c r="E399" s="24" t="s">
        <v>512</v>
      </c>
      <c r="F399" s="18" t="s">
        <v>804</v>
      </c>
      <c r="G399" s="24" t="s">
        <v>722</v>
      </c>
      <c r="H399" s="18">
        <v>1</v>
      </c>
      <c r="I399" s="18" t="s">
        <v>252</v>
      </c>
    </row>
    <row r="400" spans="1:9" ht="43.2" x14ac:dyDescent="0.3">
      <c r="A400" s="20">
        <v>46174</v>
      </c>
      <c r="B400" s="18" t="s">
        <v>91</v>
      </c>
      <c r="C400" s="18" t="s">
        <v>155</v>
      </c>
      <c r="D400" s="18">
        <v>2</v>
      </c>
      <c r="E400" s="24" t="s">
        <v>888</v>
      </c>
      <c r="F400" s="18" t="s">
        <v>804</v>
      </c>
      <c r="G400" s="24" t="s">
        <v>889</v>
      </c>
      <c r="H400" s="18">
        <v>1</v>
      </c>
      <c r="I400" s="18" t="s">
        <v>500</v>
      </c>
    </row>
    <row r="401" spans="1:9" ht="28.8" x14ac:dyDescent="0.3">
      <c r="A401" s="20">
        <v>46175</v>
      </c>
      <c r="B401" s="18" t="s">
        <v>408</v>
      </c>
      <c r="C401" s="18" t="s">
        <v>155</v>
      </c>
      <c r="D401" s="18">
        <v>0</v>
      </c>
      <c r="E401" s="24" t="s">
        <v>874</v>
      </c>
      <c r="F401" s="18" t="s">
        <v>804</v>
      </c>
      <c r="G401" s="24" t="s">
        <v>147</v>
      </c>
      <c r="H401" s="18">
        <v>1</v>
      </c>
      <c r="I401" s="18" t="s">
        <v>52</v>
      </c>
    </row>
    <row r="402" spans="1:9" ht="43.2" x14ac:dyDescent="0.3">
      <c r="A402" s="20">
        <v>46175</v>
      </c>
      <c r="B402" s="18" t="s">
        <v>408</v>
      </c>
      <c r="C402" s="18" t="s">
        <v>895</v>
      </c>
      <c r="D402" s="18">
        <v>3</v>
      </c>
      <c r="E402" s="24" t="s">
        <v>896</v>
      </c>
      <c r="F402" s="18" t="s">
        <v>804</v>
      </c>
      <c r="G402" s="24" t="s">
        <v>897</v>
      </c>
      <c r="H402" s="18">
        <v>1</v>
      </c>
      <c r="I402" s="18" t="s">
        <v>64</v>
      </c>
    </row>
    <row r="403" spans="1:9" x14ac:dyDescent="0.3">
      <c r="A403" s="20">
        <v>46175</v>
      </c>
      <c r="B403" s="18" t="s">
        <v>408</v>
      </c>
      <c r="C403" s="18" t="s">
        <v>155</v>
      </c>
      <c r="D403" s="18">
        <v>2</v>
      </c>
      <c r="E403" s="24" t="s">
        <v>943</v>
      </c>
      <c r="F403" s="18" t="s">
        <v>804</v>
      </c>
      <c r="G403" s="24" t="s">
        <v>965</v>
      </c>
      <c r="H403" s="18">
        <v>1</v>
      </c>
      <c r="I403" s="18" t="s">
        <v>64</v>
      </c>
    </row>
    <row r="404" spans="1:9" ht="43.2" x14ac:dyDescent="0.3">
      <c r="A404" s="20">
        <v>46175</v>
      </c>
      <c r="B404" s="18" t="s">
        <v>408</v>
      </c>
      <c r="C404" s="18" t="s">
        <v>155</v>
      </c>
      <c r="D404" s="18">
        <v>3</v>
      </c>
      <c r="E404" s="24" t="s">
        <v>904</v>
      </c>
      <c r="F404" s="18" t="s">
        <v>804</v>
      </c>
      <c r="G404" s="24" t="s">
        <v>905</v>
      </c>
      <c r="H404" s="18">
        <v>1</v>
      </c>
      <c r="I404" s="18" t="s">
        <v>64</v>
      </c>
    </row>
    <row r="405" spans="1:9" x14ac:dyDescent="0.3">
      <c r="A405" s="20">
        <v>46175</v>
      </c>
      <c r="B405" s="18" t="s">
        <v>408</v>
      </c>
      <c r="C405" s="18" t="s">
        <v>155</v>
      </c>
      <c r="D405" s="18">
        <v>2</v>
      </c>
      <c r="E405" s="24" t="s">
        <v>943</v>
      </c>
      <c r="F405" s="18" t="s">
        <v>804</v>
      </c>
      <c r="G405" s="24" t="s">
        <v>961</v>
      </c>
      <c r="H405" s="18">
        <v>1</v>
      </c>
      <c r="I405" s="18" t="s">
        <v>64</v>
      </c>
    </row>
    <row r="406" spans="1:9" ht="28.8" x14ac:dyDescent="0.3">
      <c r="A406" s="20">
        <v>46176</v>
      </c>
      <c r="B406" s="18" t="s">
        <v>91</v>
      </c>
      <c r="C406" s="18" t="s">
        <v>10</v>
      </c>
      <c r="D406" s="18">
        <v>2</v>
      </c>
      <c r="E406" s="24" t="s">
        <v>954</v>
      </c>
      <c r="F406" s="18" t="s">
        <v>804</v>
      </c>
      <c r="G406" s="24" t="s">
        <v>966</v>
      </c>
      <c r="H406" s="18">
        <v>1</v>
      </c>
      <c r="I406" s="18" t="s">
        <v>500</v>
      </c>
    </row>
    <row r="407" spans="1:9" x14ac:dyDescent="0.3">
      <c r="A407" s="20">
        <v>46176</v>
      </c>
      <c r="B407" s="18" t="s">
        <v>91</v>
      </c>
      <c r="C407" s="18" t="s">
        <v>10</v>
      </c>
      <c r="D407" s="18">
        <v>2</v>
      </c>
      <c r="E407" s="24" t="s">
        <v>1001</v>
      </c>
      <c r="F407" s="18" t="s">
        <v>804</v>
      </c>
      <c r="G407" s="24" t="s">
        <v>1002</v>
      </c>
      <c r="H407" s="18">
        <v>1</v>
      </c>
      <c r="I407" s="18" t="s">
        <v>500</v>
      </c>
    </row>
    <row r="408" spans="1:9" ht="28.8" x14ac:dyDescent="0.3">
      <c r="A408" s="20">
        <v>46177</v>
      </c>
      <c r="B408" s="18" t="s">
        <v>408</v>
      </c>
      <c r="C408" s="18" t="s">
        <v>155</v>
      </c>
      <c r="D408" s="18">
        <v>0</v>
      </c>
      <c r="E408" s="24" t="s">
        <v>877</v>
      </c>
      <c r="F408" s="18" t="s">
        <v>804</v>
      </c>
      <c r="G408" s="24" t="s">
        <v>147</v>
      </c>
      <c r="H408" s="18">
        <v>1</v>
      </c>
      <c r="I408" s="18" t="s">
        <v>52</v>
      </c>
    </row>
    <row r="409" spans="1:9" ht="28.8" x14ac:dyDescent="0.3">
      <c r="A409" s="20">
        <v>46177</v>
      </c>
      <c r="B409" s="18" t="s">
        <v>878</v>
      </c>
      <c r="C409" s="18" t="s">
        <v>74</v>
      </c>
      <c r="D409" s="18">
        <v>0</v>
      </c>
      <c r="E409" s="24" t="s">
        <v>880</v>
      </c>
      <c r="F409" s="18" t="s">
        <v>804</v>
      </c>
      <c r="G409" s="24" t="s">
        <v>147</v>
      </c>
      <c r="H409" s="18">
        <v>1</v>
      </c>
      <c r="I409" s="18" t="s">
        <v>52</v>
      </c>
    </row>
    <row r="410" spans="1:9" ht="28.8" x14ac:dyDescent="0.3">
      <c r="A410" s="20">
        <v>46177</v>
      </c>
      <c r="B410" s="18" t="s">
        <v>408</v>
      </c>
      <c r="C410" s="18" t="s">
        <v>116</v>
      </c>
      <c r="D410" s="18">
        <v>0</v>
      </c>
      <c r="E410" s="24" t="s">
        <v>906</v>
      </c>
      <c r="F410" s="18" t="s">
        <v>804</v>
      </c>
      <c r="G410" s="24" t="s">
        <v>147</v>
      </c>
      <c r="H410" s="18">
        <v>1</v>
      </c>
      <c r="I410" s="18" t="s">
        <v>64</v>
      </c>
    </row>
    <row r="411" spans="1:9" ht="28.8" x14ac:dyDescent="0.3">
      <c r="A411" s="20">
        <v>46178</v>
      </c>
      <c r="B411" s="18" t="s">
        <v>408</v>
      </c>
      <c r="C411" s="18" t="s">
        <v>113</v>
      </c>
      <c r="D411" s="18">
        <v>1</v>
      </c>
      <c r="E411" s="24" t="s">
        <v>861</v>
      </c>
      <c r="F411" s="18" t="s">
        <v>804</v>
      </c>
      <c r="G411" s="24" t="s">
        <v>683</v>
      </c>
      <c r="H411" s="18">
        <v>1</v>
      </c>
      <c r="I411" s="18" t="s">
        <v>64</v>
      </c>
    </row>
    <row r="412" spans="1:9" x14ac:dyDescent="0.3">
      <c r="A412" s="20">
        <v>46179</v>
      </c>
      <c r="B412" s="18" t="s">
        <v>91</v>
      </c>
      <c r="C412" s="18" t="s">
        <v>10</v>
      </c>
      <c r="D412" s="18">
        <v>1</v>
      </c>
      <c r="E412" s="24" t="s">
        <v>955</v>
      </c>
      <c r="F412" s="18" t="s">
        <v>804</v>
      </c>
      <c r="G412" s="24" t="s">
        <v>683</v>
      </c>
      <c r="H412" s="18">
        <v>1</v>
      </c>
      <c r="I412" s="18" t="s">
        <v>500</v>
      </c>
    </row>
    <row r="413" spans="1:9" ht="28.8" x14ac:dyDescent="0.3">
      <c r="A413" s="20">
        <v>46179</v>
      </c>
      <c r="B413" s="18" t="s">
        <v>408</v>
      </c>
      <c r="C413" s="18" t="s">
        <v>76</v>
      </c>
      <c r="D413" s="18">
        <v>0</v>
      </c>
      <c r="E413" s="24" t="s">
        <v>876</v>
      </c>
      <c r="F413" s="18" t="s">
        <v>804</v>
      </c>
      <c r="G413" s="24" t="s">
        <v>147</v>
      </c>
      <c r="H413" s="18">
        <v>1</v>
      </c>
      <c r="I413" s="18" t="s">
        <v>52</v>
      </c>
    </row>
    <row r="414" spans="1:9" ht="28.8" x14ac:dyDescent="0.3">
      <c r="A414" s="20">
        <v>46179</v>
      </c>
      <c r="B414" s="18" t="s">
        <v>408</v>
      </c>
      <c r="C414" s="18" t="s">
        <v>113</v>
      </c>
      <c r="D414" s="18">
        <v>2</v>
      </c>
      <c r="E414" s="24" t="s">
        <v>870</v>
      </c>
      <c r="F414" s="18" t="s">
        <v>804</v>
      </c>
      <c r="G414" s="24" t="s">
        <v>871</v>
      </c>
      <c r="H414" s="18">
        <v>1</v>
      </c>
      <c r="I414" s="18" t="s">
        <v>52</v>
      </c>
    </row>
    <row r="415" spans="1:9" ht="28.8" x14ac:dyDescent="0.3">
      <c r="A415" s="20">
        <v>46179</v>
      </c>
      <c r="B415" s="18" t="s">
        <v>408</v>
      </c>
      <c r="C415" s="18" t="s">
        <v>193</v>
      </c>
      <c r="D415" s="18">
        <v>1</v>
      </c>
      <c r="E415" s="24" t="s">
        <v>883</v>
      </c>
      <c r="F415" s="18" t="s">
        <v>804</v>
      </c>
      <c r="G415" s="24" t="s">
        <v>738</v>
      </c>
      <c r="H415" s="18">
        <v>1</v>
      </c>
      <c r="I415" s="18" t="s">
        <v>500</v>
      </c>
    </row>
    <row r="416" spans="1:9" ht="43.2" x14ac:dyDescent="0.3">
      <c r="A416" s="20">
        <v>46179</v>
      </c>
      <c r="B416" s="18" t="s">
        <v>247</v>
      </c>
      <c r="C416" s="18" t="s">
        <v>113</v>
      </c>
      <c r="D416" s="18">
        <v>2</v>
      </c>
      <c r="E416" s="24" t="s">
        <v>902</v>
      </c>
      <c r="F416" s="18" t="s">
        <v>804</v>
      </c>
      <c r="G416" s="24" t="s">
        <v>903</v>
      </c>
      <c r="H416" s="18">
        <v>1</v>
      </c>
      <c r="I416" s="18" t="s">
        <v>115</v>
      </c>
    </row>
    <row r="417" spans="1:9" x14ac:dyDescent="0.3">
      <c r="A417" s="20">
        <v>46181</v>
      </c>
      <c r="B417" s="18" t="s">
        <v>412</v>
      </c>
      <c r="C417" s="18" t="s">
        <v>311</v>
      </c>
      <c r="D417" s="18">
        <v>1</v>
      </c>
      <c r="E417" s="24" t="s">
        <v>944</v>
      </c>
      <c r="F417" s="18" t="s">
        <v>804</v>
      </c>
      <c r="G417" s="24" t="s">
        <v>945</v>
      </c>
      <c r="H417" s="18">
        <v>1</v>
      </c>
      <c r="I417" s="18" t="s">
        <v>500</v>
      </c>
    </row>
    <row r="418" spans="1:9" x14ac:dyDescent="0.3">
      <c r="A418" s="20">
        <v>46181</v>
      </c>
      <c r="B418" s="18" t="s">
        <v>408</v>
      </c>
      <c r="C418" s="18" t="s">
        <v>113</v>
      </c>
      <c r="D418" s="18">
        <v>1</v>
      </c>
      <c r="E418" s="24" t="s">
        <v>868</v>
      </c>
      <c r="F418" s="18" t="s">
        <v>804</v>
      </c>
      <c r="G418" s="24" t="s">
        <v>869</v>
      </c>
      <c r="H418" s="18">
        <v>1</v>
      </c>
      <c r="I418" s="18" t="s">
        <v>52</v>
      </c>
    </row>
    <row r="419" spans="1:9" ht="28.8" x14ac:dyDescent="0.3">
      <c r="A419" s="20">
        <v>46181</v>
      </c>
      <c r="B419" s="18" t="s">
        <v>881</v>
      </c>
      <c r="C419" s="18" t="s">
        <v>193</v>
      </c>
      <c r="D419" s="18">
        <v>0</v>
      </c>
      <c r="E419" s="24" t="s">
        <v>882</v>
      </c>
      <c r="F419" s="18" t="s">
        <v>804</v>
      </c>
      <c r="G419" s="24" t="s">
        <v>147</v>
      </c>
      <c r="H419" s="18">
        <v>1</v>
      </c>
      <c r="I419" s="18" t="s">
        <v>500</v>
      </c>
    </row>
    <row r="420" spans="1:9" ht="28.8" x14ac:dyDescent="0.3">
      <c r="A420" s="20">
        <v>46181</v>
      </c>
      <c r="B420" s="18" t="s">
        <v>881</v>
      </c>
      <c r="C420" s="18" t="s">
        <v>193</v>
      </c>
      <c r="D420" s="18">
        <v>0</v>
      </c>
      <c r="E420" s="24" t="s">
        <v>917</v>
      </c>
      <c r="F420" s="18" t="s">
        <v>804</v>
      </c>
      <c r="G420" s="24" t="s">
        <v>147</v>
      </c>
      <c r="H420" s="18">
        <v>1</v>
      </c>
      <c r="I420" s="18" t="s">
        <v>500</v>
      </c>
    </row>
    <row r="421" spans="1:9" x14ac:dyDescent="0.3">
      <c r="A421" s="20">
        <v>46181</v>
      </c>
      <c r="B421" s="18" t="s">
        <v>91</v>
      </c>
      <c r="C421" s="18" t="s">
        <v>113</v>
      </c>
      <c r="D421" s="18">
        <v>1</v>
      </c>
      <c r="E421" s="24" t="s">
        <v>956</v>
      </c>
      <c r="F421" s="18" t="s">
        <v>804</v>
      </c>
      <c r="G421" s="24" t="s">
        <v>963</v>
      </c>
      <c r="H421" s="18">
        <v>1</v>
      </c>
      <c r="I421" s="18" t="s">
        <v>500</v>
      </c>
    </row>
    <row r="422" spans="1:9" x14ac:dyDescent="0.3">
      <c r="A422" s="20">
        <v>46181</v>
      </c>
      <c r="B422" s="18" t="s">
        <v>412</v>
      </c>
      <c r="C422" s="18" t="s">
        <v>266</v>
      </c>
      <c r="D422" s="18">
        <v>2</v>
      </c>
      <c r="E422" s="24" t="s">
        <v>950</v>
      </c>
      <c r="F422" s="18" t="s">
        <v>804</v>
      </c>
      <c r="G422" s="24" t="s">
        <v>967</v>
      </c>
      <c r="H422" s="18">
        <v>1</v>
      </c>
      <c r="I422" s="18" t="s">
        <v>252</v>
      </c>
    </row>
    <row r="423" spans="1:9" x14ac:dyDescent="0.3">
      <c r="A423" s="20">
        <v>46181</v>
      </c>
      <c r="B423" s="18" t="s">
        <v>91</v>
      </c>
      <c r="C423" s="18" t="s">
        <v>10</v>
      </c>
      <c r="D423" s="18">
        <v>1</v>
      </c>
      <c r="E423" s="24" t="s">
        <v>957</v>
      </c>
      <c r="F423" s="18" t="s">
        <v>804</v>
      </c>
      <c r="G423" s="24" t="s">
        <v>962</v>
      </c>
      <c r="H423" s="18">
        <v>1</v>
      </c>
      <c r="I423" s="18" t="s">
        <v>500</v>
      </c>
    </row>
    <row r="424" spans="1:9" ht="28.8" x14ac:dyDescent="0.3">
      <c r="A424" s="20">
        <v>46182</v>
      </c>
      <c r="B424" s="18" t="s">
        <v>878</v>
      </c>
      <c r="C424" s="18" t="s">
        <v>74</v>
      </c>
      <c r="D424" s="18">
        <v>0</v>
      </c>
      <c r="E424" s="24" t="s">
        <v>879</v>
      </c>
      <c r="F424" s="18" t="s">
        <v>804</v>
      </c>
      <c r="G424" s="24" t="s">
        <v>147</v>
      </c>
      <c r="H424" s="18">
        <v>1</v>
      </c>
      <c r="I424" s="18" t="s">
        <v>52</v>
      </c>
    </row>
    <row r="425" spans="1:9" ht="43.2" x14ac:dyDescent="0.3">
      <c r="A425" s="20">
        <v>46182</v>
      </c>
      <c r="B425" s="18" t="s">
        <v>408</v>
      </c>
      <c r="C425" s="18" t="s">
        <v>155</v>
      </c>
      <c r="D425" s="18">
        <v>2</v>
      </c>
      <c r="E425" s="24" t="s">
        <v>907</v>
      </c>
      <c r="F425" s="18" t="s">
        <v>804</v>
      </c>
      <c r="G425" s="24" t="s">
        <v>908</v>
      </c>
      <c r="H425" s="18">
        <v>1</v>
      </c>
      <c r="I425" s="18" t="s">
        <v>64</v>
      </c>
    </row>
    <row r="426" spans="1:9" ht="28.8" x14ac:dyDescent="0.3">
      <c r="A426" s="20">
        <v>46182</v>
      </c>
      <c r="B426" s="18" t="s">
        <v>408</v>
      </c>
      <c r="C426" s="18" t="s">
        <v>179</v>
      </c>
      <c r="D426" s="18">
        <v>0</v>
      </c>
      <c r="E426" s="24" t="s">
        <v>909</v>
      </c>
      <c r="F426" s="18" t="s">
        <v>804</v>
      </c>
      <c r="G426" s="24" t="s">
        <v>147</v>
      </c>
      <c r="H426" s="18">
        <v>1</v>
      </c>
      <c r="I426" s="18" t="s">
        <v>64</v>
      </c>
    </row>
    <row r="427" spans="1:9" ht="28.8" x14ac:dyDescent="0.3">
      <c r="A427" s="20">
        <v>46182</v>
      </c>
      <c r="B427" s="18" t="s">
        <v>408</v>
      </c>
      <c r="C427" s="18" t="s">
        <v>179</v>
      </c>
      <c r="D427" s="18">
        <v>2</v>
      </c>
      <c r="E427" s="24" t="s">
        <v>910</v>
      </c>
      <c r="F427" s="18" t="s">
        <v>804</v>
      </c>
      <c r="G427" s="24" t="s">
        <v>911</v>
      </c>
      <c r="H427" s="18">
        <v>1</v>
      </c>
      <c r="I427" s="18" t="s">
        <v>64</v>
      </c>
    </row>
    <row r="428" spans="1:9" x14ac:dyDescent="0.3">
      <c r="A428" s="20">
        <v>46183</v>
      </c>
      <c r="B428" s="18" t="s">
        <v>91</v>
      </c>
      <c r="C428" s="18" t="s">
        <v>10</v>
      </c>
      <c r="D428" s="18">
        <v>2</v>
      </c>
      <c r="E428" s="24" t="s">
        <v>952</v>
      </c>
      <c r="F428" s="18" t="s">
        <v>804</v>
      </c>
      <c r="G428" s="24" t="s">
        <v>968</v>
      </c>
      <c r="H428" s="18">
        <v>1</v>
      </c>
      <c r="I428" s="18" t="s">
        <v>252</v>
      </c>
    </row>
    <row r="429" spans="1:9" ht="28.8" x14ac:dyDescent="0.3">
      <c r="A429" s="20">
        <v>46183</v>
      </c>
      <c r="B429" s="18" t="s">
        <v>408</v>
      </c>
      <c r="C429" s="18" t="s">
        <v>113</v>
      </c>
      <c r="D429" s="18">
        <v>1</v>
      </c>
      <c r="E429" s="24" t="s">
        <v>912</v>
      </c>
      <c r="F429" s="18" t="s">
        <v>804</v>
      </c>
      <c r="G429" s="24" t="s">
        <v>683</v>
      </c>
      <c r="H429" s="18">
        <v>1</v>
      </c>
      <c r="I429" s="18" t="s">
        <v>64</v>
      </c>
    </row>
    <row r="430" spans="1:9" ht="43.2" x14ac:dyDescent="0.3">
      <c r="A430" s="20">
        <v>46183</v>
      </c>
      <c r="B430" s="18" t="s">
        <v>408</v>
      </c>
      <c r="C430" s="18" t="s">
        <v>113</v>
      </c>
      <c r="D430" s="18">
        <v>2</v>
      </c>
      <c r="E430" s="24" t="s">
        <v>913</v>
      </c>
      <c r="F430" s="18" t="s">
        <v>804</v>
      </c>
      <c r="G430" s="24" t="s">
        <v>914</v>
      </c>
      <c r="H430" s="18">
        <v>1</v>
      </c>
      <c r="I430" s="18" t="s">
        <v>64</v>
      </c>
    </row>
    <row r="431" spans="1:9" x14ac:dyDescent="0.3">
      <c r="A431" s="20">
        <v>46183</v>
      </c>
      <c r="B431" s="18" t="s">
        <v>408</v>
      </c>
      <c r="C431" s="18" t="s">
        <v>895</v>
      </c>
      <c r="D431" s="18">
        <v>2</v>
      </c>
      <c r="E431" s="24" t="s">
        <v>958</v>
      </c>
      <c r="F431" s="18" t="s">
        <v>804</v>
      </c>
      <c r="G431" s="24" t="s">
        <v>969</v>
      </c>
      <c r="H431" s="18">
        <v>1</v>
      </c>
      <c r="I431" s="18" t="s">
        <v>64</v>
      </c>
    </row>
    <row r="432" spans="1:9" x14ac:dyDescent="0.3">
      <c r="A432" s="20">
        <v>46184</v>
      </c>
      <c r="B432" s="18" t="s">
        <v>412</v>
      </c>
      <c r="C432" s="18" t="s">
        <v>113</v>
      </c>
      <c r="D432" s="18">
        <v>1</v>
      </c>
      <c r="E432" s="24" t="s">
        <v>947</v>
      </c>
      <c r="F432" s="18" t="s">
        <v>804</v>
      </c>
      <c r="G432" s="24" t="s">
        <v>683</v>
      </c>
      <c r="H432" s="18">
        <v>1</v>
      </c>
      <c r="I432" s="18" t="s">
        <v>64</v>
      </c>
    </row>
    <row r="433" spans="1:9" ht="28.8" x14ac:dyDescent="0.3">
      <c r="A433" s="20">
        <v>46184</v>
      </c>
      <c r="B433" s="18" t="s">
        <v>412</v>
      </c>
      <c r="C433" s="18" t="s">
        <v>311</v>
      </c>
      <c r="D433" s="18">
        <v>1</v>
      </c>
      <c r="E433" s="24" t="s">
        <v>948</v>
      </c>
      <c r="F433" s="18" t="s">
        <v>804</v>
      </c>
      <c r="G433" s="24" t="s">
        <v>931</v>
      </c>
      <c r="H433" s="18">
        <v>1</v>
      </c>
      <c r="I433" s="18" t="s">
        <v>64</v>
      </c>
    </row>
    <row r="434" spans="1:9" ht="28.8" x14ac:dyDescent="0.3">
      <c r="A434" s="20">
        <v>46184</v>
      </c>
      <c r="B434" s="18" t="s">
        <v>408</v>
      </c>
      <c r="C434" s="18" t="s">
        <v>200</v>
      </c>
      <c r="D434" s="18">
        <v>2</v>
      </c>
      <c r="E434" s="24" t="s">
        <v>898</v>
      </c>
      <c r="F434" s="18" t="s">
        <v>804</v>
      </c>
      <c r="G434" s="24" t="s">
        <v>899</v>
      </c>
      <c r="H434" s="18">
        <v>1</v>
      </c>
      <c r="I434" s="18" t="s">
        <v>64</v>
      </c>
    </row>
    <row r="435" spans="1:9" ht="28.8" x14ac:dyDescent="0.3">
      <c r="A435" s="20">
        <v>46184</v>
      </c>
      <c r="B435" s="18" t="s">
        <v>412</v>
      </c>
      <c r="C435" s="18" t="s">
        <v>311</v>
      </c>
      <c r="D435" s="18">
        <v>2</v>
      </c>
      <c r="E435" s="24" t="s">
        <v>959</v>
      </c>
      <c r="F435" s="18" t="s">
        <v>804</v>
      </c>
      <c r="G435" s="24" t="s">
        <v>964</v>
      </c>
      <c r="H435" s="18">
        <v>1</v>
      </c>
      <c r="I435" s="18" t="s">
        <v>64</v>
      </c>
    </row>
    <row r="436" spans="1:9" x14ac:dyDescent="0.3">
      <c r="A436" s="20">
        <v>46185</v>
      </c>
      <c r="B436" s="18" t="s">
        <v>881</v>
      </c>
      <c r="C436" s="18" t="s">
        <v>193</v>
      </c>
      <c r="D436" s="18">
        <v>0</v>
      </c>
      <c r="E436" s="24" t="s">
        <v>953</v>
      </c>
      <c r="F436" s="18" t="s">
        <v>804</v>
      </c>
      <c r="G436" s="24" t="s">
        <v>147</v>
      </c>
      <c r="H436" s="18">
        <v>1</v>
      </c>
      <c r="I436" s="18" t="s">
        <v>64</v>
      </c>
    </row>
    <row r="437" spans="1:9" x14ac:dyDescent="0.3">
      <c r="A437" s="20">
        <v>46185</v>
      </c>
      <c r="B437" s="18" t="s">
        <v>247</v>
      </c>
      <c r="C437" s="18" t="s">
        <v>891</v>
      </c>
      <c r="D437" s="18">
        <v>1</v>
      </c>
      <c r="E437" s="24" t="s">
        <v>951</v>
      </c>
      <c r="F437" s="18" t="s">
        <v>804</v>
      </c>
      <c r="G437" s="24" t="s">
        <v>962</v>
      </c>
      <c r="H437" s="18">
        <v>1</v>
      </c>
      <c r="I437" s="18" t="s">
        <v>115</v>
      </c>
    </row>
    <row r="438" spans="1:9" ht="43.2" x14ac:dyDescent="0.3">
      <c r="A438" s="20">
        <v>46185</v>
      </c>
      <c r="B438" s="18" t="s">
        <v>881</v>
      </c>
      <c r="C438" s="18" t="s">
        <v>193</v>
      </c>
      <c r="D438" s="18">
        <v>0</v>
      </c>
      <c r="E438" s="24" t="s">
        <v>915</v>
      </c>
      <c r="F438" s="18" t="s">
        <v>804</v>
      </c>
      <c r="G438" s="24" t="s">
        <v>147</v>
      </c>
      <c r="H438" s="18">
        <v>1</v>
      </c>
      <c r="I438" s="18" t="s">
        <v>64</v>
      </c>
    </row>
    <row r="439" spans="1:9" x14ac:dyDescent="0.3">
      <c r="A439" s="20">
        <v>46185</v>
      </c>
      <c r="B439" s="18" t="s">
        <v>881</v>
      </c>
      <c r="C439" s="18" t="s">
        <v>941</v>
      </c>
      <c r="D439" s="18">
        <v>0</v>
      </c>
      <c r="E439" s="24" t="s">
        <v>942</v>
      </c>
      <c r="F439" s="18" t="s">
        <v>804</v>
      </c>
      <c r="G439" s="24" t="s">
        <v>147</v>
      </c>
      <c r="H439" s="18">
        <v>1</v>
      </c>
      <c r="I439" s="18" t="s">
        <v>64</v>
      </c>
    </row>
    <row r="440" spans="1:9" ht="28.8" x14ac:dyDescent="0.3">
      <c r="A440" s="20">
        <v>46185</v>
      </c>
      <c r="B440" s="18" t="s">
        <v>91</v>
      </c>
      <c r="C440" s="18" t="s">
        <v>10</v>
      </c>
      <c r="D440" s="18">
        <v>1</v>
      </c>
      <c r="E440" s="24" t="s">
        <v>884</v>
      </c>
      <c r="F440" s="18" t="s">
        <v>804</v>
      </c>
      <c r="G440" s="24" t="s">
        <v>885</v>
      </c>
      <c r="H440" s="18">
        <v>1</v>
      </c>
      <c r="I440" s="18" t="s">
        <v>64</v>
      </c>
    </row>
    <row r="441" spans="1:9" x14ac:dyDescent="0.3">
      <c r="A441" s="20">
        <v>46188</v>
      </c>
      <c r="B441" s="18" t="s">
        <v>408</v>
      </c>
      <c r="C441" s="18" t="s">
        <v>113</v>
      </c>
      <c r="D441" s="18">
        <v>1</v>
      </c>
      <c r="E441" s="24" t="s">
        <v>949</v>
      </c>
      <c r="F441" s="18" t="s">
        <v>804</v>
      </c>
      <c r="G441" s="24" t="s">
        <v>963</v>
      </c>
      <c r="H441" s="18">
        <v>1</v>
      </c>
      <c r="I441" s="18" t="s">
        <v>252</v>
      </c>
    </row>
    <row r="442" spans="1:9" ht="43.2" x14ac:dyDescent="0.3">
      <c r="A442" s="20">
        <v>46188</v>
      </c>
      <c r="B442" s="18" t="s">
        <v>247</v>
      </c>
      <c r="C442" s="18" t="s">
        <v>891</v>
      </c>
      <c r="D442" s="18">
        <v>1</v>
      </c>
      <c r="E442" s="24" t="s">
        <v>920</v>
      </c>
      <c r="F442" s="18" t="s">
        <v>804</v>
      </c>
      <c r="G442" s="24" t="s">
        <v>762</v>
      </c>
      <c r="H442" s="18">
        <v>1</v>
      </c>
      <c r="I442" s="18" t="s">
        <v>64</v>
      </c>
    </row>
    <row r="443" spans="1:9" ht="43.2" x14ac:dyDescent="0.3">
      <c r="A443" s="20">
        <v>46188</v>
      </c>
      <c r="B443" s="18" t="s">
        <v>247</v>
      </c>
      <c r="C443" s="18" t="s">
        <v>891</v>
      </c>
      <c r="D443" s="18">
        <v>2</v>
      </c>
      <c r="E443" s="24" t="s">
        <v>918</v>
      </c>
      <c r="F443" s="18" t="s">
        <v>804</v>
      </c>
      <c r="G443" s="24" t="s">
        <v>919</v>
      </c>
      <c r="H443" s="18">
        <v>1</v>
      </c>
      <c r="I443" s="18" t="s">
        <v>64</v>
      </c>
    </row>
    <row r="444" spans="1:9" ht="28.8" x14ac:dyDescent="0.3">
      <c r="A444" s="20">
        <v>46188</v>
      </c>
      <c r="B444" s="18" t="s">
        <v>412</v>
      </c>
      <c r="C444" s="18" t="s">
        <v>155</v>
      </c>
      <c r="D444" s="18">
        <v>0</v>
      </c>
      <c r="E444" s="24" t="s">
        <v>875</v>
      </c>
      <c r="F444" s="18" t="s">
        <v>804</v>
      </c>
      <c r="G444" s="24" t="s">
        <v>147</v>
      </c>
      <c r="H444" s="18">
        <v>1</v>
      </c>
      <c r="I444" s="18" t="s">
        <v>52</v>
      </c>
    </row>
    <row r="445" spans="1:9" ht="28.8" x14ac:dyDescent="0.3">
      <c r="A445" s="20">
        <v>46188</v>
      </c>
      <c r="B445" s="18" t="s">
        <v>412</v>
      </c>
      <c r="C445" s="18" t="s">
        <v>301</v>
      </c>
      <c r="D445" s="18">
        <v>1</v>
      </c>
      <c r="E445" s="24" t="s">
        <v>862</v>
      </c>
      <c r="F445" s="18" t="s">
        <v>804</v>
      </c>
      <c r="G445" s="24" t="s">
        <v>757</v>
      </c>
      <c r="H445" s="18">
        <v>1</v>
      </c>
      <c r="I445" s="18" t="s">
        <v>240</v>
      </c>
    </row>
    <row r="446" spans="1:9" ht="28.8" x14ac:dyDescent="0.3">
      <c r="A446" s="20">
        <v>46188</v>
      </c>
      <c r="B446" s="18" t="s">
        <v>412</v>
      </c>
      <c r="C446" s="18" t="s">
        <v>865</v>
      </c>
      <c r="D446" s="18">
        <v>1</v>
      </c>
      <c r="E446" s="24" t="s">
        <v>866</v>
      </c>
      <c r="F446" s="18" t="s">
        <v>804</v>
      </c>
      <c r="G446" s="24" t="s">
        <v>867</v>
      </c>
      <c r="H446" s="18">
        <v>1</v>
      </c>
      <c r="I446" s="18" t="s">
        <v>240</v>
      </c>
    </row>
    <row r="447" spans="1:9" ht="28.8" x14ac:dyDescent="0.3">
      <c r="A447" s="20">
        <v>46188</v>
      </c>
      <c r="B447" s="18" t="s">
        <v>412</v>
      </c>
      <c r="C447" s="18" t="s">
        <v>301</v>
      </c>
      <c r="D447" s="18">
        <v>2</v>
      </c>
      <c r="E447" s="24" t="s">
        <v>900</v>
      </c>
      <c r="F447" s="18" t="s">
        <v>804</v>
      </c>
      <c r="G447" s="24" t="s">
        <v>901</v>
      </c>
      <c r="H447" s="18">
        <v>1</v>
      </c>
      <c r="I447" s="18" t="s">
        <v>52</v>
      </c>
    </row>
    <row r="448" spans="1:9" ht="28.8" x14ac:dyDescent="0.3">
      <c r="A448" s="20">
        <v>46188</v>
      </c>
      <c r="B448" s="18" t="s">
        <v>247</v>
      </c>
      <c r="C448" s="18" t="s">
        <v>891</v>
      </c>
      <c r="D448" s="18">
        <v>2</v>
      </c>
      <c r="E448" s="24" t="s">
        <v>916</v>
      </c>
      <c r="F448" s="18" t="s">
        <v>804</v>
      </c>
      <c r="G448" s="24" t="s">
        <v>911</v>
      </c>
      <c r="H448" s="18">
        <v>1</v>
      </c>
      <c r="I448" s="18" t="s">
        <v>64</v>
      </c>
    </row>
    <row r="449" spans="1:9" ht="28.8" x14ac:dyDescent="0.3">
      <c r="A449" s="20">
        <v>46188</v>
      </c>
      <c r="B449" s="18" t="s">
        <v>247</v>
      </c>
      <c r="C449" s="18" t="s">
        <v>922</v>
      </c>
      <c r="D449" s="18">
        <v>1</v>
      </c>
      <c r="E449" s="24" t="s">
        <v>938</v>
      </c>
      <c r="F449" s="18" t="s">
        <v>804</v>
      </c>
      <c r="G449" s="24" t="s">
        <v>757</v>
      </c>
      <c r="H449" s="18">
        <v>1</v>
      </c>
      <c r="I449" s="18" t="s">
        <v>64</v>
      </c>
    </row>
    <row r="450" spans="1:9" ht="28.8" x14ac:dyDescent="0.3">
      <c r="A450" s="20">
        <v>46189</v>
      </c>
      <c r="B450" s="18" t="s">
        <v>247</v>
      </c>
      <c r="C450" s="18" t="s">
        <v>922</v>
      </c>
      <c r="D450" s="18">
        <v>1</v>
      </c>
      <c r="E450" s="24" t="s">
        <v>923</v>
      </c>
      <c r="F450" s="18" t="s">
        <v>804</v>
      </c>
      <c r="G450" s="24" t="s">
        <v>924</v>
      </c>
      <c r="H450" s="18">
        <v>1</v>
      </c>
      <c r="I450" s="18" t="s">
        <v>64</v>
      </c>
    </row>
    <row r="451" spans="1:9" ht="28.8" x14ac:dyDescent="0.3">
      <c r="A451" s="20">
        <v>46189</v>
      </c>
      <c r="B451" s="18" t="s">
        <v>247</v>
      </c>
      <c r="C451" s="18" t="s">
        <v>922</v>
      </c>
      <c r="D451" s="18">
        <v>2</v>
      </c>
      <c r="E451" s="24" t="s">
        <v>925</v>
      </c>
      <c r="F451" s="18" t="s">
        <v>804</v>
      </c>
      <c r="G451" s="24" t="s">
        <v>926</v>
      </c>
      <c r="H451" s="18">
        <v>1</v>
      </c>
      <c r="I451" s="18" t="s">
        <v>64</v>
      </c>
    </row>
    <row r="452" spans="1:9" ht="28.8" x14ac:dyDescent="0.3">
      <c r="A452" s="20">
        <v>46189</v>
      </c>
      <c r="B452" s="18" t="s">
        <v>247</v>
      </c>
      <c r="C452" s="18" t="s">
        <v>922</v>
      </c>
      <c r="D452" s="18">
        <v>2</v>
      </c>
      <c r="E452" s="24" t="s">
        <v>927</v>
      </c>
      <c r="F452" s="18" t="s">
        <v>804</v>
      </c>
      <c r="G452" s="24" t="s">
        <v>928</v>
      </c>
      <c r="H452" s="18">
        <v>1</v>
      </c>
      <c r="I452" s="18" t="s">
        <v>64</v>
      </c>
    </row>
    <row r="453" spans="1:9" ht="28.8" x14ac:dyDescent="0.3">
      <c r="A453" s="20">
        <v>46189</v>
      </c>
      <c r="B453" s="18" t="s">
        <v>243</v>
      </c>
      <c r="C453" s="18" t="s">
        <v>929</v>
      </c>
      <c r="D453" s="18">
        <v>1</v>
      </c>
      <c r="E453" s="24" t="s">
        <v>930</v>
      </c>
      <c r="F453" s="18" t="s">
        <v>804</v>
      </c>
      <c r="G453" s="24" t="s">
        <v>931</v>
      </c>
      <c r="H453" s="18">
        <v>1</v>
      </c>
      <c r="I453" s="18" t="s">
        <v>252</v>
      </c>
    </row>
    <row r="454" spans="1:9" ht="28.8" x14ac:dyDescent="0.3">
      <c r="A454" s="20">
        <v>46189</v>
      </c>
      <c r="B454" s="18" t="s">
        <v>243</v>
      </c>
      <c r="C454" s="18" t="s">
        <v>929</v>
      </c>
      <c r="D454" s="18">
        <v>1</v>
      </c>
      <c r="E454" s="24" t="s">
        <v>932</v>
      </c>
      <c r="F454" s="18" t="s">
        <v>804</v>
      </c>
      <c r="G454" s="24" t="s">
        <v>933</v>
      </c>
      <c r="H454" s="18">
        <v>1</v>
      </c>
      <c r="I454" s="18" t="s">
        <v>252</v>
      </c>
    </row>
    <row r="455" spans="1:9" ht="28.8" x14ac:dyDescent="0.3">
      <c r="A455" s="20">
        <v>46189</v>
      </c>
      <c r="B455" s="18" t="s">
        <v>243</v>
      </c>
      <c r="C455" s="18" t="s">
        <v>929</v>
      </c>
      <c r="D455" s="18">
        <v>1</v>
      </c>
      <c r="E455" s="24" t="s">
        <v>934</v>
      </c>
      <c r="F455" s="18" t="s">
        <v>804</v>
      </c>
      <c r="G455" s="24" t="s">
        <v>935</v>
      </c>
      <c r="H455" s="18">
        <v>1</v>
      </c>
      <c r="I455" s="18" t="s">
        <v>252</v>
      </c>
    </row>
    <row r="456" spans="1:9" x14ac:dyDescent="0.3">
      <c r="A456" s="20">
        <v>46190</v>
      </c>
      <c r="B456" s="18" t="s">
        <v>408</v>
      </c>
      <c r="C456" s="18" t="s">
        <v>116</v>
      </c>
      <c r="D456" s="18">
        <v>1</v>
      </c>
      <c r="E456" s="24" t="s">
        <v>946</v>
      </c>
      <c r="F456" s="18" t="s">
        <v>804</v>
      </c>
      <c r="G456" s="24" t="s">
        <v>960</v>
      </c>
      <c r="H456" s="18">
        <v>1</v>
      </c>
      <c r="I456" s="18" t="s">
        <v>252</v>
      </c>
    </row>
    <row r="457" spans="1:9" ht="28.8" x14ac:dyDescent="0.3">
      <c r="A457" s="20">
        <v>46191</v>
      </c>
      <c r="B457" s="18" t="s">
        <v>247</v>
      </c>
      <c r="C457" s="18" t="s">
        <v>113</v>
      </c>
      <c r="D457" s="18">
        <v>1</v>
      </c>
      <c r="E457" s="24" t="s">
        <v>936</v>
      </c>
      <c r="F457" s="18" t="s">
        <v>804</v>
      </c>
      <c r="G457" s="24" t="s">
        <v>937</v>
      </c>
      <c r="H457" s="18">
        <v>1</v>
      </c>
      <c r="I457" s="18" t="s">
        <v>64</v>
      </c>
    </row>
    <row r="458" spans="1:9" ht="28.8" x14ac:dyDescent="0.3">
      <c r="A458" s="20">
        <v>46191</v>
      </c>
      <c r="B458" s="18" t="s">
        <v>247</v>
      </c>
      <c r="C458" s="18" t="s">
        <v>891</v>
      </c>
      <c r="D458" s="18">
        <v>1</v>
      </c>
      <c r="E458" s="24" t="s">
        <v>921</v>
      </c>
      <c r="F458" s="18" t="s">
        <v>804</v>
      </c>
      <c r="G458" s="24" t="s">
        <v>762</v>
      </c>
      <c r="H458" s="18">
        <v>1</v>
      </c>
      <c r="I458" s="18" t="s">
        <v>64</v>
      </c>
    </row>
    <row r="459" spans="1:9" ht="43.2" x14ac:dyDescent="0.3">
      <c r="A459" s="20">
        <v>46191</v>
      </c>
      <c r="B459" s="18" t="s">
        <v>247</v>
      </c>
      <c r="C459" s="18" t="s">
        <v>891</v>
      </c>
      <c r="D459" s="18">
        <v>3</v>
      </c>
      <c r="E459" s="24" t="s">
        <v>890</v>
      </c>
      <c r="F459" s="18" t="s">
        <v>804</v>
      </c>
      <c r="G459" s="24" t="s">
        <v>892</v>
      </c>
      <c r="H459" s="18">
        <v>1</v>
      </c>
      <c r="I459" s="18" t="s">
        <v>64</v>
      </c>
    </row>
    <row r="460" spans="1:9" ht="28.8" x14ac:dyDescent="0.3">
      <c r="A460" s="20">
        <v>46191</v>
      </c>
      <c r="B460" s="18" t="s">
        <v>860</v>
      </c>
      <c r="C460" s="18" t="s">
        <v>205</v>
      </c>
      <c r="D460" s="18">
        <v>0</v>
      </c>
      <c r="E460" s="24" t="s">
        <v>873</v>
      </c>
      <c r="F460" s="18" t="s">
        <v>804</v>
      </c>
      <c r="G460" s="24" t="s">
        <v>147</v>
      </c>
      <c r="H460" s="18">
        <v>1</v>
      </c>
      <c r="I460" s="18" t="s">
        <v>52</v>
      </c>
    </row>
    <row r="461" spans="1:9" ht="28.8" x14ac:dyDescent="0.3">
      <c r="A461" s="20">
        <v>46192</v>
      </c>
      <c r="B461" s="18" t="s">
        <v>412</v>
      </c>
      <c r="C461" s="18" t="s">
        <v>155</v>
      </c>
      <c r="D461" s="18">
        <v>0</v>
      </c>
      <c r="E461" s="24" t="s">
        <v>872</v>
      </c>
      <c r="F461" s="18" t="s">
        <v>804</v>
      </c>
      <c r="G461" s="24" t="s">
        <v>147</v>
      </c>
      <c r="H461" s="18">
        <v>1</v>
      </c>
      <c r="I461" s="18" t="s">
        <v>52</v>
      </c>
    </row>
    <row r="462" spans="1:9" x14ac:dyDescent="0.3">
      <c r="A462" s="20">
        <v>46195</v>
      </c>
      <c r="B462" s="18" t="s">
        <v>247</v>
      </c>
      <c r="C462" s="18" t="s">
        <v>155</v>
      </c>
      <c r="D462" s="18">
        <v>0</v>
      </c>
      <c r="E462" s="24" t="s">
        <v>430</v>
      </c>
      <c r="F462" s="18" t="s">
        <v>804</v>
      </c>
      <c r="G462" s="24" t="s">
        <v>147</v>
      </c>
      <c r="H462" s="18">
        <v>1</v>
      </c>
      <c r="I462" s="18" t="s">
        <v>64</v>
      </c>
    </row>
    <row r="463" spans="1:9" ht="28.8" x14ac:dyDescent="0.3">
      <c r="A463" s="20">
        <v>46195</v>
      </c>
      <c r="B463" s="18" t="s">
        <v>412</v>
      </c>
      <c r="C463" s="18" t="s">
        <v>442</v>
      </c>
      <c r="D463" s="18">
        <v>2</v>
      </c>
      <c r="E463" s="24" t="s">
        <v>863</v>
      </c>
      <c r="F463" s="18" t="s">
        <v>804</v>
      </c>
      <c r="G463" s="24" t="s">
        <v>864</v>
      </c>
      <c r="H463" s="18">
        <v>1</v>
      </c>
      <c r="I463" s="18" t="s">
        <v>240</v>
      </c>
    </row>
    <row r="464" spans="1:9" ht="43.2" x14ac:dyDescent="0.3">
      <c r="A464" s="20">
        <v>46195</v>
      </c>
      <c r="B464" s="18" t="s">
        <v>247</v>
      </c>
      <c r="C464" s="18" t="s">
        <v>155</v>
      </c>
      <c r="D464" s="18">
        <v>2</v>
      </c>
      <c r="E464" s="24" t="s">
        <v>894</v>
      </c>
      <c r="F464" s="18" t="s">
        <v>804</v>
      </c>
      <c r="G464" s="24" t="s">
        <v>893</v>
      </c>
      <c r="H464" s="18">
        <v>1</v>
      </c>
      <c r="I464" s="18" t="s">
        <v>64</v>
      </c>
    </row>
    <row r="465" spans="1:9" ht="43.2" x14ac:dyDescent="0.3">
      <c r="A465" s="20">
        <v>46196</v>
      </c>
      <c r="B465" s="18" t="s">
        <v>247</v>
      </c>
      <c r="C465" s="18" t="s">
        <v>155</v>
      </c>
      <c r="D465" s="18">
        <v>2</v>
      </c>
      <c r="E465" s="24" t="s">
        <v>887</v>
      </c>
      <c r="F465" s="18" t="s">
        <v>804</v>
      </c>
      <c r="G465" s="24" t="s">
        <v>886</v>
      </c>
      <c r="H465" s="18">
        <v>1</v>
      </c>
      <c r="I465" s="18" t="s">
        <v>64</v>
      </c>
    </row>
    <row r="466" spans="1:9" ht="28.8" x14ac:dyDescent="0.3">
      <c r="A466" s="20">
        <v>46196</v>
      </c>
      <c r="B466" s="18" t="s">
        <v>247</v>
      </c>
      <c r="C466" s="18" t="s">
        <v>891</v>
      </c>
      <c r="D466" s="18">
        <v>1</v>
      </c>
      <c r="E466" s="24" t="s">
        <v>939</v>
      </c>
      <c r="F466" s="18" t="s">
        <v>804</v>
      </c>
      <c r="G466" s="24" t="s">
        <v>940</v>
      </c>
      <c r="H466" s="18">
        <v>1</v>
      </c>
      <c r="I466" s="18" t="s">
        <v>64</v>
      </c>
    </row>
    <row r="467" spans="1:9" x14ac:dyDescent="0.3">
      <c r="A467" s="20">
        <v>46198</v>
      </c>
      <c r="B467" s="18" t="s">
        <v>247</v>
      </c>
      <c r="C467" s="18" t="s">
        <v>155</v>
      </c>
      <c r="D467" s="18">
        <v>2</v>
      </c>
      <c r="E467" s="24" t="s">
        <v>1004</v>
      </c>
      <c r="F467" s="18" t="s">
        <v>804</v>
      </c>
      <c r="G467" s="24" t="s">
        <v>1002</v>
      </c>
      <c r="H467" s="18">
        <v>1</v>
      </c>
      <c r="I467" s="18" t="s">
        <v>64</v>
      </c>
    </row>
    <row r="468" spans="1:9" x14ac:dyDescent="0.3">
      <c r="A468" s="20">
        <v>46198</v>
      </c>
      <c r="B468" s="18" t="s">
        <v>243</v>
      </c>
      <c r="C468" s="18" t="s">
        <v>155</v>
      </c>
      <c r="D468" s="18">
        <v>4</v>
      </c>
      <c r="E468" s="24" t="s">
        <v>999</v>
      </c>
      <c r="F468" s="18" t="s">
        <v>804</v>
      </c>
      <c r="G468" s="24" t="s">
        <v>1000</v>
      </c>
      <c r="H468" s="18">
        <v>1</v>
      </c>
      <c r="I468" s="18" t="s">
        <v>64</v>
      </c>
    </row>
    <row r="469" spans="1:9" x14ac:dyDescent="0.3">
      <c r="A469" s="20">
        <v>46198</v>
      </c>
      <c r="B469" s="18" t="s">
        <v>247</v>
      </c>
      <c r="C469" s="18" t="s">
        <v>155</v>
      </c>
      <c r="D469" s="18">
        <v>1</v>
      </c>
      <c r="E469" s="24" t="s">
        <v>1005</v>
      </c>
      <c r="F469" s="18" t="s">
        <v>804</v>
      </c>
      <c r="G469" s="24" t="s">
        <v>626</v>
      </c>
      <c r="H469" s="18">
        <v>1</v>
      </c>
      <c r="I469" s="18" t="s">
        <v>115</v>
      </c>
    </row>
    <row r="470" spans="1:9" x14ac:dyDescent="0.3">
      <c r="A470" s="20">
        <v>46198</v>
      </c>
      <c r="B470" s="18" t="s">
        <v>247</v>
      </c>
      <c r="C470" s="18" t="s">
        <v>155</v>
      </c>
      <c r="D470" s="18">
        <v>1</v>
      </c>
      <c r="E470" s="24" t="s">
        <v>1006</v>
      </c>
      <c r="F470" s="18" t="s">
        <v>804</v>
      </c>
      <c r="G470" s="24" t="s">
        <v>625</v>
      </c>
      <c r="H470" s="18">
        <v>1</v>
      </c>
      <c r="I470" s="18" t="s">
        <v>64</v>
      </c>
    </row>
    <row r="471" spans="1:9" x14ac:dyDescent="0.3">
      <c r="A471" s="20">
        <v>46198</v>
      </c>
      <c r="B471" s="18" t="s">
        <v>247</v>
      </c>
      <c r="C471" s="18" t="s">
        <v>442</v>
      </c>
      <c r="D471" s="18">
        <v>1</v>
      </c>
      <c r="E471" s="24" t="s">
        <v>1007</v>
      </c>
      <c r="F471" s="18" t="s">
        <v>804</v>
      </c>
      <c r="G471" s="24" t="s">
        <v>18</v>
      </c>
      <c r="H471" s="18">
        <v>1</v>
      </c>
      <c r="I471" s="18" t="s">
        <v>240</v>
      </c>
    </row>
    <row r="472" spans="1:9" x14ac:dyDescent="0.3">
      <c r="A472" s="20">
        <v>46199</v>
      </c>
      <c r="B472" s="18" t="s">
        <v>247</v>
      </c>
      <c r="C472" s="18" t="s">
        <v>155</v>
      </c>
      <c r="D472" s="18">
        <v>1</v>
      </c>
      <c r="E472" s="24" t="s">
        <v>1003</v>
      </c>
      <c r="F472" s="18" t="s">
        <v>804</v>
      </c>
      <c r="G472" s="24" t="s">
        <v>29</v>
      </c>
      <c r="H472" s="18">
        <v>1</v>
      </c>
      <c r="I472" s="18" t="s">
        <v>64</v>
      </c>
    </row>
    <row r="473" spans="1:9" x14ac:dyDescent="0.3">
      <c r="A473" s="20">
        <v>46200</v>
      </c>
      <c r="B473" s="18" t="s">
        <v>247</v>
      </c>
      <c r="C473" s="18" t="s">
        <v>922</v>
      </c>
      <c r="D473" s="18">
        <v>1</v>
      </c>
      <c r="E473" s="24" t="s">
        <v>997</v>
      </c>
      <c r="F473" s="18" t="s">
        <v>804</v>
      </c>
      <c r="G473" s="24" t="s">
        <v>998</v>
      </c>
      <c r="H473" s="18">
        <v>1</v>
      </c>
      <c r="I473" s="18" t="s">
        <v>64</v>
      </c>
    </row>
    <row r="474" spans="1:9" x14ac:dyDescent="0.3">
      <c r="A474" s="20">
        <v>46200</v>
      </c>
      <c r="B474" s="18" t="s">
        <v>247</v>
      </c>
      <c r="C474" s="18" t="s">
        <v>155</v>
      </c>
      <c r="D474" s="18">
        <v>1</v>
      </c>
      <c r="E474" s="24" t="s">
        <v>996</v>
      </c>
      <c r="F474" s="18" t="s">
        <v>804</v>
      </c>
      <c r="G474" s="24" t="s">
        <v>835</v>
      </c>
      <c r="H474" s="18">
        <v>1</v>
      </c>
      <c r="I474" s="18" t="s">
        <v>64</v>
      </c>
    </row>
    <row r="475" spans="1:9" x14ac:dyDescent="0.3">
      <c r="A475" s="20">
        <v>46200</v>
      </c>
      <c r="B475" s="18" t="s">
        <v>247</v>
      </c>
      <c r="C475" s="18" t="s">
        <v>155</v>
      </c>
      <c r="D475" s="18">
        <v>1</v>
      </c>
      <c r="E475" s="24" t="s">
        <v>995</v>
      </c>
      <c r="F475" s="18" t="s">
        <v>804</v>
      </c>
      <c r="G475" s="24" t="s">
        <v>19</v>
      </c>
      <c r="H475" s="18">
        <v>1</v>
      </c>
      <c r="I475" s="18" t="s">
        <v>64</v>
      </c>
    </row>
    <row r="476" spans="1:9" x14ac:dyDescent="0.3">
      <c r="A476" s="20">
        <v>46201</v>
      </c>
      <c r="B476" s="18" t="s">
        <v>247</v>
      </c>
      <c r="C476" s="18" t="s">
        <v>989</v>
      </c>
      <c r="D476" s="18">
        <v>3</v>
      </c>
      <c r="E476" s="24" t="s">
        <v>990</v>
      </c>
      <c r="F476" s="18" t="s">
        <v>804</v>
      </c>
      <c r="G476" s="24" t="s">
        <v>991</v>
      </c>
      <c r="H476" s="18">
        <v>1</v>
      </c>
      <c r="I476" s="18" t="s">
        <v>64</v>
      </c>
    </row>
    <row r="477" spans="1:9" x14ac:dyDescent="0.3">
      <c r="A477" s="20">
        <v>46201</v>
      </c>
      <c r="B477" s="18" t="s">
        <v>992</v>
      </c>
      <c r="C477" s="18" t="s">
        <v>941</v>
      </c>
      <c r="D477" s="18">
        <v>3</v>
      </c>
      <c r="E477" s="24" t="s">
        <v>993</v>
      </c>
      <c r="F477" s="18" t="s">
        <v>804</v>
      </c>
      <c r="G477" s="24" t="s">
        <v>994</v>
      </c>
      <c r="H477" s="18">
        <v>1</v>
      </c>
      <c r="I477" s="18" t="s">
        <v>64</v>
      </c>
    </row>
    <row r="478" spans="1:9" ht="43.2" x14ac:dyDescent="0.3">
      <c r="A478" s="20">
        <v>46203</v>
      </c>
      <c r="B478" s="18" t="s">
        <v>986</v>
      </c>
      <c r="C478" s="18" t="s">
        <v>10</v>
      </c>
      <c r="D478" s="18">
        <v>2</v>
      </c>
      <c r="E478" s="24" t="s">
        <v>987</v>
      </c>
      <c r="F478" s="18" t="s">
        <v>804</v>
      </c>
      <c r="G478" s="24" t="s">
        <v>988</v>
      </c>
      <c r="H478" s="18">
        <v>1</v>
      </c>
      <c r="I478" s="18" t="s">
        <v>500</v>
      </c>
    </row>
    <row r="479" spans="1:9" x14ac:dyDescent="0.3">
      <c r="A479" s="20">
        <v>46203</v>
      </c>
      <c r="B479" s="18" t="s">
        <v>881</v>
      </c>
      <c r="C479" s="18" t="s">
        <v>193</v>
      </c>
      <c r="D479" s="18">
        <v>0</v>
      </c>
      <c r="E479" s="24" t="s">
        <v>430</v>
      </c>
      <c r="F479" s="18" t="s">
        <v>804</v>
      </c>
      <c r="G479" s="24" t="s">
        <v>147</v>
      </c>
      <c r="H479" s="18">
        <v>1</v>
      </c>
      <c r="I479" s="18" t="s">
        <v>52</v>
      </c>
    </row>
    <row r="480" spans="1:9" hidden="1" x14ac:dyDescent="0.3">
      <c r="A480" s="20"/>
      <c r="B480" s="18"/>
      <c r="C480" s="18"/>
      <c r="D480" s="18">
        <v>0</v>
      </c>
      <c r="E480" s="24"/>
      <c r="F480" s="18"/>
      <c r="G480" s="24"/>
      <c r="H480" s="18"/>
      <c r="I480" s="18"/>
    </row>
    <row r="481" spans="1:9" hidden="1" x14ac:dyDescent="0.3">
      <c r="A481" s="20"/>
      <c r="B481" s="18"/>
      <c r="C481" s="18"/>
      <c r="D481" s="18">
        <v>0</v>
      </c>
      <c r="E481" s="24"/>
      <c r="F481" s="18"/>
      <c r="G481" s="24"/>
      <c r="H481" s="18"/>
      <c r="I481" s="18"/>
    </row>
    <row r="482" spans="1:9" hidden="1" x14ac:dyDescent="0.3">
      <c r="A482" s="20"/>
      <c r="B482" s="18"/>
      <c r="C482" s="18"/>
      <c r="D482" s="18">
        <v>0</v>
      </c>
      <c r="E482" s="24"/>
      <c r="F482" s="18"/>
      <c r="G482" s="24"/>
      <c r="H482" s="18"/>
      <c r="I482" s="18"/>
    </row>
    <row r="483" spans="1:9" hidden="1" x14ac:dyDescent="0.3">
      <c r="A483" s="20"/>
      <c r="B483" s="18"/>
      <c r="C483" s="18"/>
      <c r="D483" s="18">
        <v>0</v>
      </c>
      <c r="E483" s="24"/>
      <c r="F483" s="18"/>
      <c r="G483" s="24"/>
      <c r="H483" s="18"/>
      <c r="I483" s="18"/>
    </row>
    <row r="484" spans="1:9" hidden="1" x14ac:dyDescent="0.3">
      <c r="A484" s="20"/>
      <c r="B484" s="18"/>
      <c r="C484" s="18"/>
      <c r="D484" s="18">
        <v>0</v>
      </c>
      <c r="E484" s="24"/>
      <c r="F484" s="18"/>
      <c r="G484" s="24"/>
      <c r="H484" s="18"/>
      <c r="I484" s="18"/>
    </row>
    <row r="485" spans="1:9" hidden="1" x14ac:dyDescent="0.3">
      <c r="A485" s="20"/>
      <c r="B485" s="18"/>
      <c r="C485" s="18"/>
      <c r="D485" s="18">
        <v>0</v>
      </c>
      <c r="E485" s="24"/>
      <c r="F485" s="18"/>
      <c r="G485" s="24"/>
      <c r="H485" s="18"/>
      <c r="I485" s="18"/>
    </row>
    <row r="486" spans="1:9" hidden="1" x14ac:dyDescent="0.3">
      <c r="A486" s="20"/>
      <c r="B486" s="18"/>
      <c r="C486" s="18"/>
      <c r="D486" s="18">
        <v>0</v>
      </c>
      <c r="E486" s="24"/>
      <c r="F486" s="18"/>
      <c r="G486" s="24"/>
      <c r="H486" s="18"/>
      <c r="I486" s="18"/>
    </row>
    <row r="487" spans="1:9" hidden="1" x14ac:dyDescent="0.3">
      <c r="A487" s="20"/>
      <c r="B487" s="18"/>
      <c r="C487" s="18"/>
      <c r="D487" s="18">
        <v>0</v>
      </c>
      <c r="E487" s="24"/>
      <c r="F487" s="18"/>
      <c r="G487" s="24"/>
      <c r="H487" s="18"/>
      <c r="I487" s="18"/>
    </row>
    <row r="488" spans="1:9" hidden="1" x14ac:dyDescent="0.3">
      <c r="A488" s="20"/>
      <c r="B488" s="18"/>
      <c r="C488" s="18"/>
      <c r="D488" s="18">
        <v>0</v>
      </c>
      <c r="E488" s="24"/>
      <c r="F488" s="18"/>
      <c r="G488" s="24"/>
      <c r="H488" s="18"/>
      <c r="I488" s="18"/>
    </row>
    <row r="489" spans="1:9" hidden="1" x14ac:dyDescent="0.3">
      <c r="A489" s="20"/>
      <c r="B489" s="18"/>
      <c r="C489" s="18"/>
      <c r="D489" s="18">
        <v>0</v>
      </c>
      <c r="E489" s="24"/>
      <c r="F489" s="18"/>
      <c r="G489" s="24"/>
      <c r="H489" s="18"/>
      <c r="I489" s="18"/>
    </row>
    <row r="490" spans="1:9" hidden="1" x14ac:dyDescent="0.3">
      <c r="A490" s="20"/>
      <c r="B490" s="18"/>
      <c r="C490" s="18"/>
      <c r="D490" s="18">
        <v>0</v>
      </c>
      <c r="E490" s="24"/>
      <c r="F490" s="18"/>
      <c r="G490" s="24"/>
      <c r="H490" s="18"/>
      <c r="I490" s="18"/>
    </row>
    <row r="491" spans="1:9" hidden="1" x14ac:dyDescent="0.3">
      <c r="A491" s="20"/>
      <c r="B491" s="18"/>
      <c r="C491" s="18"/>
      <c r="D491" s="18">
        <v>0</v>
      </c>
      <c r="E491" s="24"/>
      <c r="F491" s="18"/>
      <c r="G491" s="24"/>
      <c r="H491" s="18"/>
      <c r="I491" s="18"/>
    </row>
    <row r="492" spans="1:9" hidden="1" x14ac:dyDescent="0.3">
      <c r="A492" s="20"/>
      <c r="B492" s="18"/>
      <c r="C492" s="18"/>
      <c r="D492" s="18">
        <v>0</v>
      </c>
      <c r="E492" s="24"/>
      <c r="F492" s="18"/>
      <c r="G492" s="24"/>
      <c r="H492" s="18"/>
      <c r="I492" s="18"/>
    </row>
    <row r="493" spans="1:9" hidden="1" x14ac:dyDescent="0.3">
      <c r="A493" s="20"/>
      <c r="B493" s="18"/>
      <c r="C493" s="18"/>
      <c r="D493" s="18">
        <v>0</v>
      </c>
      <c r="E493" s="24"/>
      <c r="F493" s="18"/>
      <c r="G493" s="24"/>
      <c r="H493" s="18"/>
      <c r="I493" s="18"/>
    </row>
    <row r="494" spans="1:9" hidden="1" x14ac:dyDescent="0.3">
      <c r="A494" s="20"/>
      <c r="B494" s="18"/>
      <c r="C494" s="18"/>
      <c r="D494" s="18">
        <v>0</v>
      </c>
      <c r="E494" s="24"/>
      <c r="F494" s="18"/>
      <c r="G494" s="24"/>
      <c r="H494" s="18"/>
      <c r="I494" s="18"/>
    </row>
    <row r="495" spans="1:9" hidden="1" x14ac:dyDescent="0.3">
      <c r="A495" s="20"/>
      <c r="B495" s="18"/>
      <c r="C495" s="18"/>
      <c r="D495" s="18">
        <v>0</v>
      </c>
      <c r="E495" s="24"/>
      <c r="F495" s="18"/>
      <c r="G495" s="24"/>
      <c r="H495" s="18"/>
      <c r="I495" s="18"/>
    </row>
    <row r="496" spans="1:9" hidden="1" x14ac:dyDescent="0.3">
      <c r="A496" s="20"/>
      <c r="B496" s="18"/>
      <c r="C496" s="18"/>
      <c r="D496" s="18">
        <v>0</v>
      </c>
      <c r="E496" s="24"/>
      <c r="F496" s="18"/>
      <c r="G496" s="24"/>
      <c r="H496" s="18"/>
      <c r="I496" s="18"/>
    </row>
    <row r="497" spans="1:9" hidden="1" x14ac:dyDescent="0.3">
      <c r="A497" s="20"/>
      <c r="B497" s="18"/>
      <c r="C497" s="18"/>
      <c r="D497" s="18">
        <v>0</v>
      </c>
      <c r="E497" s="24"/>
      <c r="F497" s="18"/>
      <c r="G497" s="24"/>
      <c r="H497" s="18"/>
      <c r="I497" s="18"/>
    </row>
    <row r="498" spans="1:9" hidden="1" x14ac:dyDescent="0.3">
      <c r="A498" s="20"/>
      <c r="B498" s="18"/>
      <c r="C498" s="18"/>
      <c r="D498" s="18">
        <v>0</v>
      </c>
      <c r="E498" s="24"/>
      <c r="F498" s="18"/>
      <c r="G498" s="24"/>
      <c r="H498" s="18"/>
      <c r="I498" s="18"/>
    </row>
    <row r="499" spans="1:9" hidden="1" x14ac:dyDescent="0.3">
      <c r="A499" s="20"/>
      <c r="B499" s="18"/>
      <c r="C499" s="18"/>
      <c r="D499" s="18">
        <v>0</v>
      </c>
      <c r="E499" s="24"/>
      <c r="F499" s="18"/>
      <c r="G499" s="24"/>
      <c r="H499" s="18"/>
      <c r="I499" s="18"/>
    </row>
    <row r="500" spans="1:9" hidden="1" x14ac:dyDescent="0.3">
      <c r="A500" s="20"/>
      <c r="B500" s="18"/>
      <c r="C500" s="18"/>
      <c r="D500" s="18">
        <v>0</v>
      </c>
      <c r="E500" s="24"/>
      <c r="F500" s="18"/>
      <c r="G500" s="24"/>
      <c r="H500" s="18"/>
      <c r="I500" s="18"/>
    </row>
    <row r="501" spans="1:9" hidden="1" x14ac:dyDescent="0.3">
      <c r="A501" s="20"/>
      <c r="B501" s="18"/>
      <c r="C501" s="18"/>
      <c r="D501" s="18">
        <v>0</v>
      </c>
      <c r="E501" s="24"/>
      <c r="F501" s="18"/>
      <c r="G501" s="24"/>
      <c r="H501" s="18"/>
      <c r="I501" s="18"/>
    </row>
    <row r="502" spans="1:9" hidden="1" x14ac:dyDescent="0.3">
      <c r="A502" s="20"/>
      <c r="B502" s="18"/>
      <c r="C502" s="18"/>
      <c r="D502" s="18">
        <v>0</v>
      </c>
      <c r="E502" s="24"/>
      <c r="F502" s="18"/>
      <c r="G502" s="24"/>
      <c r="H502" s="18"/>
      <c r="I502" s="18"/>
    </row>
    <row r="503" spans="1:9" hidden="1" x14ac:dyDescent="0.3">
      <c r="A503" s="20"/>
      <c r="B503" s="18"/>
      <c r="C503" s="18"/>
      <c r="D503" s="18">
        <v>0</v>
      </c>
      <c r="E503" s="24"/>
      <c r="F503" s="18"/>
      <c r="G503" s="24"/>
      <c r="H503" s="18"/>
      <c r="I503" s="18"/>
    </row>
    <row r="504" spans="1:9" hidden="1" x14ac:dyDescent="0.3">
      <c r="A504" s="20"/>
      <c r="B504" s="18"/>
      <c r="C504" s="18"/>
      <c r="D504" s="18">
        <v>0</v>
      </c>
      <c r="E504" s="24"/>
      <c r="F504" s="18"/>
      <c r="G504" s="24"/>
      <c r="H504" s="18"/>
      <c r="I504" s="18"/>
    </row>
    <row r="505" spans="1:9" hidden="1" x14ac:dyDescent="0.3">
      <c r="A505" s="20"/>
      <c r="B505" s="18"/>
      <c r="C505" s="18"/>
      <c r="D505" s="18">
        <v>0</v>
      </c>
      <c r="E505" s="24"/>
      <c r="F505" s="18"/>
      <c r="G505" s="24"/>
      <c r="H505" s="18"/>
      <c r="I505" s="18"/>
    </row>
    <row r="506" spans="1:9" hidden="1" x14ac:dyDescent="0.3">
      <c r="A506" s="20"/>
      <c r="B506" s="18"/>
      <c r="C506" s="18"/>
      <c r="D506" s="18">
        <v>0</v>
      </c>
      <c r="E506" s="24"/>
      <c r="F506" s="18"/>
      <c r="G506" s="24"/>
      <c r="H506" s="18"/>
      <c r="I506" s="18"/>
    </row>
    <row r="507" spans="1:9" hidden="1" x14ac:dyDescent="0.3">
      <c r="A507" s="20"/>
      <c r="B507" s="18"/>
      <c r="C507" s="18"/>
      <c r="D507" s="18">
        <v>0</v>
      </c>
      <c r="E507" s="24"/>
      <c r="F507" s="18"/>
      <c r="G507" s="24"/>
      <c r="H507" s="18"/>
      <c r="I507" s="18"/>
    </row>
    <row r="508" spans="1:9" hidden="1" x14ac:dyDescent="0.3">
      <c r="A508" s="20"/>
      <c r="B508" s="18"/>
      <c r="C508" s="18"/>
      <c r="D508" s="18">
        <v>0</v>
      </c>
      <c r="E508" s="24"/>
      <c r="F508" s="18"/>
      <c r="G508" s="24"/>
      <c r="H508" s="18"/>
      <c r="I508" s="18"/>
    </row>
    <row r="509" spans="1:9" hidden="1" x14ac:dyDescent="0.3">
      <c r="A509" s="20"/>
      <c r="B509" s="18"/>
      <c r="C509" s="18"/>
      <c r="D509" s="18">
        <v>0</v>
      </c>
      <c r="E509" s="24"/>
      <c r="F509" s="18"/>
      <c r="G509" s="24"/>
      <c r="H509" s="18"/>
      <c r="I509" s="18"/>
    </row>
    <row r="510" spans="1:9" hidden="1" x14ac:dyDescent="0.3">
      <c r="A510" s="20"/>
      <c r="B510" s="18"/>
      <c r="C510" s="18"/>
      <c r="D510" s="18">
        <v>0</v>
      </c>
      <c r="E510" s="24"/>
      <c r="F510" s="18"/>
      <c r="G510" s="24"/>
      <c r="H510" s="18"/>
      <c r="I510" s="18"/>
    </row>
    <row r="511" spans="1:9" hidden="1" x14ac:dyDescent="0.3">
      <c r="A511" s="20"/>
      <c r="B511" s="18"/>
      <c r="C511" s="18"/>
      <c r="D511" s="18">
        <v>0</v>
      </c>
      <c r="E511" s="24"/>
      <c r="F511" s="18"/>
      <c r="G511" s="24"/>
      <c r="H511" s="18"/>
      <c r="I511" s="18"/>
    </row>
    <row r="512" spans="1:9" hidden="1" x14ac:dyDescent="0.3">
      <c r="A512" s="20"/>
      <c r="B512" s="18"/>
      <c r="C512" s="18"/>
      <c r="D512" s="18">
        <v>0</v>
      </c>
      <c r="E512" s="24"/>
      <c r="F512" s="18"/>
      <c r="G512" s="24"/>
      <c r="H512" s="18"/>
      <c r="I512" s="18"/>
    </row>
    <row r="513" spans="1:9" hidden="1" x14ac:dyDescent="0.3">
      <c r="A513" s="20"/>
      <c r="B513" s="18"/>
      <c r="C513" s="18"/>
      <c r="D513" s="18">
        <v>0</v>
      </c>
      <c r="E513" s="24"/>
      <c r="F513" s="18"/>
      <c r="G513" s="24"/>
      <c r="H513" s="18"/>
      <c r="I513" s="18"/>
    </row>
    <row r="514" spans="1:9" hidden="1" x14ac:dyDescent="0.3">
      <c r="A514" s="20"/>
      <c r="B514" s="18"/>
      <c r="C514" s="18"/>
      <c r="D514" s="18">
        <v>0</v>
      </c>
      <c r="E514" s="24"/>
      <c r="F514" s="18"/>
      <c r="G514" s="24"/>
      <c r="H514" s="18"/>
      <c r="I514" s="18"/>
    </row>
    <row r="515" spans="1:9" hidden="1" x14ac:dyDescent="0.3">
      <c r="A515" s="20"/>
      <c r="B515" s="18"/>
      <c r="C515" s="18"/>
      <c r="D515" s="18">
        <v>0</v>
      </c>
      <c r="E515" s="24"/>
      <c r="F515" s="18"/>
      <c r="G515" s="24"/>
      <c r="H515" s="18"/>
      <c r="I515" s="18"/>
    </row>
    <row r="516" spans="1:9" hidden="1" x14ac:dyDescent="0.3">
      <c r="A516" s="20"/>
      <c r="B516" s="18"/>
      <c r="C516" s="18"/>
      <c r="D516" s="18">
        <v>0</v>
      </c>
      <c r="E516" s="24"/>
      <c r="F516" s="18"/>
      <c r="G516" s="24"/>
      <c r="H516" s="18"/>
      <c r="I516" s="18"/>
    </row>
    <row r="517" spans="1:9" hidden="1" x14ac:dyDescent="0.3">
      <c r="A517" s="20"/>
      <c r="B517" s="18"/>
      <c r="C517" s="18"/>
      <c r="D517" s="18">
        <v>0</v>
      </c>
      <c r="E517" s="24"/>
      <c r="F517" s="18"/>
      <c r="G517" s="24"/>
      <c r="H517" s="18"/>
      <c r="I517" s="18"/>
    </row>
    <row r="518" spans="1:9" hidden="1" x14ac:dyDescent="0.3">
      <c r="A518" s="20"/>
      <c r="B518" s="18"/>
      <c r="C518" s="18"/>
      <c r="D518" s="18">
        <v>0</v>
      </c>
      <c r="E518" s="24"/>
      <c r="F518" s="18"/>
      <c r="G518" s="24"/>
      <c r="H518" s="18"/>
      <c r="I518" s="18"/>
    </row>
    <row r="519" spans="1:9" hidden="1" x14ac:dyDescent="0.3">
      <c r="A519" s="20"/>
      <c r="B519" s="18"/>
      <c r="C519" s="18"/>
      <c r="D519" s="18">
        <v>0</v>
      </c>
      <c r="E519" s="24"/>
      <c r="F519" s="18"/>
      <c r="G519" s="24"/>
      <c r="H519" s="18"/>
      <c r="I519" s="18"/>
    </row>
    <row r="520" spans="1:9" hidden="1" x14ac:dyDescent="0.3">
      <c r="A520" s="20"/>
      <c r="B520" s="18"/>
      <c r="C520" s="18"/>
      <c r="D520" s="18">
        <v>0</v>
      </c>
      <c r="E520" s="24"/>
      <c r="F520" s="18"/>
      <c r="G520" s="24"/>
      <c r="H520" s="18"/>
      <c r="I520" s="18"/>
    </row>
    <row r="521" spans="1:9" hidden="1" x14ac:dyDescent="0.3">
      <c r="A521" s="20"/>
      <c r="B521" s="18"/>
      <c r="C521" s="18"/>
      <c r="D521" s="18">
        <v>0</v>
      </c>
      <c r="E521" s="24"/>
      <c r="F521" s="18"/>
      <c r="G521" s="24"/>
      <c r="H521" s="18"/>
      <c r="I521" s="18"/>
    </row>
    <row r="522" spans="1:9" hidden="1" x14ac:dyDescent="0.3">
      <c r="A522" s="20"/>
      <c r="B522" s="18"/>
      <c r="C522" s="18"/>
      <c r="D522" s="18">
        <v>0</v>
      </c>
      <c r="E522" s="24"/>
      <c r="F522" s="18"/>
      <c r="G522" s="24"/>
      <c r="H522" s="18"/>
      <c r="I522" s="18"/>
    </row>
    <row r="523" spans="1:9" hidden="1" x14ac:dyDescent="0.3">
      <c r="A523" s="20"/>
      <c r="B523" s="18"/>
      <c r="C523" s="18"/>
      <c r="D523" s="18">
        <v>0</v>
      </c>
      <c r="E523" s="24"/>
      <c r="F523" s="18"/>
      <c r="G523" s="24"/>
      <c r="H523" s="18"/>
      <c r="I523" s="18"/>
    </row>
    <row r="524" spans="1:9" hidden="1" x14ac:dyDescent="0.3">
      <c r="A524" s="20"/>
      <c r="B524" s="18"/>
      <c r="C524" s="18"/>
      <c r="D524" s="18">
        <v>0</v>
      </c>
      <c r="E524" s="24"/>
      <c r="F524" s="18"/>
      <c r="G524" s="24"/>
      <c r="H524" s="18"/>
      <c r="I524" s="18"/>
    </row>
    <row r="525" spans="1:9" hidden="1" x14ac:dyDescent="0.3">
      <c r="A525" s="20"/>
      <c r="B525" s="18"/>
      <c r="C525" s="18"/>
      <c r="D525" s="18">
        <v>0</v>
      </c>
      <c r="E525" s="24"/>
      <c r="F525" s="18"/>
      <c r="G525" s="24"/>
      <c r="H525" s="18"/>
      <c r="I525" s="18"/>
    </row>
    <row r="526" spans="1:9" hidden="1" x14ac:dyDescent="0.3">
      <c r="A526" s="20"/>
      <c r="B526" s="18"/>
      <c r="C526" s="18"/>
      <c r="D526" s="18">
        <v>0</v>
      </c>
      <c r="E526" s="24"/>
      <c r="F526" s="18"/>
      <c r="G526" s="24"/>
      <c r="H526" s="18"/>
      <c r="I526" s="18"/>
    </row>
    <row r="527" spans="1:9" hidden="1" x14ac:dyDescent="0.3">
      <c r="A527" s="20"/>
      <c r="B527" s="18"/>
      <c r="C527" s="18"/>
      <c r="D527" s="18">
        <v>0</v>
      </c>
      <c r="E527" s="24"/>
      <c r="F527" s="18"/>
      <c r="G527" s="24"/>
      <c r="H527" s="18"/>
      <c r="I527" s="18"/>
    </row>
    <row r="528" spans="1:9" hidden="1" x14ac:dyDescent="0.3">
      <c r="A528" s="20"/>
      <c r="B528" s="18"/>
      <c r="C528" s="18"/>
      <c r="D528" s="18">
        <v>0</v>
      </c>
      <c r="E528" s="24"/>
      <c r="F528" s="18"/>
      <c r="G528" s="24"/>
      <c r="H528" s="18"/>
      <c r="I528" s="18"/>
    </row>
    <row r="529" spans="1:9" hidden="1" x14ac:dyDescent="0.3">
      <c r="A529" s="20"/>
      <c r="B529" s="18"/>
      <c r="C529" s="18"/>
      <c r="D529" s="18">
        <v>0</v>
      </c>
      <c r="E529" s="24"/>
      <c r="F529" s="18"/>
      <c r="G529" s="24"/>
      <c r="H529" s="18"/>
      <c r="I529" s="18"/>
    </row>
    <row r="530" spans="1:9" hidden="1" x14ac:dyDescent="0.3">
      <c r="A530" s="20"/>
      <c r="B530" s="18"/>
      <c r="C530" s="18"/>
      <c r="D530" s="18">
        <v>0</v>
      </c>
      <c r="E530" s="24"/>
      <c r="F530" s="18"/>
      <c r="G530" s="24"/>
      <c r="H530" s="18"/>
      <c r="I530" s="18"/>
    </row>
    <row r="531" spans="1:9" hidden="1" x14ac:dyDescent="0.3">
      <c r="A531" s="20"/>
      <c r="B531" s="18"/>
      <c r="C531" s="18"/>
      <c r="D531" s="18">
        <v>0</v>
      </c>
      <c r="E531" s="24"/>
      <c r="F531" s="18"/>
      <c r="G531" s="24"/>
      <c r="H531" s="18"/>
      <c r="I531" s="18"/>
    </row>
    <row r="532" spans="1:9" hidden="1" x14ac:dyDescent="0.3">
      <c r="A532" s="20"/>
      <c r="B532" s="18"/>
      <c r="C532" s="18"/>
      <c r="D532" s="18">
        <v>0</v>
      </c>
      <c r="E532" s="24"/>
      <c r="F532" s="18"/>
      <c r="G532" s="24"/>
      <c r="H532" s="18"/>
      <c r="I532" s="18"/>
    </row>
    <row r="533" spans="1:9" hidden="1" x14ac:dyDescent="0.3">
      <c r="A533" s="20"/>
      <c r="B533" s="18"/>
      <c r="C533" s="18"/>
      <c r="D533" s="18">
        <v>0</v>
      </c>
      <c r="E533" s="24"/>
      <c r="F533" s="18"/>
      <c r="G533" s="24"/>
      <c r="H533" s="18"/>
      <c r="I533" s="18"/>
    </row>
    <row r="534" spans="1:9" hidden="1" x14ac:dyDescent="0.3">
      <c r="A534" s="20"/>
      <c r="B534" s="18"/>
      <c r="C534" s="18"/>
      <c r="D534" s="18">
        <v>0</v>
      </c>
      <c r="E534" s="24"/>
      <c r="F534" s="18"/>
      <c r="G534" s="24"/>
      <c r="H534" s="18"/>
      <c r="I534" s="18"/>
    </row>
    <row r="535" spans="1:9" hidden="1" x14ac:dyDescent="0.3">
      <c r="A535" s="20"/>
      <c r="B535" s="18"/>
      <c r="C535" s="18"/>
      <c r="D535" s="18">
        <v>0</v>
      </c>
      <c r="E535" s="24"/>
      <c r="F535" s="18"/>
      <c r="G535" s="24"/>
      <c r="H535" s="18"/>
      <c r="I535" s="18"/>
    </row>
    <row r="536" spans="1:9" hidden="1" x14ac:dyDescent="0.3">
      <c r="A536" s="20"/>
      <c r="B536" s="18"/>
      <c r="C536" s="18"/>
      <c r="D536" s="18">
        <v>0</v>
      </c>
      <c r="E536" s="24"/>
      <c r="F536" s="18"/>
      <c r="G536" s="24"/>
      <c r="H536" s="18"/>
      <c r="I536" s="18"/>
    </row>
    <row r="537" spans="1:9" hidden="1" x14ac:dyDescent="0.3">
      <c r="A537" s="20"/>
      <c r="B537" s="18"/>
      <c r="C537" s="18"/>
      <c r="D537" s="18">
        <v>0</v>
      </c>
      <c r="E537" s="24"/>
      <c r="F537" s="18"/>
      <c r="G537" s="24"/>
      <c r="H537" s="18"/>
      <c r="I537" s="18"/>
    </row>
    <row r="538" spans="1:9" hidden="1" x14ac:dyDescent="0.3">
      <c r="A538" s="20"/>
      <c r="B538" s="18"/>
      <c r="C538" s="18"/>
      <c r="D538" s="18">
        <v>0</v>
      </c>
      <c r="E538" s="24"/>
      <c r="F538" s="18"/>
      <c r="G538" s="24"/>
      <c r="H538" s="18"/>
      <c r="I538" s="18"/>
    </row>
    <row r="539" spans="1:9" hidden="1" x14ac:dyDescent="0.3">
      <c r="A539" s="20"/>
      <c r="B539" s="18"/>
      <c r="C539" s="18"/>
      <c r="D539" s="18">
        <v>0</v>
      </c>
      <c r="E539" s="24"/>
      <c r="F539" s="18"/>
      <c r="G539" s="24"/>
      <c r="H539" s="18"/>
      <c r="I539" s="18"/>
    </row>
    <row r="540" spans="1:9" hidden="1" x14ac:dyDescent="0.3">
      <c r="A540" s="20"/>
      <c r="B540" s="18"/>
      <c r="C540" s="18"/>
      <c r="D540" s="18">
        <v>0</v>
      </c>
      <c r="E540" s="24"/>
      <c r="F540" s="18"/>
      <c r="G540" s="24"/>
      <c r="H540" s="18"/>
      <c r="I540" s="18"/>
    </row>
    <row r="541" spans="1:9" hidden="1" x14ac:dyDescent="0.3">
      <c r="A541" s="20"/>
      <c r="B541" s="18"/>
      <c r="C541" s="18"/>
      <c r="D541" s="18">
        <v>0</v>
      </c>
      <c r="E541" s="24"/>
      <c r="F541" s="18"/>
      <c r="G541" s="24"/>
      <c r="H541" s="18"/>
      <c r="I541" s="18"/>
    </row>
    <row r="542" spans="1:9" hidden="1" x14ac:dyDescent="0.3">
      <c r="A542" s="20"/>
      <c r="B542" s="18"/>
      <c r="C542" s="18"/>
      <c r="D542" s="18">
        <v>0</v>
      </c>
      <c r="E542" s="24"/>
      <c r="F542" s="18"/>
      <c r="G542" s="24"/>
      <c r="H542" s="18"/>
      <c r="I542" s="18"/>
    </row>
    <row r="543" spans="1:9" hidden="1" x14ac:dyDescent="0.3">
      <c r="A543" s="20"/>
      <c r="B543" s="18"/>
      <c r="C543" s="18"/>
      <c r="D543" s="18">
        <v>0</v>
      </c>
      <c r="E543" s="24"/>
      <c r="F543" s="18"/>
      <c r="G543" s="24"/>
      <c r="H543" s="18"/>
      <c r="I543" s="18"/>
    </row>
    <row r="544" spans="1:9" hidden="1" x14ac:dyDescent="0.3">
      <c r="A544" s="20"/>
      <c r="B544" s="18"/>
      <c r="C544" s="18"/>
      <c r="D544" s="18">
        <v>0</v>
      </c>
      <c r="E544" s="24"/>
      <c r="F544" s="18"/>
      <c r="G544" s="24"/>
      <c r="H544" s="18"/>
      <c r="I544" s="18"/>
    </row>
    <row r="545" spans="1:9" hidden="1" x14ac:dyDescent="0.3">
      <c r="A545" s="20"/>
      <c r="B545" s="18"/>
      <c r="C545" s="18"/>
      <c r="D545" s="18">
        <v>0</v>
      </c>
      <c r="E545" s="24"/>
      <c r="F545" s="18"/>
      <c r="G545" s="24"/>
      <c r="H545" s="18"/>
      <c r="I545" s="18"/>
    </row>
    <row r="546" spans="1:9" hidden="1" x14ac:dyDescent="0.3">
      <c r="A546" s="20"/>
      <c r="B546" s="18"/>
      <c r="C546" s="18"/>
      <c r="D546" s="18">
        <v>0</v>
      </c>
      <c r="E546" s="24"/>
      <c r="F546" s="18"/>
      <c r="G546" s="24"/>
      <c r="H546" s="18"/>
      <c r="I546" s="18"/>
    </row>
    <row r="547" spans="1:9" hidden="1" x14ac:dyDescent="0.3">
      <c r="A547" s="20"/>
      <c r="B547" s="18"/>
      <c r="C547" s="18"/>
      <c r="D547" s="18">
        <v>0</v>
      </c>
      <c r="E547" s="24"/>
      <c r="F547" s="18"/>
      <c r="G547" s="24"/>
      <c r="H547" s="18"/>
      <c r="I547" s="18"/>
    </row>
    <row r="548" spans="1:9" hidden="1" x14ac:dyDescent="0.3">
      <c r="A548" s="20"/>
      <c r="B548" s="18"/>
      <c r="C548" s="18"/>
      <c r="D548" s="18">
        <v>0</v>
      </c>
      <c r="E548" s="24"/>
      <c r="F548" s="18"/>
      <c r="G548" s="24"/>
      <c r="H548" s="18"/>
      <c r="I548" s="18"/>
    </row>
    <row r="549" spans="1:9" hidden="1" x14ac:dyDescent="0.3">
      <c r="A549" s="20"/>
      <c r="B549" s="18"/>
      <c r="C549" s="18"/>
      <c r="D549" s="18">
        <v>0</v>
      </c>
      <c r="E549" s="24"/>
      <c r="F549" s="18"/>
      <c r="G549" s="24"/>
      <c r="H549" s="18"/>
      <c r="I549" s="18"/>
    </row>
    <row r="550" spans="1:9" hidden="1" x14ac:dyDescent="0.3">
      <c r="A550" s="20"/>
      <c r="B550" s="18"/>
      <c r="C550" s="18"/>
      <c r="D550" s="18">
        <v>0</v>
      </c>
      <c r="E550" s="24"/>
      <c r="F550" s="18"/>
      <c r="G550" s="24"/>
      <c r="H550" s="18"/>
      <c r="I550" s="18"/>
    </row>
    <row r="551" spans="1:9" hidden="1" x14ac:dyDescent="0.3">
      <c r="A551" s="20"/>
      <c r="B551" s="18"/>
      <c r="C551" s="18"/>
      <c r="D551" s="18">
        <v>0</v>
      </c>
      <c r="E551" s="24"/>
      <c r="F551" s="18"/>
      <c r="G551" s="24"/>
      <c r="H551" s="18"/>
      <c r="I551" s="18"/>
    </row>
    <row r="552" spans="1:9" hidden="1" x14ac:dyDescent="0.3">
      <c r="A552" s="20"/>
      <c r="B552" s="18"/>
      <c r="C552" s="18"/>
      <c r="D552" s="18">
        <v>0</v>
      </c>
      <c r="E552" s="24"/>
      <c r="F552" s="18"/>
      <c r="G552" s="24"/>
      <c r="H552" s="18"/>
      <c r="I552" s="18"/>
    </row>
    <row r="553" spans="1:9" hidden="1" x14ac:dyDescent="0.3">
      <c r="A553" s="20"/>
      <c r="B553" s="18"/>
      <c r="C553" s="18"/>
      <c r="D553" s="18">
        <v>0</v>
      </c>
      <c r="E553" s="24"/>
      <c r="F553" s="18"/>
      <c r="G553" s="24"/>
      <c r="H553" s="18"/>
      <c r="I553" s="18"/>
    </row>
    <row r="554" spans="1:9" hidden="1" x14ac:dyDescent="0.3">
      <c r="A554" s="20"/>
      <c r="B554" s="18"/>
      <c r="C554" s="18"/>
      <c r="D554" s="18">
        <v>0</v>
      </c>
      <c r="E554" s="24"/>
      <c r="F554" s="18"/>
      <c r="G554" s="24"/>
      <c r="H554" s="18"/>
      <c r="I554" s="18"/>
    </row>
    <row r="555" spans="1:9" hidden="1" x14ac:dyDescent="0.3">
      <c r="A555" s="20"/>
      <c r="B555" s="18"/>
      <c r="C555" s="18"/>
      <c r="D555" s="18">
        <v>0</v>
      </c>
      <c r="E555" s="24"/>
      <c r="F555" s="18"/>
      <c r="G555" s="24"/>
      <c r="H555" s="18"/>
      <c r="I555" s="18"/>
    </row>
    <row r="556" spans="1:9" hidden="1" x14ac:dyDescent="0.3">
      <c r="A556" s="20"/>
      <c r="B556" s="18"/>
      <c r="C556" s="18"/>
      <c r="D556" s="18">
        <v>0</v>
      </c>
      <c r="E556" s="24"/>
      <c r="F556" s="18"/>
      <c r="G556" s="24"/>
      <c r="H556" s="18"/>
      <c r="I556" s="18"/>
    </row>
    <row r="557" spans="1:9" hidden="1" x14ac:dyDescent="0.3">
      <c r="A557" s="20"/>
      <c r="B557" s="18"/>
      <c r="C557" s="18"/>
      <c r="D557" s="18">
        <v>0</v>
      </c>
      <c r="E557" s="24"/>
      <c r="F557" s="18"/>
      <c r="G557" s="24"/>
      <c r="H557" s="18"/>
      <c r="I557" s="18"/>
    </row>
    <row r="558" spans="1:9" hidden="1" x14ac:dyDescent="0.3">
      <c r="A558" s="20"/>
      <c r="B558" s="18"/>
      <c r="C558" s="18"/>
      <c r="D558" s="18">
        <v>0</v>
      </c>
      <c r="E558" s="24"/>
      <c r="F558" s="18"/>
      <c r="G558" s="24"/>
      <c r="H558" s="18"/>
      <c r="I558" s="18"/>
    </row>
    <row r="559" spans="1:9" hidden="1" x14ac:dyDescent="0.3">
      <c r="A559" s="20"/>
      <c r="B559" s="18"/>
      <c r="C559" s="18"/>
      <c r="D559" s="18">
        <v>0</v>
      </c>
      <c r="E559" s="24"/>
      <c r="F559" s="18"/>
      <c r="G559" s="24"/>
      <c r="H559" s="18"/>
      <c r="I559" s="18"/>
    </row>
    <row r="560" spans="1:9" hidden="1" x14ac:dyDescent="0.3">
      <c r="A560" s="20"/>
      <c r="B560" s="18"/>
      <c r="C560" s="18"/>
      <c r="D560" s="18">
        <v>0</v>
      </c>
      <c r="E560" s="24"/>
      <c r="F560" s="18"/>
      <c r="G560" s="24"/>
      <c r="H560" s="18"/>
      <c r="I560" s="18"/>
    </row>
    <row r="561" spans="1:9" hidden="1" x14ac:dyDescent="0.3">
      <c r="A561" s="20"/>
      <c r="B561" s="18"/>
      <c r="C561" s="18"/>
      <c r="D561" s="18">
        <v>0</v>
      </c>
      <c r="E561" s="24"/>
      <c r="F561" s="18"/>
      <c r="G561" s="24"/>
      <c r="H561" s="18"/>
      <c r="I561" s="18"/>
    </row>
    <row r="562" spans="1:9" hidden="1" x14ac:dyDescent="0.3">
      <c r="A562" s="20"/>
      <c r="B562" s="18"/>
      <c r="C562" s="18"/>
      <c r="D562" s="18">
        <v>0</v>
      </c>
      <c r="E562" s="24"/>
      <c r="F562" s="18"/>
      <c r="G562" s="24"/>
      <c r="H562" s="18"/>
      <c r="I562" s="18"/>
    </row>
    <row r="563" spans="1:9" hidden="1" x14ac:dyDescent="0.3">
      <c r="A563" s="20"/>
      <c r="B563" s="18"/>
      <c r="C563" s="18"/>
      <c r="D563" s="18">
        <v>0</v>
      </c>
      <c r="E563" s="24"/>
      <c r="F563" s="18"/>
      <c r="G563" s="24"/>
      <c r="H563" s="18"/>
      <c r="I563" s="18"/>
    </row>
    <row r="564" spans="1:9" hidden="1" x14ac:dyDescent="0.3">
      <c r="A564" s="20"/>
      <c r="B564" s="18"/>
      <c r="C564" s="18"/>
      <c r="D564" s="18">
        <v>0</v>
      </c>
      <c r="E564" s="24"/>
      <c r="F564" s="18"/>
      <c r="G564" s="24"/>
      <c r="H564" s="18"/>
      <c r="I564" s="18"/>
    </row>
    <row r="565" spans="1:9" hidden="1" x14ac:dyDescent="0.3">
      <c r="A565" s="20"/>
      <c r="B565" s="18"/>
      <c r="C565" s="18"/>
      <c r="D565" s="18">
        <v>0</v>
      </c>
      <c r="E565" s="24"/>
      <c r="F565" s="18"/>
      <c r="G565" s="24"/>
      <c r="H565" s="18"/>
      <c r="I565" s="18"/>
    </row>
    <row r="566" spans="1:9" hidden="1" x14ac:dyDescent="0.3">
      <c r="A566" s="20"/>
      <c r="B566" s="18"/>
      <c r="C566" s="18"/>
      <c r="D566" s="18">
        <v>0</v>
      </c>
      <c r="E566" s="24"/>
      <c r="F566" s="18"/>
      <c r="G566" s="24"/>
      <c r="H566" s="18"/>
      <c r="I566" s="18"/>
    </row>
    <row r="567" spans="1:9" hidden="1" x14ac:dyDescent="0.3">
      <c r="A567" s="20"/>
      <c r="B567" s="18"/>
      <c r="C567" s="18"/>
      <c r="D567" s="18">
        <v>0</v>
      </c>
      <c r="E567" s="24"/>
      <c r="F567" s="18"/>
      <c r="G567" s="24"/>
      <c r="H567" s="18"/>
      <c r="I567" s="18"/>
    </row>
    <row r="568" spans="1:9" hidden="1" x14ac:dyDescent="0.3">
      <c r="A568" s="20"/>
      <c r="B568" s="18"/>
      <c r="C568" s="18"/>
      <c r="D568" s="18">
        <v>0</v>
      </c>
      <c r="E568" s="24"/>
      <c r="F568" s="18"/>
      <c r="G568" s="24"/>
      <c r="H568" s="18"/>
      <c r="I568" s="18"/>
    </row>
    <row r="569" spans="1:9" hidden="1" x14ac:dyDescent="0.3">
      <c r="A569" s="20"/>
      <c r="B569" s="18"/>
      <c r="C569" s="18"/>
      <c r="D569" s="18">
        <v>0</v>
      </c>
      <c r="E569" s="24"/>
      <c r="F569" s="18"/>
      <c r="G569" s="24"/>
      <c r="H569" s="18"/>
      <c r="I569" s="18"/>
    </row>
    <row r="570" spans="1:9" hidden="1" x14ac:dyDescent="0.3">
      <c r="A570" s="20"/>
      <c r="B570" s="18"/>
      <c r="C570" s="18"/>
      <c r="D570" s="18">
        <v>0</v>
      </c>
      <c r="E570" s="24"/>
      <c r="F570" s="18"/>
      <c r="G570" s="24"/>
      <c r="H570" s="18"/>
      <c r="I570" s="18"/>
    </row>
    <row r="571" spans="1:9" hidden="1" x14ac:dyDescent="0.3">
      <c r="A571" s="20"/>
      <c r="B571" s="18"/>
      <c r="C571" s="18"/>
      <c r="D571" s="18">
        <v>0</v>
      </c>
      <c r="E571" s="24"/>
      <c r="F571" s="18"/>
      <c r="G571" s="24"/>
      <c r="H571" s="18"/>
      <c r="I571" s="18"/>
    </row>
    <row r="572" spans="1:9" hidden="1" x14ac:dyDescent="0.3">
      <c r="A572" s="20"/>
      <c r="B572" s="18"/>
      <c r="C572" s="18"/>
      <c r="D572" s="18">
        <v>0</v>
      </c>
      <c r="E572" s="24"/>
      <c r="F572" s="18"/>
      <c r="G572" s="24"/>
      <c r="H572" s="18"/>
      <c r="I572" s="18"/>
    </row>
    <row r="573" spans="1:9" hidden="1" x14ac:dyDescent="0.3">
      <c r="A573" s="20"/>
      <c r="B573" s="18"/>
      <c r="C573" s="18"/>
      <c r="D573" s="18">
        <v>0</v>
      </c>
      <c r="E573" s="24"/>
      <c r="F573" s="18"/>
      <c r="G573" s="24"/>
      <c r="H573" s="18"/>
      <c r="I573" s="18"/>
    </row>
    <row r="574" spans="1:9" hidden="1" x14ac:dyDescent="0.3">
      <c r="A574" s="20"/>
      <c r="B574" s="18"/>
      <c r="C574" s="18"/>
      <c r="D574" s="18">
        <v>0</v>
      </c>
      <c r="E574" s="24"/>
      <c r="F574" s="18"/>
      <c r="G574" s="24"/>
      <c r="H574" s="18"/>
      <c r="I574" s="18"/>
    </row>
    <row r="575" spans="1:9" hidden="1" x14ac:dyDescent="0.3">
      <c r="A575" s="20"/>
      <c r="B575" s="18"/>
      <c r="C575" s="18"/>
      <c r="D575" s="18">
        <v>0</v>
      </c>
      <c r="E575" s="24"/>
      <c r="F575" s="18"/>
      <c r="G575" s="24"/>
      <c r="H575" s="18"/>
      <c r="I575" s="18"/>
    </row>
    <row r="576" spans="1:9" hidden="1" x14ac:dyDescent="0.3">
      <c r="A576" s="20"/>
      <c r="B576" s="18"/>
      <c r="C576" s="18"/>
      <c r="D576" s="18">
        <v>0</v>
      </c>
      <c r="E576" s="24"/>
      <c r="F576" s="18"/>
      <c r="G576" s="24"/>
      <c r="H576" s="18"/>
      <c r="I576" s="18"/>
    </row>
    <row r="577" spans="1:9" hidden="1" x14ac:dyDescent="0.3">
      <c r="A577" s="20"/>
      <c r="B577" s="18"/>
      <c r="C577" s="18"/>
      <c r="D577" s="18">
        <v>0</v>
      </c>
      <c r="E577" s="24"/>
      <c r="F577" s="18"/>
      <c r="G577" s="24"/>
      <c r="H577" s="18"/>
      <c r="I577" s="18"/>
    </row>
    <row r="578" spans="1:9" hidden="1" x14ac:dyDescent="0.3">
      <c r="A578" s="20"/>
      <c r="B578" s="18"/>
      <c r="C578" s="18"/>
      <c r="D578" s="18">
        <v>0</v>
      </c>
      <c r="E578" s="24"/>
      <c r="F578" s="18"/>
      <c r="G578" s="24"/>
      <c r="H578" s="18"/>
      <c r="I578" s="18"/>
    </row>
    <row r="579" spans="1:9" hidden="1" x14ac:dyDescent="0.3">
      <c r="A579" s="20"/>
      <c r="B579" s="18"/>
      <c r="C579" s="18"/>
      <c r="D579" s="18">
        <v>0</v>
      </c>
      <c r="E579" s="24"/>
      <c r="F579" s="18"/>
      <c r="G579" s="24"/>
      <c r="H579" s="18"/>
      <c r="I579" s="18"/>
    </row>
    <row r="580" spans="1:9" hidden="1" x14ac:dyDescent="0.3">
      <c r="A580" s="20"/>
      <c r="B580" s="18"/>
      <c r="C580" s="18"/>
      <c r="D580" s="18">
        <v>0</v>
      </c>
      <c r="E580" s="24"/>
      <c r="F580" s="18"/>
      <c r="G580" s="24"/>
      <c r="H580" s="18"/>
      <c r="I580" s="18"/>
    </row>
    <row r="581" spans="1:9" hidden="1" x14ac:dyDescent="0.3">
      <c r="A581" s="20"/>
      <c r="B581" s="18"/>
      <c r="C581" s="18"/>
      <c r="D581" s="18">
        <v>0</v>
      </c>
      <c r="E581" s="24"/>
      <c r="F581" s="18"/>
      <c r="G581" s="24"/>
      <c r="H581" s="18"/>
      <c r="I581" s="18"/>
    </row>
    <row r="582" spans="1:9" hidden="1" x14ac:dyDescent="0.3">
      <c r="A582" s="20"/>
      <c r="B582" s="18"/>
      <c r="C582" s="18"/>
      <c r="D582" s="18">
        <v>0</v>
      </c>
      <c r="E582" s="24"/>
      <c r="F582" s="18"/>
      <c r="G582" s="24"/>
      <c r="H582" s="18"/>
      <c r="I582" s="18"/>
    </row>
    <row r="583" spans="1:9" hidden="1" x14ac:dyDescent="0.3">
      <c r="A583" s="20"/>
      <c r="B583" s="18"/>
      <c r="C583" s="18"/>
      <c r="D583" s="18">
        <v>0</v>
      </c>
      <c r="E583" s="24"/>
      <c r="F583" s="18"/>
      <c r="G583" s="24"/>
      <c r="H583" s="18"/>
      <c r="I583" s="18"/>
    </row>
    <row r="584" spans="1:9" hidden="1" x14ac:dyDescent="0.3">
      <c r="A584" s="20"/>
      <c r="B584" s="18"/>
      <c r="C584" s="18"/>
      <c r="D584" s="18">
        <v>0</v>
      </c>
      <c r="E584" s="24"/>
      <c r="F584" s="18"/>
      <c r="G584" s="24"/>
      <c r="H584" s="18"/>
      <c r="I584" s="18"/>
    </row>
    <row r="585" spans="1:9" hidden="1" x14ac:dyDescent="0.3">
      <c r="A585" s="20"/>
      <c r="B585" s="18"/>
      <c r="C585" s="18"/>
      <c r="D585" s="18">
        <v>0</v>
      </c>
      <c r="E585" s="24"/>
      <c r="F585" s="18"/>
      <c r="G585" s="24"/>
      <c r="H585" s="18"/>
      <c r="I585" s="18"/>
    </row>
    <row r="586" spans="1:9" hidden="1" x14ac:dyDescent="0.3">
      <c r="A586" s="20"/>
      <c r="B586" s="18"/>
      <c r="C586" s="18"/>
      <c r="D586" s="18">
        <v>0</v>
      </c>
      <c r="E586" s="24"/>
      <c r="F586" s="18"/>
      <c r="G586" s="24"/>
      <c r="H586" s="18"/>
      <c r="I586" s="18"/>
    </row>
    <row r="587" spans="1:9" hidden="1" x14ac:dyDescent="0.3">
      <c r="A587" s="20"/>
      <c r="B587" s="18"/>
      <c r="C587" s="18"/>
      <c r="D587" s="18">
        <v>0</v>
      </c>
      <c r="E587" s="24"/>
      <c r="F587" s="18"/>
      <c r="G587" s="24"/>
      <c r="H587" s="18"/>
      <c r="I587" s="18"/>
    </row>
    <row r="588" spans="1:9" hidden="1" x14ac:dyDescent="0.3">
      <c r="A588" s="20"/>
      <c r="B588" s="18"/>
      <c r="C588" s="18"/>
      <c r="D588" s="18">
        <v>0</v>
      </c>
      <c r="E588" s="24"/>
      <c r="F588" s="18"/>
      <c r="G588" s="24"/>
      <c r="H588" s="18"/>
      <c r="I588" s="18"/>
    </row>
    <row r="589" spans="1:9" hidden="1" x14ac:dyDescent="0.3">
      <c r="A589" s="20"/>
      <c r="B589" s="18"/>
      <c r="C589" s="18"/>
      <c r="D589" s="18">
        <v>0</v>
      </c>
      <c r="E589" s="24"/>
      <c r="F589" s="18"/>
      <c r="G589" s="24"/>
      <c r="H589" s="18"/>
      <c r="I589" s="18"/>
    </row>
    <row r="590" spans="1:9" hidden="1" x14ac:dyDescent="0.3">
      <c r="A590" s="20"/>
      <c r="B590" s="18"/>
      <c r="C590" s="18"/>
      <c r="D590" s="18">
        <v>0</v>
      </c>
      <c r="E590" s="24"/>
      <c r="F590" s="18"/>
      <c r="G590" s="24"/>
      <c r="H590" s="18"/>
      <c r="I590" s="18"/>
    </row>
    <row r="591" spans="1:9" hidden="1" x14ac:dyDescent="0.3">
      <c r="A591" s="20"/>
      <c r="B591" s="18"/>
      <c r="C591" s="18"/>
      <c r="D591" s="18">
        <v>0</v>
      </c>
      <c r="E591" s="24"/>
      <c r="F591" s="18"/>
      <c r="G591" s="24"/>
      <c r="H591" s="18"/>
      <c r="I591" s="18"/>
    </row>
    <row r="592" spans="1:9" hidden="1" x14ac:dyDescent="0.3">
      <c r="A592" s="20"/>
      <c r="B592" s="18"/>
      <c r="C592" s="18"/>
      <c r="D592" s="18">
        <v>0</v>
      </c>
      <c r="E592" s="24"/>
      <c r="F592" s="18"/>
      <c r="G592" s="24"/>
      <c r="H592" s="18"/>
      <c r="I592" s="18"/>
    </row>
    <row r="593" spans="1:9" hidden="1" x14ac:dyDescent="0.3">
      <c r="A593" s="20"/>
      <c r="B593" s="18"/>
      <c r="C593" s="18"/>
      <c r="D593" s="18">
        <v>0</v>
      </c>
      <c r="E593" s="24"/>
      <c r="F593" s="18"/>
      <c r="G593" s="24"/>
      <c r="H593" s="18"/>
      <c r="I593" s="18"/>
    </row>
    <row r="594" spans="1:9" hidden="1" x14ac:dyDescent="0.3">
      <c r="A594" s="20"/>
      <c r="B594" s="18"/>
      <c r="C594" s="18"/>
      <c r="D594" s="18">
        <v>0</v>
      </c>
      <c r="E594" s="24"/>
      <c r="F594" s="18"/>
      <c r="G594" s="24"/>
      <c r="H594" s="18"/>
      <c r="I594" s="18"/>
    </row>
    <row r="595" spans="1:9" hidden="1" x14ac:dyDescent="0.3">
      <c r="A595" s="20"/>
      <c r="B595" s="18"/>
      <c r="C595" s="18"/>
      <c r="D595" s="18">
        <v>0</v>
      </c>
      <c r="E595" s="24"/>
      <c r="F595" s="18"/>
      <c r="G595" s="24"/>
      <c r="H595" s="18"/>
      <c r="I595" s="18"/>
    </row>
    <row r="596" spans="1:9" hidden="1" x14ac:dyDescent="0.3">
      <c r="A596" s="20"/>
      <c r="B596" s="18"/>
      <c r="C596" s="18"/>
      <c r="D596" s="18">
        <v>0</v>
      </c>
      <c r="E596" s="24"/>
      <c r="F596" s="18"/>
      <c r="G596" s="24"/>
      <c r="H596" s="18"/>
      <c r="I596" s="18"/>
    </row>
    <row r="597" spans="1:9" hidden="1" x14ac:dyDescent="0.3">
      <c r="A597" s="20"/>
      <c r="B597" s="18"/>
      <c r="C597" s="18"/>
      <c r="D597" s="18">
        <v>0</v>
      </c>
      <c r="E597" s="24"/>
      <c r="F597" s="18"/>
      <c r="G597" s="24"/>
      <c r="H597" s="18"/>
      <c r="I597" s="18"/>
    </row>
    <row r="598" spans="1:9" hidden="1" x14ac:dyDescent="0.3">
      <c r="A598" s="20"/>
      <c r="B598" s="18"/>
      <c r="C598" s="18"/>
      <c r="D598" s="18">
        <v>0</v>
      </c>
      <c r="E598" s="24"/>
      <c r="F598" s="18"/>
      <c r="G598" s="24"/>
      <c r="H598" s="18"/>
      <c r="I598" s="18"/>
    </row>
    <row r="599" spans="1:9" hidden="1" x14ac:dyDescent="0.3">
      <c r="A599" s="20"/>
      <c r="B599" s="18"/>
      <c r="C599" s="18"/>
      <c r="D599" s="18">
        <v>0</v>
      </c>
      <c r="E599" s="24"/>
      <c r="F599" s="18"/>
      <c r="G599" s="24"/>
      <c r="H599" s="18"/>
      <c r="I599" s="18"/>
    </row>
    <row r="600" spans="1:9" hidden="1" x14ac:dyDescent="0.3">
      <c r="A600" s="20"/>
      <c r="B600" s="18"/>
      <c r="C600" s="18"/>
      <c r="D600" s="18">
        <v>0</v>
      </c>
      <c r="E600" s="24"/>
      <c r="F600" s="18"/>
      <c r="G600" s="24"/>
      <c r="H600" s="18"/>
      <c r="I600" s="18"/>
    </row>
    <row r="601" spans="1:9" ht="40.200000000000003" customHeight="1" x14ac:dyDescent="0.3">
      <c r="A601" s="33" t="s">
        <v>513</v>
      </c>
      <c r="B601" s="33">
        <f>SUBTOTAL(103,Tabela5[LOCAL])</f>
        <v>80</v>
      </c>
      <c r="C601" s="33">
        <f>SUBTOTAL(103,Tabela5[ENCARREGADO OU LIDER DE EQUIPE])</f>
        <v>80</v>
      </c>
      <c r="D601" s="33">
        <f>SUM(D2:D600)</f>
        <v>719</v>
      </c>
      <c r="E601" s="33">
        <f>SUBTOTAL(103,Tabela5[DESCRIÇÃO])</f>
        <v>80</v>
      </c>
      <c r="F601" s="33"/>
      <c r="G601" s="33">
        <f>SUBTOTAL(103,Tabela5[CLASSIFICAÇÃO])</f>
        <v>80</v>
      </c>
      <c r="H601" s="33">
        <f>SUBTOTAL(109,Tabela5[QUANTIDADE INSPEÇÕES])</f>
        <v>80</v>
      </c>
      <c r="I601" s="33">
        <f>SUBTOTAL(103,Tabela5[TÉCNICO DE SEGURANÇA  APLICADOR])</f>
        <v>80</v>
      </c>
    </row>
  </sheetData>
  <sortState xmlns:xlrd2="http://schemas.microsoft.com/office/spreadsheetml/2017/richdata2" ref="A2:I174">
    <sortCondition ref="A2:A174"/>
  </sortState>
  <mergeCells count="8">
    <mergeCell ref="M2:N2"/>
    <mergeCell ref="U2:V2"/>
    <mergeCell ref="W2:X2"/>
    <mergeCell ref="K1:X1"/>
    <mergeCell ref="Q2:R2"/>
    <mergeCell ref="K2:L2"/>
    <mergeCell ref="S2:T2"/>
    <mergeCell ref="O2:P2"/>
  </mergeCells>
  <pageMargins left="0.7" right="0.7" top="0.75" bottom="0.75" header="0.3" footer="0.3"/>
  <pageSetup paperSize="9" scale="48" orientation="portrait" r:id="rId1"/>
  <rowBreaks count="2" manualBreakCount="2">
    <brk id="40" max="16383" man="1"/>
    <brk id="77" max="4"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0393-B665-4507-A2B3-D2E63349007B}">
  <sheetPr>
    <pageSetUpPr fitToPage="1"/>
  </sheetPr>
  <dimension ref="A1:I82"/>
  <sheetViews>
    <sheetView workbookViewId="0">
      <selection activeCell="I85" sqref="I85"/>
    </sheetView>
  </sheetViews>
  <sheetFormatPr defaultRowHeight="14.4" x14ac:dyDescent="0.3"/>
  <cols>
    <col min="1" max="2" width="6.6640625" customWidth="1"/>
    <col min="3" max="3" width="25.88671875" customWidth="1"/>
    <col min="4" max="5" width="6.6640625" customWidth="1"/>
    <col min="6" max="6" width="25.77734375" customWidth="1"/>
    <col min="7" max="8" width="6.6640625" customWidth="1"/>
    <col min="9" max="9" width="25.88671875" customWidth="1"/>
  </cols>
  <sheetData>
    <row r="1" spans="1:9" ht="38.4" customHeight="1" x14ac:dyDescent="0.3">
      <c r="A1" s="89" t="s">
        <v>808</v>
      </c>
      <c r="B1" s="89"/>
      <c r="C1" s="89"/>
      <c r="D1" s="89"/>
      <c r="E1" s="89"/>
      <c r="F1" s="89"/>
      <c r="G1" s="89"/>
      <c r="H1" s="89"/>
      <c r="I1" s="89"/>
    </row>
    <row r="2" spans="1:9" ht="21" customHeight="1" x14ac:dyDescent="0.3">
      <c r="A2" s="79" t="s">
        <v>809</v>
      </c>
      <c r="B2" s="79"/>
      <c r="C2" s="79"/>
      <c r="D2" s="79"/>
      <c r="E2" s="79"/>
      <c r="F2" s="40" t="s">
        <v>824</v>
      </c>
      <c r="G2" s="79" t="s">
        <v>820</v>
      </c>
      <c r="H2" s="79"/>
      <c r="I2" s="34" t="s">
        <v>822</v>
      </c>
    </row>
    <row r="3" spans="1:9" ht="21" customHeight="1" x14ac:dyDescent="0.3">
      <c r="A3" s="79" t="s">
        <v>810</v>
      </c>
      <c r="B3" s="79"/>
      <c r="C3" s="79"/>
      <c r="D3" s="79"/>
      <c r="E3" s="79"/>
      <c r="F3" s="40" t="s">
        <v>823</v>
      </c>
      <c r="G3" s="79" t="s">
        <v>821</v>
      </c>
      <c r="H3" s="79"/>
      <c r="I3" s="22"/>
    </row>
    <row r="4" spans="1:9" ht="27.6" customHeight="1" thickBot="1" x14ac:dyDescent="0.35">
      <c r="A4" s="110" t="s">
        <v>819</v>
      </c>
      <c r="B4" s="111"/>
      <c r="C4" s="111"/>
      <c r="D4" s="111"/>
      <c r="E4" s="111"/>
      <c r="F4" s="111"/>
      <c r="G4" s="111"/>
      <c r="H4" s="111"/>
      <c r="I4" s="111"/>
    </row>
    <row r="5" spans="1:9" x14ac:dyDescent="0.3">
      <c r="A5" s="107" t="s">
        <v>811</v>
      </c>
      <c r="B5" s="108"/>
      <c r="C5" s="108"/>
      <c r="D5" s="108"/>
      <c r="E5" s="108"/>
      <c r="F5" s="108"/>
      <c r="G5" s="108"/>
      <c r="H5" s="108"/>
      <c r="I5" s="109"/>
    </row>
    <row r="6" spans="1:9" x14ac:dyDescent="0.3">
      <c r="A6" s="104" t="s">
        <v>812</v>
      </c>
      <c r="B6" s="105"/>
      <c r="C6" s="105"/>
      <c r="D6" s="105"/>
      <c r="E6" s="105"/>
      <c r="F6" s="105"/>
      <c r="G6" s="105"/>
      <c r="H6" s="105"/>
      <c r="I6" s="106"/>
    </row>
    <row r="7" spans="1:9" ht="22.2" customHeight="1" x14ac:dyDescent="0.3">
      <c r="A7" s="53"/>
      <c r="B7" s="41" t="s">
        <v>813</v>
      </c>
      <c r="C7" s="42" t="s">
        <v>814</v>
      </c>
      <c r="D7" s="42"/>
      <c r="E7" s="41" t="s">
        <v>815</v>
      </c>
      <c r="F7" s="42" t="s">
        <v>816</v>
      </c>
      <c r="G7" s="42"/>
      <c r="H7" s="41" t="s">
        <v>817</v>
      </c>
      <c r="I7" s="54" t="s">
        <v>818</v>
      </c>
    </row>
    <row r="8" spans="1:9" ht="1.2" customHeight="1" thickBot="1" x14ac:dyDescent="0.35">
      <c r="A8" s="55"/>
      <c r="B8" s="43"/>
      <c r="C8" s="44"/>
      <c r="D8" s="44"/>
      <c r="E8" s="43"/>
      <c r="F8" s="44"/>
      <c r="G8" s="44"/>
      <c r="H8" s="43"/>
      <c r="I8" s="56"/>
    </row>
    <row r="9" spans="1:9" ht="4.2" customHeight="1" x14ac:dyDescent="0.3">
      <c r="A9" s="57"/>
      <c r="I9" s="39"/>
    </row>
    <row r="10" spans="1:9" ht="21.6" customHeight="1" x14ac:dyDescent="0.3">
      <c r="A10" s="100" t="s">
        <v>13</v>
      </c>
      <c r="B10" s="100"/>
      <c r="C10" s="100"/>
      <c r="D10" s="100" t="s">
        <v>832</v>
      </c>
      <c r="E10" s="100"/>
      <c r="F10" s="100"/>
      <c r="G10" s="19" t="s">
        <v>641</v>
      </c>
      <c r="H10" s="22"/>
      <c r="I10" s="58" t="s">
        <v>842</v>
      </c>
    </row>
    <row r="11" spans="1:9" ht="4.2" customHeight="1" x14ac:dyDescent="0.3">
      <c r="A11" s="57"/>
      <c r="G11" s="19"/>
      <c r="I11" s="59"/>
    </row>
    <row r="12" spans="1:9" ht="21.6" customHeight="1" x14ac:dyDescent="0.3">
      <c r="A12" s="60" t="s">
        <v>16</v>
      </c>
      <c r="B12" s="22"/>
      <c r="C12" s="48" t="s">
        <v>825</v>
      </c>
      <c r="D12" s="19" t="s">
        <v>18</v>
      </c>
      <c r="E12" s="22"/>
      <c r="F12" s="48" t="s">
        <v>630</v>
      </c>
      <c r="G12" s="19" t="s">
        <v>646</v>
      </c>
      <c r="H12" s="47"/>
      <c r="I12" s="59" t="s">
        <v>839</v>
      </c>
    </row>
    <row r="13" spans="1:9" ht="4.2" customHeight="1" x14ac:dyDescent="0.3">
      <c r="A13" s="60"/>
      <c r="C13" s="19"/>
      <c r="D13" s="19"/>
      <c r="F13" s="19"/>
      <c r="G13" s="19"/>
      <c r="I13" s="59"/>
    </row>
    <row r="14" spans="1:9" ht="21.6" customHeight="1" x14ac:dyDescent="0.3">
      <c r="A14" s="60" t="s">
        <v>24</v>
      </c>
      <c r="B14" s="22"/>
      <c r="C14" s="48" t="s">
        <v>826</v>
      </c>
      <c r="D14" s="19" t="s">
        <v>26</v>
      </c>
      <c r="E14" s="22"/>
      <c r="F14" s="48" t="s">
        <v>20</v>
      </c>
      <c r="G14" s="19" t="s">
        <v>661</v>
      </c>
      <c r="H14" s="22"/>
      <c r="I14" s="59" t="s">
        <v>671</v>
      </c>
    </row>
    <row r="15" spans="1:9" ht="4.2" customHeight="1" x14ac:dyDescent="0.3">
      <c r="A15" s="60"/>
      <c r="C15" s="49"/>
      <c r="D15" s="19"/>
      <c r="F15" s="19"/>
      <c r="I15" s="39"/>
    </row>
    <row r="16" spans="1:9" ht="21.6" customHeight="1" x14ac:dyDescent="0.3">
      <c r="A16" s="60" t="s">
        <v>32</v>
      </c>
      <c r="B16" s="22"/>
      <c r="C16" s="48" t="s">
        <v>827</v>
      </c>
      <c r="D16" s="19" t="s">
        <v>34</v>
      </c>
      <c r="E16" s="22"/>
      <c r="F16" s="48" t="s">
        <v>674</v>
      </c>
      <c r="G16" s="100" t="s">
        <v>619</v>
      </c>
      <c r="H16" s="100"/>
      <c r="I16" s="100"/>
    </row>
    <row r="17" spans="1:9" ht="4.2" customHeight="1" x14ac:dyDescent="0.3">
      <c r="A17" s="60"/>
      <c r="C17" s="49"/>
      <c r="D17" s="19"/>
      <c r="F17" s="19"/>
      <c r="I17" s="39"/>
    </row>
    <row r="18" spans="1:9" ht="21.6" customHeight="1" x14ac:dyDescent="0.3">
      <c r="A18" s="60" t="s">
        <v>40</v>
      </c>
      <c r="B18" s="22"/>
      <c r="C18" s="49" t="s">
        <v>643</v>
      </c>
      <c r="D18" s="19" t="s">
        <v>621</v>
      </c>
      <c r="E18" s="22"/>
      <c r="F18" s="48" t="s">
        <v>645</v>
      </c>
      <c r="G18" s="50" t="s">
        <v>21</v>
      </c>
      <c r="H18" s="22"/>
      <c r="I18" s="59" t="s">
        <v>843</v>
      </c>
    </row>
    <row r="19" spans="1:9" ht="4.2" customHeight="1" x14ac:dyDescent="0.3">
      <c r="A19" s="60"/>
      <c r="C19" s="49"/>
      <c r="D19" s="19"/>
      <c r="F19" s="19"/>
      <c r="G19" s="50"/>
      <c r="I19" s="61"/>
    </row>
    <row r="20" spans="1:9" ht="21.6" customHeight="1" x14ac:dyDescent="0.3">
      <c r="A20" s="60" t="s">
        <v>45</v>
      </c>
      <c r="B20" s="22"/>
      <c r="C20" s="48" t="s">
        <v>828</v>
      </c>
      <c r="D20" s="19" t="s">
        <v>622</v>
      </c>
      <c r="E20" s="22"/>
      <c r="F20" s="48" t="s">
        <v>650</v>
      </c>
      <c r="G20" s="50" t="s">
        <v>29</v>
      </c>
      <c r="H20" s="22"/>
      <c r="I20" s="59" t="s">
        <v>844</v>
      </c>
    </row>
    <row r="21" spans="1:9" ht="4.2" customHeight="1" x14ac:dyDescent="0.3">
      <c r="A21" s="60"/>
      <c r="C21" s="49"/>
      <c r="D21" s="19"/>
      <c r="F21" s="19"/>
      <c r="G21" s="50"/>
      <c r="I21" s="61"/>
    </row>
    <row r="22" spans="1:9" ht="21.6" customHeight="1" x14ac:dyDescent="0.3">
      <c r="A22" s="60" t="s">
        <v>49</v>
      </c>
      <c r="B22" s="22"/>
      <c r="C22" s="48" t="s">
        <v>829</v>
      </c>
      <c r="D22" s="19" t="s">
        <v>623</v>
      </c>
      <c r="E22" s="22"/>
      <c r="F22" s="48" t="s">
        <v>840</v>
      </c>
      <c r="G22" s="50" t="s">
        <v>36</v>
      </c>
      <c r="H22" s="22"/>
      <c r="I22" s="59" t="s">
        <v>665</v>
      </c>
    </row>
    <row r="23" spans="1:9" ht="4.2" customHeight="1" x14ac:dyDescent="0.3">
      <c r="A23" s="60"/>
      <c r="C23" s="49"/>
      <c r="D23" s="19"/>
      <c r="F23" s="19"/>
      <c r="G23" s="50"/>
      <c r="I23" s="61"/>
    </row>
    <row r="24" spans="1:9" ht="21.6" customHeight="1" x14ac:dyDescent="0.3">
      <c r="A24" s="60" t="s">
        <v>53</v>
      </c>
      <c r="B24" s="22"/>
      <c r="C24" s="49" t="s">
        <v>675</v>
      </c>
      <c r="D24" s="19" t="s">
        <v>627</v>
      </c>
      <c r="E24" s="22"/>
      <c r="F24" s="48" t="s">
        <v>656</v>
      </c>
      <c r="G24" s="50" t="s">
        <v>43</v>
      </c>
      <c r="H24" s="22"/>
      <c r="I24" s="59" t="s">
        <v>666</v>
      </c>
    </row>
    <row r="25" spans="1:9" ht="4.2" customHeight="1" x14ac:dyDescent="0.3">
      <c r="A25" s="60"/>
      <c r="C25" s="49"/>
      <c r="D25" s="19"/>
      <c r="F25" s="19"/>
      <c r="G25" s="50"/>
      <c r="I25" s="61"/>
    </row>
    <row r="26" spans="1:9" ht="21.6" customHeight="1" x14ac:dyDescent="0.3">
      <c r="A26" s="60" t="s">
        <v>57</v>
      </c>
      <c r="B26" s="45"/>
      <c r="C26" s="48" t="s">
        <v>830</v>
      </c>
      <c r="D26" s="19" t="s">
        <v>672</v>
      </c>
      <c r="E26" s="22"/>
      <c r="F26" s="48" t="s">
        <v>841</v>
      </c>
      <c r="G26" s="50" t="s">
        <v>624</v>
      </c>
      <c r="H26" s="47"/>
      <c r="I26" s="59" t="s">
        <v>651</v>
      </c>
    </row>
    <row r="27" spans="1:9" ht="4.2" customHeight="1" x14ac:dyDescent="0.3">
      <c r="A27" s="57"/>
      <c r="G27" s="50"/>
      <c r="I27" s="61"/>
    </row>
    <row r="28" spans="1:9" ht="21.6" customHeight="1" x14ac:dyDescent="0.3">
      <c r="A28" s="100" t="s">
        <v>831</v>
      </c>
      <c r="B28" s="100"/>
      <c r="C28" s="100"/>
      <c r="D28" s="46" t="s">
        <v>833</v>
      </c>
      <c r="E28" s="46"/>
      <c r="F28" s="46"/>
      <c r="G28" s="50" t="s">
        <v>625</v>
      </c>
      <c r="H28" s="47"/>
      <c r="I28" s="59" t="s">
        <v>654</v>
      </c>
    </row>
    <row r="29" spans="1:9" ht="4.2" customHeight="1" x14ac:dyDescent="0.3">
      <c r="A29" s="57"/>
      <c r="G29" s="50"/>
      <c r="I29" s="61"/>
    </row>
    <row r="30" spans="1:9" ht="21.6" customHeight="1" x14ac:dyDescent="0.3">
      <c r="A30" s="60" t="s">
        <v>17</v>
      </c>
      <c r="B30" s="22"/>
      <c r="C30" s="48" t="s">
        <v>629</v>
      </c>
      <c r="D30" s="19" t="s">
        <v>19</v>
      </c>
      <c r="E30" s="22"/>
      <c r="F30" s="51" t="s">
        <v>631</v>
      </c>
      <c r="G30" s="50" t="s">
        <v>835</v>
      </c>
      <c r="H30" s="22"/>
      <c r="I30" s="59" t="s">
        <v>836</v>
      </c>
    </row>
    <row r="31" spans="1:9" ht="4.2" customHeight="1" x14ac:dyDescent="0.3">
      <c r="A31" s="60"/>
      <c r="C31" s="19"/>
      <c r="D31" s="19"/>
      <c r="I31" s="39"/>
    </row>
    <row r="32" spans="1:9" ht="21.6" customHeight="1" x14ac:dyDescent="0.3">
      <c r="A32" s="60" t="s">
        <v>25</v>
      </c>
      <c r="B32" s="22"/>
      <c r="C32" s="48" t="s">
        <v>635</v>
      </c>
      <c r="D32" s="19" t="s">
        <v>28</v>
      </c>
      <c r="E32" s="22"/>
      <c r="F32" s="51" t="s">
        <v>27</v>
      </c>
      <c r="G32" s="100" t="s">
        <v>834</v>
      </c>
      <c r="H32" s="100"/>
      <c r="I32" s="100"/>
    </row>
    <row r="33" spans="1:9" ht="4.2" customHeight="1" x14ac:dyDescent="0.3">
      <c r="A33" s="60"/>
      <c r="C33" s="19"/>
      <c r="D33" s="19"/>
      <c r="I33" s="39"/>
    </row>
    <row r="34" spans="1:9" ht="21.6" customHeight="1" x14ac:dyDescent="0.3">
      <c r="A34" s="60" t="s">
        <v>33</v>
      </c>
      <c r="B34" s="22"/>
      <c r="C34" s="48" t="s">
        <v>640</v>
      </c>
      <c r="D34" s="19" t="s">
        <v>35</v>
      </c>
      <c r="E34" s="22"/>
      <c r="F34" s="51" t="s">
        <v>658</v>
      </c>
      <c r="G34" s="19" t="s">
        <v>632</v>
      </c>
      <c r="H34" s="22"/>
      <c r="I34" s="59" t="s">
        <v>633</v>
      </c>
    </row>
    <row r="35" spans="1:9" ht="4.2" customHeight="1" x14ac:dyDescent="0.3">
      <c r="A35" s="60"/>
      <c r="C35" s="19"/>
      <c r="D35" s="19"/>
      <c r="G35" s="19"/>
      <c r="I35" s="61"/>
    </row>
    <row r="36" spans="1:9" ht="21.6" customHeight="1" x14ac:dyDescent="0.3">
      <c r="A36" s="60" t="s">
        <v>41</v>
      </c>
      <c r="B36" s="22"/>
      <c r="C36" s="48" t="s">
        <v>644</v>
      </c>
      <c r="D36" s="19" t="s">
        <v>42</v>
      </c>
      <c r="E36" s="22"/>
      <c r="F36" s="51" t="s">
        <v>659</v>
      </c>
      <c r="G36" s="19" t="s">
        <v>637</v>
      </c>
      <c r="H36" s="22"/>
      <c r="I36" s="59" t="s">
        <v>638</v>
      </c>
    </row>
    <row r="37" spans="1:9" ht="4.2" customHeight="1" x14ac:dyDescent="0.3">
      <c r="A37" s="60"/>
      <c r="C37" s="19"/>
      <c r="G37" s="19"/>
      <c r="I37" s="61"/>
    </row>
    <row r="38" spans="1:9" ht="21.6" customHeight="1" x14ac:dyDescent="0.3">
      <c r="A38" s="60" t="s">
        <v>46</v>
      </c>
      <c r="B38" s="22"/>
      <c r="C38" s="48" t="s">
        <v>649</v>
      </c>
      <c r="D38" s="100" t="s">
        <v>618</v>
      </c>
      <c r="E38" s="100"/>
      <c r="F38" s="100"/>
      <c r="G38" s="19" t="s">
        <v>642</v>
      </c>
      <c r="H38" s="22"/>
      <c r="I38" s="59" t="s">
        <v>663</v>
      </c>
    </row>
    <row r="39" spans="1:9" ht="4.2" customHeight="1" x14ac:dyDescent="0.3">
      <c r="A39" s="60"/>
      <c r="C39" s="19"/>
      <c r="G39" s="19"/>
      <c r="I39" s="61"/>
    </row>
    <row r="40" spans="1:9" ht="21.6" customHeight="1" x14ac:dyDescent="0.3">
      <c r="A40" s="60" t="s">
        <v>50</v>
      </c>
      <c r="B40" s="22"/>
      <c r="C40" s="48" t="s">
        <v>653</v>
      </c>
      <c r="D40" s="19" t="s">
        <v>626</v>
      </c>
      <c r="E40" s="22"/>
      <c r="F40" s="51" t="s">
        <v>838</v>
      </c>
      <c r="G40" s="19" t="s">
        <v>647</v>
      </c>
      <c r="H40" s="22"/>
      <c r="I40" s="59" t="s">
        <v>845</v>
      </c>
    </row>
    <row r="41" spans="1:9" ht="4.2" customHeight="1" x14ac:dyDescent="0.3">
      <c r="A41" s="60"/>
      <c r="C41" s="19"/>
      <c r="D41" s="19"/>
      <c r="I41" s="39"/>
    </row>
    <row r="42" spans="1:9" ht="21.6" customHeight="1" x14ac:dyDescent="0.3">
      <c r="A42" s="60" t="s">
        <v>54</v>
      </c>
      <c r="B42" s="22"/>
      <c r="C42" s="48" t="s">
        <v>655</v>
      </c>
      <c r="D42" s="19" t="s">
        <v>636</v>
      </c>
      <c r="E42" s="22"/>
      <c r="F42" s="51" t="s">
        <v>837</v>
      </c>
      <c r="I42" s="39"/>
    </row>
    <row r="43" spans="1:9" ht="4.2" customHeight="1" x14ac:dyDescent="0.3">
      <c r="A43" s="57"/>
      <c r="I43" s="39"/>
    </row>
    <row r="44" spans="1:9" ht="17.399999999999999" customHeight="1" x14ac:dyDescent="0.3">
      <c r="A44" s="101" t="s">
        <v>846</v>
      </c>
      <c r="B44" s="102"/>
      <c r="C44" s="102"/>
      <c r="D44" s="102"/>
      <c r="E44" s="102"/>
      <c r="F44" s="102"/>
      <c r="G44" s="102"/>
      <c r="H44" s="102"/>
      <c r="I44" s="103"/>
    </row>
    <row r="45" spans="1:9" ht="20.399999999999999" customHeight="1" x14ac:dyDescent="0.3">
      <c r="A45" s="95" t="s">
        <v>847</v>
      </c>
      <c r="B45" s="96"/>
      <c r="C45" s="96"/>
      <c r="D45" s="96"/>
      <c r="E45" s="96"/>
      <c r="F45" s="96"/>
      <c r="G45" s="96"/>
      <c r="H45" s="96"/>
      <c r="I45" s="97"/>
    </row>
    <row r="46" spans="1:9" ht="20.399999999999999" customHeight="1" x14ac:dyDescent="0.3">
      <c r="A46" s="98" t="s">
        <v>848</v>
      </c>
      <c r="B46" s="98"/>
      <c r="C46" s="98"/>
      <c r="D46" s="98"/>
      <c r="E46" s="98"/>
      <c r="F46" s="98"/>
      <c r="G46" s="98"/>
      <c r="H46" s="98"/>
      <c r="I46" s="98"/>
    </row>
    <row r="47" spans="1:9" ht="20.399999999999999" customHeight="1" x14ac:dyDescent="0.3">
      <c r="A47" s="99"/>
      <c r="B47" s="99"/>
      <c r="C47" s="99"/>
      <c r="D47" s="99"/>
      <c r="E47" s="99"/>
      <c r="F47" s="99"/>
      <c r="G47" s="99"/>
      <c r="H47" s="99"/>
      <c r="I47" s="99"/>
    </row>
    <row r="48" spans="1:9" ht="20.399999999999999" customHeight="1" x14ac:dyDescent="0.3">
      <c r="A48" s="99"/>
      <c r="B48" s="99"/>
      <c r="C48" s="99"/>
      <c r="D48" s="99"/>
      <c r="E48" s="99"/>
      <c r="F48" s="99"/>
      <c r="G48" s="99"/>
      <c r="H48" s="99"/>
      <c r="I48" s="99"/>
    </row>
    <row r="49" spans="1:9" ht="15.6" customHeight="1" x14ac:dyDescent="0.3">
      <c r="A49" s="92" t="s">
        <v>849</v>
      </c>
      <c r="B49" s="92"/>
      <c r="C49" s="92"/>
      <c r="D49" s="92"/>
      <c r="E49" s="92"/>
      <c r="F49" s="92" t="s">
        <v>850</v>
      </c>
      <c r="G49" s="92"/>
      <c r="H49" s="92"/>
      <c r="I49" s="92"/>
    </row>
    <row r="50" spans="1:9" ht="20.399999999999999" customHeight="1" x14ac:dyDescent="0.3">
      <c r="A50" s="4" t="s">
        <v>851</v>
      </c>
      <c r="B50" s="22"/>
      <c r="C50" s="76"/>
      <c r="D50" s="77"/>
      <c r="E50" s="77"/>
      <c r="F50" s="93" t="s">
        <v>851</v>
      </c>
      <c r="G50" s="93"/>
      <c r="H50" s="93"/>
      <c r="I50" s="94"/>
    </row>
    <row r="51" spans="1:9" ht="4.2" customHeight="1" x14ac:dyDescent="0.3">
      <c r="A51" s="4"/>
      <c r="F51" s="19"/>
      <c r="G51" s="19"/>
      <c r="H51" s="19"/>
      <c r="I51" s="61"/>
    </row>
    <row r="52" spans="1:9" ht="20.399999999999999" customHeight="1" x14ac:dyDescent="0.3">
      <c r="A52" s="4" t="s">
        <v>851</v>
      </c>
      <c r="B52" s="22"/>
      <c r="C52" s="80"/>
      <c r="D52" s="81"/>
      <c r="E52" s="81"/>
      <c r="F52" s="90" t="s">
        <v>851</v>
      </c>
      <c r="G52" s="90"/>
      <c r="H52" s="90"/>
      <c r="I52" s="91"/>
    </row>
    <row r="53" spans="1:9" ht="4.2" customHeight="1" x14ac:dyDescent="0.3">
      <c r="A53" s="4"/>
      <c r="F53" s="50"/>
      <c r="G53" s="50"/>
      <c r="H53" s="50"/>
      <c r="I53" s="62"/>
    </row>
    <row r="54" spans="1:9" ht="20.399999999999999" customHeight="1" x14ac:dyDescent="0.3">
      <c r="A54" s="4" t="s">
        <v>851</v>
      </c>
      <c r="B54" s="22"/>
      <c r="C54" s="80"/>
      <c r="D54" s="81"/>
      <c r="E54" s="81"/>
      <c r="F54" s="90" t="s">
        <v>851</v>
      </c>
      <c r="G54" s="90"/>
      <c r="H54" s="90"/>
      <c r="I54" s="91"/>
    </row>
    <row r="55" spans="1:9" ht="4.2" customHeight="1" x14ac:dyDescent="0.3">
      <c r="A55" s="4"/>
      <c r="F55" s="50"/>
      <c r="G55" s="50"/>
      <c r="H55" s="50"/>
      <c r="I55" s="62"/>
    </row>
    <row r="56" spans="1:9" ht="20.399999999999999" customHeight="1" x14ac:dyDescent="0.3">
      <c r="A56" s="4" t="s">
        <v>851</v>
      </c>
      <c r="B56" s="22"/>
      <c r="C56" s="80"/>
      <c r="D56" s="81"/>
      <c r="E56" s="81"/>
      <c r="F56" s="90" t="s">
        <v>851</v>
      </c>
      <c r="G56" s="90"/>
      <c r="H56" s="90"/>
      <c r="I56" s="91"/>
    </row>
    <row r="57" spans="1:9" ht="4.2" customHeight="1" x14ac:dyDescent="0.3">
      <c r="A57" s="4"/>
      <c r="F57" s="50"/>
      <c r="G57" s="50"/>
      <c r="H57" s="50"/>
      <c r="I57" s="62"/>
    </row>
    <row r="58" spans="1:9" ht="20.399999999999999" customHeight="1" x14ac:dyDescent="0.3">
      <c r="A58" s="4" t="s">
        <v>851</v>
      </c>
      <c r="B58" s="22"/>
      <c r="C58" s="80"/>
      <c r="D58" s="81"/>
      <c r="E58" s="81"/>
      <c r="F58" s="90" t="s">
        <v>851</v>
      </c>
      <c r="G58" s="90"/>
      <c r="H58" s="90"/>
      <c r="I58" s="91"/>
    </row>
    <row r="59" spans="1:9" ht="4.2" customHeight="1" x14ac:dyDescent="0.3">
      <c r="A59" s="4"/>
      <c r="F59" s="50"/>
      <c r="G59" s="50"/>
      <c r="H59" s="50"/>
      <c r="I59" s="62"/>
    </row>
    <row r="60" spans="1:9" ht="20.399999999999999" customHeight="1" x14ac:dyDescent="0.3">
      <c r="A60" s="4" t="s">
        <v>851</v>
      </c>
      <c r="B60" s="22"/>
      <c r="C60" s="80"/>
      <c r="D60" s="81"/>
      <c r="E60" s="81"/>
      <c r="F60" s="90" t="s">
        <v>851</v>
      </c>
      <c r="G60" s="90"/>
      <c r="H60" s="90"/>
      <c r="I60" s="91"/>
    </row>
    <row r="61" spans="1:9" ht="4.2" customHeight="1" x14ac:dyDescent="0.3">
      <c r="A61" s="57"/>
      <c r="I61" s="39"/>
    </row>
    <row r="62" spans="1:9" ht="15" customHeight="1" x14ac:dyDescent="0.3">
      <c r="A62" s="92" t="s">
        <v>852</v>
      </c>
      <c r="B62" s="92"/>
      <c r="C62" s="92"/>
      <c r="D62" s="92"/>
      <c r="E62" s="92"/>
      <c r="F62" s="92"/>
      <c r="G62" s="92"/>
      <c r="H62" s="92"/>
      <c r="I62" s="92"/>
    </row>
    <row r="63" spans="1:9" ht="3" customHeight="1" x14ac:dyDescent="0.3">
      <c r="A63" s="57"/>
      <c r="I63" s="39"/>
    </row>
    <row r="64" spans="1:9" ht="20.399999999999999" customHeight="1" x14ac:dyDescent="0.3">
      <c r="A64" s="4" t="s">
        <v>851</v>
      </c>
      <c r="B64" s="22"/>
      <c r="C64" s="80"/>
      <c r="D64" s="81"/>
      <c r="E64" s="81"/>
      <c r="F64" s="50" t="s">
        <v>851</v>
      </c>
      <c r="I64" s="39"/>
    </row>
    <row r="65" spans="1:9" ht="3" customHeight="1" x14ac:dyDescent="0.3">
      <c r="A65" s="57"/>
      <c r="F65" s="52"/>
      <c r="I65" s="39"/>
    </row>
    <row r="66" spans="1:9" ht="20.399999999999999" customHeight="1" x14ac:dyDescent="0.3">
      <c r="A66" s="4" t="s">
        <v>851</v>
      </c>
      <c r="B66" s="22"/>
      <c r="C66" s="80"/>
      <c r="D66" s="81"/>
      <c r="E66" s="81"/>
      <c r="F66" s="50" t="s">
        <v>851</v>
      </c>
      <c r="I66" s="39"/>
    </row>
    <row r="67" spans="1:9" ht="3" customHeight="1" x14ac:dyDescent="0.3">
      <c r="A67" s="57"/>
      <c r="F67" s="52"/>
      <c r="I67" s="39"/>
    </row>
    <row r="68" spans="1:9" ht="20.399999999999999" customHeight="1" x14ac:dyDescent="0.3">
      <c r="A68" s="4" t="s">
        <v>851</v>
      </c>
      <c r="B68" s="22"/>
      <c r="C68" s="80"/>
      <c r="D68" s="81"/>
      <c r="E68" s="81"/>
      <c r="F68" s="50" t="s">
        <v>851</v>
      </c>
      <c r="I68" s="39"/>
    </row>
    <row r="69" spans="1:9" x14ac:dyDescent="0.3">
      <c r="A69" s="57"/>
      <c r="I69" s="39"/>
    </row>
    <row r="70" spans="1:9" ht="1.2" customHeight="1" x14ac:dyDescent="0.3">
      <c r="A70" s="82" t="s">
        <v>853</v>
      </c>
      <c r="B70" s="83"/>
      <c r="C70" s="83"/>
      <c r="D70" s="83"/>
      <c r="E70" s="83"/>
      <c r="F70" s="83"/>
      <c r="G70" s="83"/>
      <c r="H70" s="83"/>
      <c r="I70" s="84"/>
    </row>
    <row r="71" spans="1:9" ht="9.6" customHeight="1" x14ac:dyDescent="0.3">
      <c r="A71" s="85"/>
      <c r="B71" s="83"/>
      <c r="C71" s="83"/>
      <c r="D71" s="83"/>
      <c r="E71" s="83"/>
      <c r="F71" s="83"/>
      <c r="G71" s="83"/>
      <c r="H71" s="83"/>
      <c r="I71" s="84"/>
    </row>
    <row r="72" spans="1:9" x14ac:dyDescent="0.3">
      <c r="A72" s="86"/>
      <c r="B72" s="87"/>
      <c r="C72" s="87"/>
      <c r="D72" s="87"/>
      <c r="E72" s="87"/>
      <c r="F72" s="87"/>
      <c r="G72" s="87"/>
      <c r="H72" s="87"/>
      <c r="I72" s="88"/>
    </row>
    <row r="73" spans="1:9" ht="5.4" customHeight="1" x14ac:dyDescent="0.3"/>
    <row r="74" spans="1:9" ht="38.4" customHeight="1" x14ac:dyDescent="0.3">
      <c r="A74" s="89" t="s">
        <v>808</v>
      </c>
      <c r="B74" s="89"/>
      <c r="C74" s="89"/>
      <c r="D74" s="89"/>
      <c r="E74" s="89"/>
      <c r="F74" s="89"/>
      <c r="G74" s="89"/>
      <c r="H74" s="89"/>
      <c r="I74" s="89"/>
    </row>
    <row r="75" spans="1:9" ht="21" customHeight="1" x14ac:dyDescent="0.3">
      <c r="A75" s="79" t="s">
        <v>809</v>
      </c>
      <c r="B75" s="79"/>
      <c r="C75" s="79"/>
      <c r="D75" s="79"/>
      <c r="E75" s="79"/>
      <c r="F75" s="40" t="s">
        <v>824</v>
      </c>
      <c r="G75" s="79" t="s">
        <v>820</v>
      </c>
      <c r="H75" s="79"/>
      <c r="I75" s="34" t="s">
        <v>822</v>
      </c>
    </row>
    <row r="76" spans="1:9" ht="21" customHeight="1" x14ac:dyDescent="0.3">
      <c r="A76" s="79" t="s">
        <v>810</v>
      </c>
      <c r="B76" s="79"/>
      <c r="C76" s="79"/>
      <c r="D76" s="79"/>
      <c r="E76" s="79"/>
      <c r="F76" s="40" t="s">
        <v>823</v>
      </c>
      <c r="G76" s="79" t="s">
        <v>821</v>
      </c>
      <c r="H76" s="79"/>
      <c r="I76" s="22"/>
    </row>
    <row r="77" spans="1:9" ht="282.60000000000002" customHeight="1" x14ac:dyDescent="0.3">
      <c r="A77" s="76"/>
      <c r="B77" s="77"/>
      <c r="C77" s="77"/>
      <c r="D77" s="77"/>
      <c r="E77" s="78"/>
      <c r="F77" s="77"/>
      <c r="G77" s="77"/>
      <c r="H77" s="77"/>
      <c r="I77" s="78"/>
    </row>
    <row r="78" spans="1:9" x14ac:dyDescent="0.3">
      <c r="A78" s="63" t="s">
        <v>854</v>
      </c>
      <c r="B78" s="64"/>
      <c r="C78" s="64"/>
      <c r="D78" s="64"/>
      <c r="E78" s="65"/>
      <c r="F78" t="s">
        <v>855</v>
      </c>
      <c r="I78" s="39"/>
    </row>
    <row r="79" spans="1:9" ht="282.60000000000002" customHeight="1" x14ac:dyDescent="0.3">
      <c r="A79" s="76"/>
      <c r="B79" s="77"/>
      <c r="C79" s="77"/>
      <c r="D79" s="77"/>
      <c r="E79" s="78"/>
      <c r="F79" s="77"/>
      <c r="G79" s="77"/>
      <c r="H79" s="77"/>
      <c r="I79" s="78"/>
    </row>
    <row r="80" spans="1:9" x14ac:dyDescent="0.3">
      <c r="A80" s="63" t="s">
        <v>856</v>
      </c>
      <c r="B80" s="64"/>
      <c r="C80" s="64"/>
      <c r="D80" s="64"/>
      <c r="E80" s="65"/>
      <c r="F80" t="s">
        <v>857</v>
      </c>
      <c r="I80" s="39"/>
    </row>
    <row r="81" spans="1:9" ht="282.60000000000002" customHeight="1" x14ac:dyDescent="0.3">
      <c r="A81" s="76"/>
      <c r="B81" s="77"/>
      <c r="C81" s="77"/>
      <c r="D81" s="77"/>
      <c r="E81" s="78"/>
      <c r="F81" s="77"/>
      <c r="G81" s="77"/>
      <c r="H81" s="77"/>
      <c r="I81" s="78"/>
    </row>
    <row r="82" spans="1:9" x14ac:dyDescent="0.3">
      <c r="A82" s="63" t="s">
        <v>858</v>
      </c>
      <c r="B82" s="64"/>
      <c r="C82" s="64"/>
      <c r="D82" s="64"/>
      <c r="E82" s="65"/>
      <c r="F82" s="64" t="s">
        <v>859</v>
      </c>
      <c r="G82" s="64"/>
      <c r="H82" s="64"/>
      <c r="I82" s="65"/>
    </row>
  </sheetData>
  <mergeCells count="49">
    <mergeCell ref="A6:I6"/>
    <mergeCell ref="A5:I5"/>
    <mergeCell ref="A4:I4"/>
    <mergeCell ref="A1:I1"/>
    <mergeCell ref="A2:E2"/>
    <mergeCell ref="A3:E3"/>
    <mergeCell ref="G2:H2"/>
    <mergeCell ref="G3:H3"/>
    <mergeCell ref="G16:I16"/>
    <mergeCell ref="G32:I32"/>
    <mergeCell ref="A10:C10"/>
    <mergeCell ref="A28:C28"/>
    <mergeCell ref="A44:I44"/>
    <mergeCell ref="D10:F10"/>
    <mergeCell ref="A45:I45"/>
    <mergeCell ref="A46:I46"/>
    <mergeCell ref="A47:I47"/>
    <mergeCell ref="A48:I48"/>
    <mergeCell ref="D38:F38"/>
    <mergeCell ref="F56:I56"/>
    <mergeCell ref="C50:E50"/>
    <mergeCell ref="C52:E52"/>
    <mergeCell ref="C54:E54"/>
    <mergeCell ref="C56:E56"/>
    <mergeCell ref="A49:E49"/>
    <mergeCell ref="F49:I49"/>
    <mergeCell ref="F50:I50"/>
    <mergeCell ref="F52:I52"/>
    <mergeCell ref="F54:I54"/>
    <mergeCell ref="F58:I58"/>
    <mergeCell ref="F60:I60"/>
    <mergeCell ref="A62:I62"/>
    <mergeCell ref="C58:E58"/>
    <mergeCell ref="C60:E60"/>
    <mergeCell ref="A75:E75"/>
    <mergeCell ref="G75:H75"/>
    <mergeCell ref="A76:E76"/>
    <mergeCell ref="G76:H76"/>
    <mergeCell ref="C64:E64"/>
    <mergeCell ref="C66:E66"/>
    <mergeCell ref="C68:E68"/>
    <mergeCell ref="A70:I72"/>
    <mergeCell ref="A74:I74"/>
    <mergeCell ref="A77:E77"/>
    <mergeCell ref="F77:I77"/>
    <mergeCell ref="A79:E79"/>
    <mergeCell ref="F79:I79"/>
    <mergeCell ref="A81:E81"/>
    <mergeCell ref="F81:I81"/>
  </mergeCells>
  <pageMargins left="0.511811024" right="0.511811024" top="0.78740157499999996" bottom="0.78740157499999996" header="0.31496062000000002" footer="0.31496062000000002"/>
  <pageSetup paperSize="9" scale="73"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DF08-A88B-4229-8CCC-EBDF483B0FB1}">
  <dimension ref="A1:C809"/>
  <sheetViews>
    <sheetView zoomScale="160" zoomScaleNormal="160" zoomScaleSheetLayoutView="80" workbookViewId="0">
      <selection activeCell="B8" sqref="B8"/>
    </sheetView>
  </sheetViews>
  <sheetFormatPr defaultRowHeight="14.4" x14ac:dyDescent="0.3"/>
  <cols>
    <col min="1" max="1" width="19.5546875" customWidth="1"/>
    <col min="2" max="2" width="12.21875" bestFit="1" customWidth="1"/>
    <col min="3" max="3" width="16.44140625" customWidth="1"/>
  </cols>
  <sheetData>
    <row r="1" spans="1:3" x14ac:dyDescent="0.3">
      <c r="A1" s="112" t="s">
        <v>985</v>
      </c>
      <c r="B1" s="112"/>
      <c r="C1" s="112"/>
    </row>
    <row r="2" spans="1:3" s="19" customFormat="1" ht="20.399999999999999" x14ac:dyDescent="0.3">
      <c r="A2" s="67" t="s">
        <v>982</v>
      </c>
      <c r="B2" s="67" t="s">
        <v>983</v>
      </c>
      <c r="C2" s="67" t="s">
        <v>984</v>
      </c>
    </row>
    <row r="3" spans="1:3" x14ac:dyDescent="0.3">
      <c r="A3" s="22" t="s">
        <v>970</v>
      </c>
      <c r="B3" s="69">
        <v>295</v>
      </c>
      <c r="C3" s="69">
        <v>1</v>
      </c>
    </row>
    <row r="4" spans="1:3" x14ac:dyDescent="0.3">
      <c r="A4" s="22" t="s">
        <v>971</v>
      </c>
      <c r="B4" s="69">
        <v>260</v>
      </c>
      <c r="C4" s="69">
        <v>1</v>
      </c>
    </row>
    <row r="5" spans="1:3" x14ac:dyDescent="0.3">
      <c r="A5" s="22" t="s">
        <v>972</v>
      </c>
      <c r="B5" s="69">
        <v>410</v>
      </c>
      <c r="C5" s="69">
        <v>1</v>
      </c>
    </row>
    <row r="6" spans="1:3" x14ac:dyDescent="0.3">
      <c r="A6" s="22" t="s">
        <v>973</v>
      </c>
      <c r="B6" s="69">
        <v>196</v>
      </c>
      <c r="C6" s="69">
        <v>1</v>
      </c>
    </row>
    <row r="7" spans="1:3" x14ac:dyDescent="0.3">
      <c r="A7" s="22" t="s">
        <v>974</v>
      </c>
      <c r="B7" s="69">
        <v>301</v>
      </c>
      <c r="C7" s="69">
        <v>2</v>
      </c>
    </row>
    <row r="8" spans="1:3" x14ac:dyDescent="0.3">
      <c r="A8" s="22" t="s">
        <v>975</v>
      </c>
      <c r="B8" s="69">
        <v>195</v>
      </c>
      <c r="C8" s="69">
        <v>1</v>
      </c>
    </row>
    <row r="9" spans="1:3" x14ac:dyDescent="0.3">
      <c r="A9" s="22" t="s">
        <v>976</v>
      </c>
      <c r="B9" s="69"/>
      <c r="C9" s="69"/>
    </row>
    <row r="10" spans="1:3" x14ac:dyDescent="0.3">
      <c r="A10" s="22" t="s">
        <v>977</v>
      </c>
      <c r="B10" s="69"/>
      <c r="C10" s="69"/>
    </row>
    <row r="11" spans="1:3" x14ac:dyDescent="0.3">
      <c r="A11" s="22" t="s">
        <v>978</v>
      </c>
      <c r="B11" s="69"/>
      <c r="C11" s="69"/>
    </row>
    <row r="12" spans="1:3" x14ac:dyDescent="0.3">
      <c r="A12" s="22" t="s">
        <v>979</v>
      </c>
      <c r="B12" s="69"/>
      <c r="C12" s="69"/>
    </row>
    <row r="13" spans="1:3" x14ac:dyDescent="0.3">
      <c r="A13" s="22" t="s">
        <v>980</v>
      </c>
      <c r="B13" s="69"/>
      <c r="C13" s="69"/>
    </row>
    <row r="14" spans="1:3" x14ac:dyDescent="0.3">
      <c r="A14" s="22" t="s">
        <v>981</v>
      </c>
      <c r="B14" s="69"/>
      <c r="C14" s="69"/>
    </row>
    <row r="15" spans="1:3" x14ac:dyDescent="0.3">
      <c r="A15" s="68" t="s">
        <v>513</v>
      </c>
      <c r="B15" s="14">
        <f>SUBTOTAL(109,Tabela1[QUANTIDADE
DDS])</f>
        <v>1657</v>
      </c>
      <c r="C15" s="70">
        <f>SUBTOTAL(109,Tabela1[QUANTIDADE CAMPANHAS])</f>
        <v>7</v>
      </c>
    </row>
    <row r="771" ht="16.2" customHeight="1" x14ac:dyDescent="0.3"/>
    <row r="797" ht="16.2" customHeight="1" x14ac:dyDescent="0.3"/>
    <row r="801" ht="16.2" customHeight="1" x14ac:dyDescent="0.3"/>
    <row r="805" ht="16.2" customHeight="1" x14ac:dyDescent="0.3"/>
    <row r="807" ht="31.95" customHeight="1" x14ac:dyDescent="0.3"/>
    <row r="809" ht="16.2" customHeight="1" x14ac:dyDescent="0.3"/>
  </sheetData>
  <mergeCells count="1">
    <mergeCell ref="A1:C1"/>
  </mergeCells>
  <phoneticPr fontId="17" type="noConversion"/>
  <pageMargins left="0.511811024" right="0.511811024" top="0.78740157499999996" bottom="0.78740157499999996" header="0.31496062000000002" footer="0.31496062000000002"/>
  <pageSetup paperSize="9" scale="78" orientation="portrait" r:id="rId1"/>
  <rowBreaks count="1" manualBreakCount="1">
    <brk id="193" max="16383" man="1"/>
  </rowBreak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9D31-695C-4ED6-80E2-CD293B592E26}">
  <dimension ref="A1:C82"/>
  <sheetViews>
    <sheetView showGridLines="0" topLeftCell="A16" workbookViewId="0">
      <selection activeCell="C34" sqref="C34"/>
    </sheetView>
  </sheetViews>
  <sheetFormatPr defaultRowHeight="14.4" x14ac:dyDescent="0.3"/>
  <cols>
    <col min="1" max="1" width="29" bestFit="1" customWidth="1"/>
    <col min="2" max="2" width="40.6640625" customWidth="1"/>
    <col min="3" max="3" width="38.6640625" bestFit="1" customWidth="1"/>
  </cols>
  <sheetData>
    <row r="1" spans="1:3" x14ac:dyDescent="0.3">
      <c r="A1" s="6" t="s">
        <v>514</v>
      </c>
      <c r="B1" s="11" t="s">
        <v>515</v>
      </c>
      <c r="C1" s="12" t="s">
        <v>516</v>
      </c>
    </row>
    <row r="2" spans="1:3" x14ac:dyDescent="0.3">
      <c r="A2" s="1" t="s">
        <v>517</v>
      </c>
      <c r="B2" s="1" t="s">
        <v>518</v>
      </c>
      <c r="C2" s="14" t="s">
        <v>519</v>
      </c>
    </row>
    <row r="3" spans="1:3" x14ac:dyDescent="0.3">
      <c r="A3" s="2" t="s">
        <v>520</v>
      </c>
      <c r="B3" s="2" t="s">
        <v>521</v>
      </c>
      <c r="C3" s="8" t="s">
        <v>522</v>
      </c>
    </row>
    <row r="4" spans="1:3" x14ac:dyDescent="0.3">
      <c r="A4" s="2" t="s">
        <v>523</v>
      </c>
      <c r="B4" s="2" t="s">
        <v>524</v>
      </c>
      <c r="C4" s="8" t="s">
        <v>525</v>
      </c>
    </row>
    <row r="5" spans="1:3" x14ac:dyDescent="0.3">
      <c r="A5" s="2" t="s">
        <v>526</v>
      </c>
      <c r="B5" s="2" t="s">
        <v>527</v>
      </c>
      <c r="C5" s="8" t="s">
        <v>528</v>
      </c>
    </row>
    <row r="6" spans="1:3" x14ac:dyDescent="0.3">
      <c r="A6" s="2" t="s">
        <v>529</v>
      </c>
      <c r="B6" s="2" t="s">
        <v>530</v>
      </c>
      <c r="C6" s="8" t="s">
        <v>531</v>
      </c>
    </row>
    <row r="7" spans="1:3" x14ac:dyDescent="0.3">
      <c r="A7" s="2" t="s">
        <v>532</v>
      </c>
      <c r="B7" s="3" t="s">
        <v>533</v>
      </c>
      <c r="C7" s="8" t="s">
        <v>534</v>
      </c>
    </row>
    <row r="8" spans="1:3" x14ac:dyDescent="0.3">
      <c r="A8" s="2" t="s">
        <v>535</v>
      </c>
      <c r="B8" s="2" t="s">
        <v>536</v>
      </c>
      <c r="C8" s="8" t="s">
        <v>537</v>
      </c>
    </row>
    <row r="9" spans="1:3" x14ac:dyDescent="0.3">
      <c r="A9" s="2" t="s">
        <v>538</v>
      </c>
      <c r="B9" s="2" t="s">
        <v>539</v>
      </c>
      <c r="C9" s="8" t="s">
        <v>540</v>
      </c>
    </row>
    <row r="10" spans="1:3" x14ac:dyDescent="0.3">
      <c r="A10" s="2" t="s">
        <v>541</v>
      </c>
      <c r="B10" s="2" t="s">
        <v>542</v>
      </c>
      <c r="C10" s="8" t="s">
        <v>543</v>
      </c>
    </row>
    <row r="11" spans="1:3" x14ac:dyDescent="0.3">
      <c r="A11" s="2" t="s">
        <v>544</v>
      </c>
      <c r="B11" s="3" t="s">
        <v>545</v>
      </c>
      <c r="C11" s="10" t="s">
        <v>546</v>
      </c>
    </row>
    <row r="12" spans="1:3" ht="28.8" x14ac:dyDescent="0.3">
      <c r="A12" s="2" t="s">
        <v>547</v>
      </c>
      <c r="B12" s="2" t="s">
        <v>548</v>
      </c>
      <c r="C12" s="10" t="s">
        <v>549</v>
      </c>
    </row>
    <row r="13" spans="1:3" x14ac:dyDescent="0.3">
      <c r="A13" s="2" t="s">
        <v>550</v>
      </c>
      <c r="B13" s="2" t="s">
        <v>551</v>
      </c>
      <c r="C13" s="8" t="s">
        <v>552</v>
      </c>
    </row>
    <row r="14" spans="1:3" x14ac:dyDescent="0.3">
      <c r="A14" s="2" t="s">
        <v>553</v>
      </c>
      <c r="B14" s="2" t="s">
        <v>554</v>
      </c>
      <c r="C14" s="8" t="s">
        <v>555</v>
      </c>
    </row>
    <row r="15" spans="1:3" x14ac:dyDescent="0.3">
      <c r="A15" s="3" t="s">
        <v>556</v>
      </c>
      <c r="B15" s="2" t="s">
        <v>557</v>
      </c>
      <c r="C15" s="8" t="s">
        <v>558</v>
      </c>
    </row>
    <row r="16" spans="1:3" x14ac:dyDescent="0.3">
      <c r="A16" s="2" t="s">
        <v>559</v>
      </c>
      <c r="B16" s="2" t="s">
        <v>560</v>
      </c>
      <c r="C16" s="8" t="s">
        <v>561</v>
      </c>
    </row>
    <row r="17" spans="1:3" x14ac:dyDescent="0.3">
      <c r="A17" s="2" t="s">
        <v>562</v>
      </c>
      <c r="B17" s="2" t="s">
        <v>563</v>
      </c>
      <c r="C17" s="8" t="s">
        <v>564</v>
      </c>
    </row>
    <row r="18" spans="1:3" x14ac:dyDescent="0.3">
      <c r="A18" s="2" t="s">
        <v>565</v>
      </c>
      <c r="B18" s="2" t="s">
        <v>566</v>
      </c>
      <c r="C18" s="8" t="s">
        <v>567</v>
      </c>
    </row>
    <row r="19" spans="1:3" x14ac:dyDescent="0.3">
      <c r="A19" s="2" t="s">
        <v>568</v>
      </c>
      <c r="B19" s="3" t="s">
        <v>569</v>
      </c>
      <c r="C19" s="8" t="s">
        <v>570</v>
      </c>
    </row>
    <row r="20" spans="1:3" x14ac:dyDescent="0.3">
      <c r="A20" s="2" t="s">
        <v>571</v>
      </c>
      <c r="B20" s="2" t="s">
        <v>572</v>
      </c>
      <c r="C20" s="8" t="s">
        <v>573</v>
      </c>
    </row>
    <row r="21" spans="1:3" x14ac:dyDescent="0.3">
      <c r="A21" s="2" t="s">
        <v>574</v>
      </c>
      <c r="B21" s="2" t="s">
        <v>575</v>
      </c>
      <c r="C21" s="8" t="s">
        <v>576</v>
      </c>
    </row>
    <row r="22" spans="1:3" x14ac:dyDescent="0.3">
      <c r="A22" s="2" t="s">
        <v>577</v>
      </c>
      <c r="B22" s="2" t="s">
        <v>578</v>
      </c>
      <c r="C22" s="8" t="s">
        <v>579</v>
      </c>
    </row>
    <row r="23" spans="1:3" x14ac:dyDescent="0.3">
      <c r="A23" s="2" t="s">
        <v>580</v>
      </c>
      <c r="B23" s="2" t="s">
        <v>581</v>
      </c>
      <c r="C23" s="8" t="s">
        <v>582</v>
      </c>
    </row>
    <row r="24" spans="1:3" x14ac:dyDescent="0.3">
      <c r="A24" s="2" t="s">
        <v>583</v>
      </c>
      <c r="B24" s="2" t="s">
        <v>584</v>
      </c>
      <c r="C24" s="8" t="s">
        <v>585</v>
      </c>
    </row>
    <row r="25" spans="1:3" x14ac:dyDescent="0.3">
      <c r="A25" s="2" t="s">
        <v>586</v>
      </c>
      <c r="B25" s="2" t="s">
        <v>587</v>
      </c>
      <c r="C25" s="8" t="s">
        <v>588</v>
      </c>
    </row>
    <row r="26" spans="1:3" x14ac:dyDescent="0.3">
      <c r="A26" s="2" t="s">
        <v>589</v>
      </c>
      <c r="B26" s="2" t="s">
        <v>590</v>
      </c>
      <c r="C26" s="15" t="s">
        <v>591</v>
      </c>
    </row>
    <row r="27" spans="1:3" x14ac:dyDescent="0.3">
      <c r="A27" s="2" t="s">
        <v>592</v>
      </c>
      <c r="B27" s="7" t="s">
        <v>593</v>
      </c>
      <c r="C27" s="4"/>
    </row>
    <row r="28" spans="1:3" x14ac:dyDescent="0.3">
      <c r="A28" s="2" t="s">
        <v>594</v>
      </c>
      <c r="B28" s="7" t="s">
        <v>595</v>
      </c>
      <c r="C28" s="4"/>
    </row>
    <row r="29" spans="1:3" x14ac:dyDescent="0.3">
      <c r="A29" s="4" t="s">
        <v>596</v>
      </c>
      <c r="B29" s="7" t="s">
        <v>597</v>
      </c>
      <c r="C29" s="4"/>
    </row>
    <row r="30" spans="1:3" x14ac:dyDescent="0.3">
      <c r="A30" s="2" t="s">
        <v>598</v>
      </c>
      <c r="B30" s="7" t="s">
        <v>599</v>
      </c>
      <c r="C30" s="4"/>
    </row>
    <row r="31" spans="1:3" x14ac:dyDescent="0.3">
      <c r="A31" s="2" t="s">
        <v>600</v>
      </c>
      <c r="B31" s="7" t="s">
        <v>601</v>
      </c>
      <c r="C31" s="4"/>
    </row>
    <row r="32" spans="1:3" x14ac:dyDescent="0.3">
      <c r="A32" s="2" t="s">
        <v>602</v>
      </c>
      <c r="B32" s="7" t="s">
        <v>603</v>
      </c>
      <c r="C32" s="4"/>
    </row>
    <row r="33" spans="1:3" x14ac:dyDescent="0.3">
      <c r="A33" s="2" t="s">
        <v>604</v>
      </c>
      <c r="B33" s="7" t="s">
        <v>605</v>
      </c>
      <c r="C33" s="4"/>
    </row>
    <row r="34" spans="1:3" x14ac:dyDescent="0.3">
      <c r="A34" s="5" t="s">
        <v>606</v>
      </c>
      <c r="B34" s="10" t="s">
        <v>607</v>
      </c>
      <c r="C34" s="4"/>
    </row>
    <row r="35" spans="1:3" x14ac:dyDescent="0.3">
      <c r="B35" s="7" t="s">
        <v>608</v>
      </c>
      <c r="C35" s="4"/>
    </row>
    <row r="36" spans="1:3" x14ac:dyDescent="0.3">
      <c r="B36" s="7" t="s">
        <v>609</v>
      </c>
      <c r="C36" s="4"/>
    </row>
    <row r="37" spans="1:3" x14ac:dyDescent="0.3">
      <c r="B37" s="7" t="s">
        <v>610</v>
      </c>
      <c r="C37" s="4"/>
    </row>
    <row r="38" spans="1:3" x14ac:dyDescent="0.3">
      <c r="B38" s="7" t="s">
        <v>611</v>
      </c>
      <c r="C38" s="4"/>
    </row>
    <row r="39" spans="1:3" x14ac:dyDescent="0.3">
      <c r="B39" s="7" t="s">
        <v>612</v>
      </c>
      <c r="C39" s="4"/>
    </row>
    <row r="40" spans="1:3" x14ac:dyDescent="0.3">
      <c r="B40" s="7" t="s">
        <v>613</v>
      </c>
      <c r="C40" s="4"/>
    </row>
    <row r="41" spans="1:3" x14ac:dyDescent="0.3">
      <c r="B41" s="7" t="s">
        <v>614</v>
      </c>
      <c r="C41" s="4"/>
    </row>
    <row r="42" spans="1:3" x14ac:dyDescent="0.3">
      <c r="B42" s="9" t="s">
        <v>615</v>
      </c>
    </row>
    <row r="58" spans="3:3" x14ac:dyDescent="0.3">
      <c r="C58" s="4"/>
    </row>
    <row r="59" spans="3:3" x14ac:dyDescent="0.3">
      <c r="C59" s="4"/>
    </row>
    <row r="60" spans="3:3" x14ac:dyDescent="0.3">
      <c r="C60" s="13"/>
    </row>
    <row r="62" spans="3:3" x14ac:dyDescent="0.3">
      <c r="C62" s="13"/>
    </row>
    <row r="73" spans="3:3" x14ac:dyDescent="0.3">
      <c r="C73" s="4"/>
    </row>
    <row r="74" spans="3:3" x14ac:dyDescent="0.3">
      <c r="C74" s="4"/>
    </row>
    <row r="75" spans="3:3" x14ac:dyDescent="0.3">
      <c r="C75" s="13"/>
    </row>
    <row r="77" spans="3:3" x14ac:dyDescent="0.3">
      <c r="C77" s="4"/>
    </row>
    <row r="78" spans="3:3" x14ac:dyDescent="0.3">
      <c r="C78" s="4"/>
    </row>
    <row r="79" spans="3:3" x14ac:dyDescent="0.3">
      <c r="C79" s="4"/>
    </row>
    <row r="80" spans="3:3" x14ac:dyDescent="0.3">
      <c r="C80" s="4"/>
    </row>
    <row r="81" spans="3:3" x14ac:dyDescent="0.3">
      <c r="C81" s="4"/>
    </row>
    <row r="82" spans="3:3" x14ac:dyDescent="0.3">
      <c r="C82" s="13"/>
    </row>
  </sheetData>
  <sheetProtection sheet="1" objects="1" scenarios="1" selectLockedCells="1" selectUnlockedCell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47A52244DFCC9488E5B66DD2EAE55E4" ma:contentTypeVersion="18" ma:contentTypeDescription="Crie um novo documento." ma:contentTypeScope="" ma:versionID="936731ce312a4e8ead8ad97bcf9b70b3">
  <xsd:schema xmlns:xsd="http://www.w3.org/2001/XMLSchema" xmlns:xs="http://www.w3.org/2001/XMLSchema" xmlns:p="http://schemas.microsoft.com/office/2006/metadata/properties" xmlns:ns1="http://schemas.microsoft.com/sharepoint/v3" xmlns:ns2="84c92d79-736b-434d-a6de-4a5b6bb0f72c" xmlns:ns3="de022bf3-4aff-41f6-a825-e7793343a5a1" targetNamespace="http://schemas.microsoft.com/office/2006/metadata/properties" ma:root="true" ma:fieldsID="fdc18dfd3044d82758640420f33afd2f" ns1:_="" ns2:_="" ns3:_="">
    <xsd:import namespace="http://schemas.microsoft.com/sharepoint/v3"/>
    <xsd:import namespace="84c92d79-736b-434d-a6de-4a5b6bb0f72c"/>
    <xsd:import namespace="de022bf3-4aff-41f6-a825-e7793343a5a1"/>
    <xsd:element name="properties">
      <xsd:complexType>
        <xsd:sequence>
          <xsd:element name="documentManagement">
            <xsd:complexType>
              <xsd:all>
                <xsd:element ref="ns2:_Flow_SignoffStatu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element ref="ns2:User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c92d79-736b-434d-a6de-4a5b6bb0f72c" elementFormDefault="qualified">
    <xsd:import namespace="http://schemas.microsoft.com/office/2006/documentManagement/types"/>
    <xsd:import namespace="http://schemas.microsoft.com/office/infopath/2007/PartnerControls"/>
    <xsd:element name="_Flow_SignoffStatus" ma:index="8" nillable="true" ma:displayName="Status de liberação" ma:internalName="_x0024_Resources_x003a_core_x002c_Signoff_Status">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68585fcb-9c99-4962-90d2-60149a44b03a"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Users" ma:index="23" nillable="true" ma:displayName="Users" ma:format="Dropdown" ma:list="UserInfo" ma:SharePointGroup="0" ma:internalName="User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e022bf3-4aff-41f6-a825-e7793343a5a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dfb9e8a-4295-4e3c-8694-55aca7e39036}" ma:internalName="TaxCatchAll" ma:showField="CatchAllData" ma:web="de022bf3-4aff-41f6-a825-e7793343a5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Users xmlns="84c92d79-736b-434d-a6de-4a5b6bb0f72c">
      <UserInfo>
        <DisplayName/>
        <AccountId xsi:nil="true"/>
        <AccountType/>
      </UserInfo>
    </Users>
    <_ip_UnifiedCompliancePolicyUIAction xmlns="http://schemas.microsoft.com/sharepoint/v3" xsi:nil="true"/>
    <lcf76f155ced4ddcb4097134ff3c332f xmlns="84c92d79-736b-434d-a6de-4a5b6bb0f72c">
      <Terms xmlns="http://schemas.microsoft.com/office/infopath/2007/PartnerControls"/>
    </lcf76f155ced4ddcb4097134ff3c332f>
    <TaxCatchAll xmlns="de022bf3-4aff-41f6-a825-e7793343a5a1" xsi:nil="true"/>
    <_ip_UnifiedCompliancePolicyProperties xmlns="http://schemas.microsoft.com/sharepoint/v3" xsi:nil="true"/>
    <_Flow_SignoffStatus xmlns="84c92d79-736b-434d-a6de-4a5b6bb0f72c" xsi:nil="true"/>
  </documentManagement>
</p:properties>
</file>

<file path=customXml/itemProps1.xml><?xml version="1.0" encoding="utf-8"?>
<ds:datastoreItem xmlns:ds="http://schemas.openxmlformats.org/officeDocument/2006/customXml" ds:itemID="{3B012FB3-DD8F-4CAA-8133-13B526BC83FE}">
  <ds:schemaRefs>
    <ds:schemaRef ds:uri="http://schemas.microsoft.com/sharepoint/v3/contenttype/forms"/>
  </ds:schemaRefs>
</ds:datastoreItem>
</file>

<file path=customXml/itemProps2.xml><?xml version="1.0" encoding="utf-8"?>
<ds:datastoreItem xmlns:ds="http://schemas.openxmlformats.org/officeDocument/2006/customXml" ds:itemID="{4A86827D-F12F-464B-8BAA-37C9BCDB40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4c92d79-736b-434d-a6de-4a5b6bb0f72c"/>
    <ds:schemaRef ds:uri="de022bf3-4aff-41f6-a825-e7793343a5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09844F-2517-46B1-8B13-9F10D5CE2474}">
  <ds:schemaRefs>
    <ds:schemaRef ds:uri="http://schemas.microsoft.com/office/2006/metadata/properties"/>
    <ds:schemaRef ds:uri="http://schemas.microsoft.com/office/infopath/2007/PartnerControls"/>
    <ds:schemaRef ds:uri="84c92d79-736b-434d-a6de-4a5b6bb0f72c"/>
    <ds:schemaRef ds:uri="http://schemas.microsoft.com/sharepoint/v3"/>
    <ds:schemaRef ds:uri="de022bf3-4aff-41f6-a825-e7793343a5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1</vt:i4>
      </vt:variant>
    </vt:vector>
  </HeadingPairs>
  <TitlesOfParts>
    <vt:vector size="5" baseType="lpstr">
      <vt:lpstr>Inspeções</vt:lpstr>
      <vt:lpstr>Modelo Check-list de Inspeção</vt:lpstr>
      <vt:lpstr>Indicador Pro-ativo</vt:lpstr>
      <vt:lpstr>Listas</vt:lpstr>
      <vt:lpstr>Inspeções!Area_de_impressao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Walnei</dc:creator>
  <cp:keywords/>
  <dc:description/>
  <cp:lastModifiedBy>Maria Edilania Pereira da Cruz</cp:lastModifiedBy>
  <cp:revision/>
  <cp:lastPrinted>2026-06-18T16:20:02Z</cp:lastPrinted>
  <dcterms:created xsi:type="dcterms:W3CDTF">2011-02-01T00:58:51Z</dcterms:created>
  <dcterms:modified xsi:type="dcterms:W3CDTF">2026-07-06T14:39:57Z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0x010100547A52244DFCC9488E5B66DD2EAE55E4</vt:lpwstr>
  </property>
  <property fmtid="{D5CDD505-2E9C-101B-9397-08002B2CF9AE}" pid="3" name="MediaServiceImageTags">
    <vt:lpwstr/>
  </property>
</Properties>
</file>