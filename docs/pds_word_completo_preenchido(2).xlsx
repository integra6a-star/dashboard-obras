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099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/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46182</v>
      </c>
      <c r="B2734" t="inlineStr">
        <is>
          <t>Terça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Piloto e Puxe do PV-19 ao PV-20</t>
        </is>
      </c>
      <c r="G2734" t="inlineStr">
        <is>
          <t>19</t>
        </is>
      </c>
      <c r="H2734" t="inlineStr">
        <is>
          <t>20</t>
        </is>
      </c>
      <c r="I2734" t="inlineStr">
        <is>
          <t>19 ao 20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PDS-Junho.docx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46182</v>
      </c>
      <c r="B2735" t="inlineStr">
        <is>
          <t>Terça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PDS-Junho.docx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46182</v>
      </c>
      <c r="B2736" t="inlineStr">
        <is>
          <t>Terça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Reaterro 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PDS-Junho.docx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46182</v>
      </c>
      <c r="B2737" t="inlineStr">
        <is>
          <t>Terça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Márcio</t>
        </is>
      </c>
      <c r="F2737" t="inlineStr">
        <is>
          <t>Transformação PV 10</t>
        </is>
      </c>
      <c r="G2737" t="inlineStr">
        <is>
          <t>10</t>
        </is>
      </c>
      <c r="I2737" t="inlineStr">
        <is>
          <t>10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PDS-Junho.docx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46182</v>
      </c>
      <c r="B2738" t="inlineStr">
        <is>
          <t>Terça</t>
        </is>
      </c>
      <c r="C2738" t="inlineStr">
        <is>
          <t>RCE Elvira</t>
        </is>
      </c>
      <c r="D2738" t="inlineStr">
        <is>
          <t>Silvestre</t>
        </is>
      </c>
      <c r="E2738" t="inlineStr">
        <is>
          <t>Valter</t>
        </is>
      </c>
      <c r="F2738" t="inlineStr">
        <is>
          <t>VCA, PVs e Ligações</t>
        </is>
      </c>
      <c r="J2738" t="inlineStr">
        <is>
          <t>VCA</t>
        </is>
      </c>
      <c r="K2738" t="inlineStr">
        <is>
          <t>Planejamento</t>
        </is>
      </c>
      <c r="L2738" t="inlineStr">
        <is>
          <t>PDS-Junho.docx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46182</v>
      </c>
      <c r="B2739" t="inlineStr">
        <is>
          <t>Terça</t>
        </is>
      </c>
      <c r="C2739" t="inlineStr">
        <is>
          <t>RCE Elias Sleiman / CT João Canzi</t>
        </is>
      </c>
      <c r="D2739" t="inlineStr">
        <is>
          <t>Silvestre</t>
        </is>
      </c>
      <c r="E2739" t="inlineStr">
        <is>
          <t>Edvando</t>
        </is>
      </c>
      <c r="F2739" t="inlineStr">
        <is>
          <t>VCA PV 22 ao PV 23</t>
        </is>
      </c>
      <c r="G2739" t="inlineStr">
        <is>
          <t>22</t>
        </is>
      </c>
      <c r="H2739" t="inlineStr">
        <is>
          <t>23</t>
        </is>
      </c>
      <c r="I2739" t="inlineStr">
        <is>
          <t>22 ao 23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PDS-Junho.docx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46182</v>
      </c>
      <c r="B2740" t="inlineStr">
        <is>
          <t>Terça</t>
        </is>
      </c>
      <c r="C2740" t="inlineStr">
        <is>
          <t>RCE Conj. União</t>
        </is>
      </c>
      <c r="D2740" t="inlineStr">
        <is>
          <t>Caroline</t>
        </is>
      </c>
      <c r="E2740" t="inlineStr">
        <is>
          <t>Jhonatan</t>
        </is>
      </c>
      <c r="F2740" t="inlineStr">
        <is>
          <t>Shaft PV 48</t>
        </is>
      </c>
      <c r="G2740" t="inlineStr">
        <is>
          <t>48</t>
        </is>
      </c>
      <c r="I2740" t="inlineStr">
        <is>
          <t>48</t>
        </is>
      </c>
      <c r="J2740" t="inlineStr">
        <is>
          <t>Shaft</t>
        </is>
      </c>
      <c r="K2740" t="inlineStr">
        <is>
          <t>Planejamento</t>
        </is>
      </c>
      <c r="L2740" t="inlineStr">
        <is>
          <t>PDS-Junho.docx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46182</v>
      </c>
      <c r="B2741" t="inlineStr">
        <is>
          <t>Terça</t>
        </is>
      </c>
      <c r="C2741" t="inlineStr">
        <is>
          <t>RCE Américo Machado/elis Regina</t>
        </is>
      </c>
      <c r="D2741" t="inlineStr">
        <is>
          <t>Caroline</t>
        </is>
      </c>
      <c r="E2741" t="inlineStr">
        <is>
          <t>Cesar</t>
        </is>
      </c>
      <c r="F2741" t="inlineStr">
        <is>
          <t>Shaft PV 01</t>
        </is>
      </c>
      <c r="G2741" t="inlineStr">
        <is>
          <t>01</t>
        </is>
      </c>
      <c r="I2741" t="inlineStr">
        <is>
          <t>01</t>
        </is>
      </c>
      <c r="J2741" t="inlineStr">
        <is>
          <t>Shaft</t>
        </is>
      </c>
      <c r="K2741" t="inlineStr">
        <is>
          <t>Planejamento</t>
        </is>
      </c>
      <c r="L2741" t="inlineStr">
        <is>
          <t>PDS-Junho.docx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46182</v>
      </c>
      <c r="B2742" t="inlineStr">
        <is>
          <t>Terça</t>
        </is>
      </c>
      <c r="C2742" t="inlineStr">
        <is>
          <t>CTS Lourdes Complementar</t>
        </is>
      </c>
      <c r="D2742" t="inlineStr">
        <is>
          <t>Robson</t>
        </is>
      </c>
      <c r="E2742" t="inlineStr">
        <is>
          <t>Marcelo</t>
        </is>
      </c>
      <c r="F2742" t="inlineStr">
        <is>
          <t>Transformação PV 05 + Interligação</t>
        </is>
      </c>
      <c r="G2742" t="inlineStr">
        <is>
          <t>05</t>
        </is>
      </c>
      <c r="I2742" t="inlineStr">
        <is>
          <t>05</t>
        </is>
      </c>
      <c r="J2742" t="inlineStr">
        <is>
          <t>Transformação</t>
        </is>
      </c>
      <c r="K2742" t="inlineStr">
        <is>
          <t>Planejamento</t>
        </is>
      </c>
      <c r="L2742" t="inlineStr">
        <is>
          <t>PDS-Junho.docx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46182</v>
      </c>
      <c r="B2743" t="inlineStr">
        <is>
          <t>Terça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Ricardo (pi 08 Ao Pi 09)</t>
        </is>
      </c>
      <c r="F2743" t="inlineStr">
        <is>
          <t>VCA, PVs e Ligações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PDS-Junho.docx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46182</v>
      </c>
      <c r="B2744" t="inlineStr">
        <is>
          <t>Terça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Claudinei (pi 38 Ao Pi 81)</t>
        </is>
      </c>
      <c r="F2744" t="inlineStr">
        <is>
          <t>VCA, PVs e Ligações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PDS-Junho.docx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46182</v>
      </c>
      <c r="B2745" t="inlineStr">
        <is>
          <t>Terça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Miro (pi 60 Ao Pi 61)</t>
        </is>
      </c>
      <c r="F2745" t="inlineStr">
        <is>
          <t>VCA, PVs e Ligações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PDS-Junho.docx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46182</v>
      </c>
      <c r="B2746" t="inlineStr">
        <is>
          <t>Terça</t>
        </is>
      </c>
      <c r="C2746" t="inlineStr">
        <is>
          <t>RCE São Lucas</t>
        </is>
      </c>
      <c r="D2746" t="inlineStr">
        <is>
          <t>Fábio</t>
        </is>
      </c>
      <c r="E2746" t="inlineStr">
        <is>
          <t>Emanuel (pi 25 Ao Pi 26)</t>
        </is>
      </c>
      <c r="F2746" t="inlineStr">
        <is>
          <t>VCA, PVs e Ligações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PDS-Junho.docx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46182</v>
      </c>
      <c r="B2747" t="inlineStr">
        <is>
          <t>Terça</t>
        </is>
      </c>
      <c r="C2747" t="inlineStr">
        <is>
          <t>RCE São Lucas</t>
        </is>
      </c>
      <c r="D2747" t="inlineStr">
        <is>
          <t>Fábio</t>
        </is>
      </c>
      <c r="E2747" t="inlineStr">
        <is>
          <t>Antonio (pi 55 Ao Pi 56)</t>
        </is>
      </c>
      <c r="F2747" t="inlineStr">
        <is>
          <t>VCA, PVs e Ligações</t>
        </is>
      </c>
      <c r="J2747" t="inlineStr">
        <is>
          <t>VCA</t>
        </is>
      </c>
      <c r="K2747" t="inlineStr">
        <is>
          <t>Planejamento</t>
        </is>
      </c>
      <c r="L2747" t="inlineStr">
        <is>
          <t>PDS-Junho.docx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46182</v>
      </c>
      <c r="B2748" t="inlineStr">
        <is>
          <t>Terça</t>
        </is>
      </c>
      <c r="C2748" t="inlineStr">
        <is>
          <t>RCE São Lucas</t>
        </is>
      </c>
      <c r="D2748" t="inlineStr">
        <is>
          <t>Fábio</t>
        </is>
      </c>
      <c r="E2748" t="inlineStr">
        <is>
          <t>Antonio (pi 55 Ao Pi 56)</t>
        </is>
      </c>
      <c r="F2748" t="inlineStr">
        <is>
          <t>SERVIÇOS REPOSIÇÃO – LEANDRO</t>
        </is>
      </c>
      <c r="J2748" t="inlineStr">
        <is>
          <t>Atividade</t>
        </is>
      </c>
      <c r="K2748" t="inlineStr">
        <is>
          <t>Planejamento</t>
        </is>
      </c>
      <c r="L2748" t="inlineStr">
        <is>
          <t>PDS-Junho.docx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46182</v>
      </c>
      <c r="B2749" t="inlineStr">
        <is>
          <t>Terça</t>
        </is>
      </c>
      <c r="C2749" t="inlineStr">
        <is>
          <t>RCE São Lucas</t>
        </is>
      </c>
      <c r="D2749" t="inlineStr">
        <is>
          <t>Fábio</t>
        </is>
      </c>
      <c r="E2749" t="inlineStr">
        <is>
          <t>Antonio (pi 55 Ao Pi 56)</t>
        </is>
      </c>
      <c r="F2749" t="inlineStr">
        <is>
          <t>Reparos Gerais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PDS-Junho.docx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46182</v>
      </c>
      <c r="B2750" t="inlineStr">
        <is>
          <t>Terça</t>
        </is>
      </c>
      <c r="C2750" t="inlineStr">
        <is>
          <t>CTS Lageado</t>
        </is>
      </c>
      <c r="D2750" t="inlineStr">
        <is>
          <t>Gabriel</t>
        </is>
      </c>
      <c r="E2750" t="inlineStr">
        <is>
          <t>Cidão</t>
        </is>
      </c>
      <c r="F2750" t="inlineStr">
        <is>
          <t>Acabamentos gerais</t>
        </is>
      </c>
      <c r="J2750" t="inlineStr">
        <is>
          <t>Acabamento</t>
        </is>
      </c>
      <c r="K2750" t="inlineStr">
        <is>
          <t>Planejamento</t>
        </is>
      </c>
      <c r="L2750" t="inlineStr">
        <is>
          <t>PDS-Junho.docx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46182</v>
      </c>
      <c r="B2751" t="inlineStr">
        <is>
          <t>Terça</t>
        </is>
      </c>
      <c r="C2751" t="inlineStr">
        <is>
          <t>João Canzi</t>
        </is>
      </c>
      <c r="E2751" t="inlineStr">
        <is>
          <t>Vacal</t>
        </is>
      </c>
      <c r="F2751" t="inlineStr">
        <is>
          <t>João Canzi - Renasce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PDS-Junho.docx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46182</v>
      </c>
      <c r="B2752" t="inlineStr">
        <is>
          <t>Terça</t>
        </is>
      </c>
      <c r="C2752" t="inlineStr">
        <is>
          <t>João Canzi</t>
        </is>
      </c>
      <c r="E2752" t="inlineStr">
        <is>
          <t>Vacal</t>
        </is>
      </c>
      <c r="F2752" t="inlineStr">
        <is>
          <t>João Canzi – Renasce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PDS-Junho.docx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46182</v>
      </c>
      <c r="B2753" t="inlineStr">
        <is>
          <t>Terça</t>
        </is>
      </c>
      <c r="C2753" t="inlineStr">
        <is>
          <t>Iti 15</t>
        </is>
      </c>
      <c r="E2753" t="inlineStr">
        <is>
          <t>Vacal</t>
        </is>
      </c>
      <c r="F2753" t="inlineStr">
        <is>
          <t>ITI 15 – Henko (Osmar)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PDS-Junho.docx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46182</v>
      </c>
      <c r="B2754" t="inlineStr">
        <is>
          <t>Terça</t>
        </is>
      </c>
      <c r="C2754" t="inlineStr">
        <is>
          <t>Guindauto</t>
        </is>
      </c>
      <c r="E2754" t="inlineStr">
        <is>
          <t>Guindauto</t>
        </is>
      </c>
      <c r="F2754" t="inlineStr">
        <is>
          <t>Marcio - Apoio as equipes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PDS-Junho.docx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46182</v>
      </c>
      <c r="B2755" t="inlineStr">
        <is>
          <t>Terça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Luiz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PDS-Junho.docx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46183</v>
      </c>
      <c r="B2756" t="inlineStr">
        <is>
          <t>Quarta</t>
        </is>
      </c>
      <c r="C2756" t="inlineStr">
        <is>
          <t>CT João Canzi</t>
        </is>
      </c>
      <c r="D2756" t="inlineStr">
        <is>
          <t>Valmir</t>
        </is>
      </c>
      <c r="E2756" t="inlineStr">
        <is>
          <t>Goiânia Drill</t>
        </is>
      </c>
      <c r="F2756" t="inlineStr">
        <is>
          <t>Piloto e Puxe do PV-19 ao PV-20</t>
        </is>
      </c>
      <c r="G2756" t="inlineStr">
        <is>
          <t>19</t>
        </is>
      </c>
      <c r="H2756" t="inlineStr">
        <is>
          <t>20</t>
        </is>
      </c>
      <c r="I2756" t="inlineStr">
        <is>
          <t>19 ao 20</t>
        </is>
      </c>
      <c r="J2756" t="inlineStr">
        <is>
          <t>HDD</t>
        </is>
      </c>
      <c r="K2756" t="inlineStr">
        <is>
          <t>Planejamento</t>
        </is>
      </c>
      <c r="L2756" t="inlineStr">
        <is>
          <t>PDS-Junho.docx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46183</v>
      </c>
      <c r="B2757" t="inlineStr">
        <is>
          <t>Quarta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Bruno</t>
        </is>
      </c>
      <c r="F2757" t="inlineStr">
        <is>
          <t>Apoio ao HDD</t>
        </is>
      </c>
      <c r="J2757" t="inlineStr">
        <is>
          <t>HDD</t>
        </is>
      </c>
      <c r="K2757" t="inlineStr">
        <is>
          <t>Planejamento</t>
        </is>
      </c>
      <c r="L2757" t="inlineStr">
        <is>
          <t>PDS-Junho.docx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46183</v>
      </c>
      <c r="B2758" t="inlineStr">
        <is>
          <t>Quarta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Medeiros</t>
        </is>
      </c>
      <c r="F2758" t="inlineStr">
        <is>
          <t>Reaterro Shaft PV 10.1</t>
        </is>
      </c>
      <c r="G2758" t="inlineStr">
        <is>
          <t>10.1</t>
        </is>
      </c>
      <c r="I2758" t="inlineStr">
        <is>
          <t>10.1</t>
        </is>
      </c>
      <c r="J2758" t="inlineStr">
        <is>
          <t>Shaft</t>
        </is>
      </c>
      <c r="K2758" t="inlineStr">
        <is>
          <t>Planejamento</t>
        </is>
      </c>
      <c r="L2758" t="inlineStr">
        <is>
          <t>PDS-Junho.docx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46183</v>
      </c>
      <c r="B2759" t="inlineStr">
        <is>
          <t>Quarta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Márcio</t>
        </is>
      </c>
      <c r="F2759" t="inlineStr">
        <is>
          <t>Transformação PV 10</t>
        </is>
      </c>
      <c r="G2759" t="inlineStr">
        <is>
          <t>10</t>
        </is>
      </c>
      <c r="I2759" t="inlineStr">
        <is>
          <t>10</t>
        </is>
      </c>
      <c r="J2759" t="inlineStr">
        <is>
          <t>Transformação</t>
        </is>
      </c>
      <c r="K2759" t="inlineStr">
        <is>
          <t>Planejamento</t>
        </is>
      </c>
      <c r="L2759" t="inlineStr">
        <is>
          <t>PDS-Junho.docx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46183</v>
      </c>
      <c r="B2760" t="inlineStr">
        <is>
          <t>Quarta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Cidão</t>
        </is>
      </c>
      <c r="F2760" t="inlineStr">
        <is>
          <t>Transformação PV 18</t>
        </is>
      </c>
      <c r="G2760" t="inlineStr">
        <is>
          <t>18</t>
        </is>
      </c>
      <c r="I2760" t="inlineStr">
        <is>
          <t>18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PDS-Junho.docx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46183</v>
      </c>
      <c r="B2761" t="inlineStr">
        <is>
          <t>Quarta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PDS-Junho.docx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46183</v>
      </c>
      <c r="B2762" t="inlineStr">
        <is>
          <t>Quarta</t>
        </is>
      </c>
      <c r="C2762" t="inlineStr">
        <is>
          <t>RCE Conj. União</t>
        </is>
      </c>
      <c r="D2762" t="inlineStr">
        <is>
          <t>Caroline</t>
        </is>
      </c>
      <c r="E2762" t="inlineStr">
        <is>
          <t>Jhonatan</t>
        </is>
      </c>
      <c r="F2762" t="inlineStr">
        <is>
          <t>Shaft PV 48</t>
        </is>
      </c>
      <c r="G2762" t="inlineStr">
        <is>
          <t>48</t>
        </is>
      </c>
      <c r="I2762" t="inlineStr">
        <is>
          <t>48</t>
        </is>
      </c>
      <c r="J2762" t="inlineStr">
        <is>
          <t>Shaft</t>
        </is>
      </c>
      <c r="K2762" t="inlineStr">
        <is>
          <t>Planejamento</t>
        </is>
      </c>
      <c r="L2762" t="inlineStr">
        <is>
          <t>PDS-Junho.docx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46183</v>
      </c>
      <c r="B2763" t="inlineStr">
        <is>
          <t>Quarta</t>
        </is>
      </c>
      <c r="C2763" t="inlineStr">
        <is>
          <t>RCE Américo Machado/elis Regina</t>
        </is>
      </c>
      <c r="D2763" t="inlineStr">
        <is>
          <t>Caroline</t>
        </is>
      </c>
      <c r="E2763" t="inlineStr">
        <is>
          <t>Cesar</t>
        </is>
      </c>
      <c r="F2763" t="inlineStr">
        <is>
          <t>Transformação PV 01</t>
        </is>
      </c>
      <c r="G2763" t="inlineStr">
        <is>
          <t>01</t>
        </is>
      </c>
      <c r="I2763" t="inlineStr">
        <is>
          <t>01</t>
        </is>
      </c>
      <c r="J2763" t="inlineStr">
        <is>
          <t>Transformação</t>
        </is>
      </c>
      <c r="K2763" t="inlineStr">
        <is>
          <t>Planejamento</t>
        </is>
      </c>
      <c r="L2763" t="inlineStr">
        <is>
          <t>PDS-Junho.docx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46183</v>
      </c>
      <c r="B2764" t="inlineStr">
        <is>
          <t>Quarta</t>
        </is>
      </c>
      <c r="C2764" t="inlineStr">
        <is>
          <t>CTS Lourdes Complementar</t>
        </is>
      </c>
      <c r="D2764" t="inlineStr">
        <is>
          <t>Robson</t>
        </is>
      </c>
      <c r="E2764" t="inlineStr">
        <is>
          <t>Marcelo</t>
        </is>
      </c>
      <c r="F2764" t="inlineStr">
        <is>
          <t>Transformação PV 05 + Interligação</t>
        </is>
      </c>
      <c r="G2764" t="inlineStr">
        <is>
          <t>05</t>
        </is>
      </c>
      <c r="I2764" t="inlineStr">
        <is>
          <t>05</t>
        </is>
      </c>
      <c r="J2764" t="inlineStr">
        <is>
          <t>Transformação</t>
        </is>
      </c>
      <c r="K2764" t="inlineStr">
        <is>
          <t>Planejamento</t>
        </is>
      </c>
      <c r="L2764" t="inlineStr">
        <is>
          <t>PDS-Junho.docx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46183</v>
      </c>
      <c r="B2765" t="inlineStr">
        <is>
          <t>Quarta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Ricardo (pi 10 Ao Pi 11)</t>
        </is>
      </c>
      <c r="F2765" t="inlineStr">
        <is>
          <t>VCA, PVs e Ligações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PDS-Junho.docx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46183</v>
      </c>
      <c r="B2766" t="inlineStr">
        <is>
          <t>Quarta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Claudinei (pi 38 Ao Pi 81)</t>
        </is>
      </c>
      <c r="F2766" t="inlineStr">
        <is>
          <t>VCA, PVs e Ligações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PDS-Junho.docx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46183</v>
      </c>
      <c r="B2767" t="inlineStr">
        <is>
          <t>Quarta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Miro (pi 61 Ao Pi 62)</t>
        </is>
      </c>
      <c r="F2767" t="inlineStr">
        <is>
          <t>VCA, PVs e Ligações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PDS-Junho.docx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46183</v>
      </c>
      <c r="B2768" t="inlineStr">
        <is>
          <t>Quarta</t>
        </is>
      </c>
      <c r="C2768" t="inlineStr">
        <is>
          <t>RCE São Lucas</t>
        </is>
      </c>
      <c r="D2768" t="inlineStr">
        <is>
          <t>Fábio</t>
        </is>
      </c>
      <c r="E2768" t="inlineStr">
        <is>
          <t>Emanuel (pi 25 Ao Pi 26)</t>
        </is>
      </c>
      <c r="F2768" t="inlineStr">
        <is>
          <t>VCA, PVs e Ligações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PDS-Junho.docx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46183</v>
      </c>
      <c r="B2769" t="inlineStr">
        <is>
          <t>Quarta</t>
        </is>
      </c>
      <c r="C2769" t="inlineStr">
        <is>
          <t>RCE São Lucas</t>
        </is>
      </c>
      <c r="D2769" t="inlineStr">
        <is>
          <t>Fábio</t>
        </is>
      </c>
      <c r="E2769" t="inlineStr">
        <is>
          <t>Antonio (pi 55 Ao Pi 56)</t>
        </is>
      </c>
      <c r="F2769" t="inlineStr">
        <is>
          <t>VCA, PVs e Ligações</t>
        </is>
      </c>
      <c r="J2769" t="inlineStr">
        <is>
          <t>VCA</t>
        </is>
      </c>
      <c r="K2769" t="inlineStr">
        <is>
          <t>Planejamento</t>
        </is>
      </c>
      <c r="L2769" t="inlineStr">
        <is>
          <t>PDS-Junho.docx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46183</v>
      </c>
      <c r="B2770" t="inlineStr">
        <is>
          <t>Quarta</t>
        </is>
      </c>
      <c r="C2770" t="inlineStr">
        <is>
          <t>RCE São Lucas</t>
        </is>
      </c>
      <c r="D2770" t="inlineStr">
        <is>
          <t>Fábio</t>
        </is>
      </c>
      <c r="E2770" t="inlineStr">
        <is>
          <t>Antonio (pi 55 Ao Pi 56)</t>
        </is>
      </c>
      <c r="F2770" t="inlineStr">
        <is>
          <t>SERVIÇOS REPOSIÇÃO – LEANDRO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PDS-Junho.docx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46183</v>
      </c>
      <c r="B2771" t="inlineStr">
        <is>
          <t>Quarta</t>
        </is>
      </c>
      <c r="C2771" t="inlineStr">
        <is>
          <t>RCE São Lucas</t>
        </is>
      </c>
      <c r="D2771" t="inlineStr">
        <is>
          <t>Fábio</t>
        </is>
      </c>
      <c r="E2771" t="inlineStr">
        <is>
          <t>Antonio (pi 55 Ao Pi 56)</t>
        </is>
      </c>
      <c r="F2771" t="inlineStr">
        <is>
          <t>Reparos Gerais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PDS-Junho.docx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46183</v>
      </c>
      <c r="B2772" t="inlineStr">
        <is>
          <t>Quarta</t>
        </is>
      </c>
      <c r="C2772" t="inlineStr">
        <is>
          <t>João Canzi</t>
        </is>
      </c>
      <c r="E2772" t="inlineStr">
        <is>
          <t>Vacal</t>
        </is>
      </c>
      <c r="F2772" t="inlineStr">
        <is>
          <t>João Canzi - Henko</t>
        </is>
      </c>
      <c r="J2772" t="inlineStr">
        <is>
          <t>Atividade</t>
        </is>
      </c>
      <c r="K2772" t="inlineStr">
        <is>
          <t>Apoio</t>
        </is>
      </c>
      <c r="L2772" t="inlineStr">
        <is>
          <t>PDS-Junho.docx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46183</v>
      </c>
      <c r="B2773" t="inlineStr">
        <is>
          <t>Quarta</t>
        </is>
      </c>
      <c r="C2773" t="inlineStr">
        <is>
          <t>João Canzi</t>
        </is>
      </c>
      <c r="E2773" t="inlineStr">
        <is>
          <t>Vacal</t>
        </is>
      </c>
      <c r="F2773" t="inlineStr">
        <is>
          <t>João Canzi – Henko</t>
        </is>
      </c>
      <c r="J2773" t="inlineStr">
        <is>
          <t>Atividade</t>
        </is>
      </c>
      <c r="K2773" t="inlineStr">
        <is>
          <t>Apoio</t>
        </is>
      </c>
      <c r="L2773" t="inlineStr">
        <is>
          <t>PDS-Junho.docx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46183</v>
      </c>
      <c r="B2774" t="inlineStr">
        <is>
          <t>Quarta</t>
        </is>
      </c>
      <c r="C2774" t="inlineStr">
        <is>
          <t>Iti 15</t>
        </is>
      </c>
      <c r="E2774" t="inlineStr">
        <is>
          <t>Vacal</t>
        </is>
      </c>
      <c r="F2774" t="inlineStr">
        <is>
          <t>ITI 15 – Henko (Osmar)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PDS-Junho.docx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46183</v>
      </c>
      <c r="B2775" t="inlineStr">
        <is>
          <t>Quarta</t>
        </is>
      </c>
      <c r="C2775" t="inlineStr">
        <is>
          <t>Guindauto</t>
        </is>
      </c>
      <c r="E2775" t="inlineStr">
        <is>
          <t>Guindauto</t>
        </is>
      </c>
      <c r="F2775" t="inlineStr">
        <is>
          <t>Marcio - Apoio as equipes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PDS-Junho.docx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46183</v>
      </c>
      <c r="B2776" t="inlineStr">
        <is>
          <t>Quarta</t>
        </is>
      </c>
      <c r="C2776" t="inlineStr">
        <is>
          <t>Guindauto</t>
        </is>
      </c>
      <c r="E2776" t="inlineStr">
        <is>
          <t>Guindauto</t>
        </is>
      </c>
      <c r="F2776" t="inlineStr">
        <is>
          <t>Luiz - Apoio as equipes</t>
        </is>
      </c>
      <c r="J2776" t="inlineStr">
        <is>
          <t>Atividade</t>
        </is>
      </c>
      <c r="K2776" t="inlineStr">
        <is>
          <t>Apoio</t>
        </is>
      </c>
      <c r="L2776" t="inlineStr">
        <is>
          <t>PDS-Junho.docx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t="inlineStr">
        <is>
          <t>2026-06-12</t>
        </is>
      </c>
      <c r="C2777" t="inlineStr">
        <is>
          <t>CT JOÃO CANZI</t>
        </is>
      </c>
      <c r="E2777" t="inlineStr">
        <is>
          <t>Márcio</t>
        </is>
      </c>
      <c r="F2777" t="inlineStr">
        <is>
          <t>Transformação PV 19</t>
        </is>
      </c>
      <c r="G2777" t="inlineStr">
        <is>
          <t>19</t>
        </is>
      </c>
      <c r="I2777" t="inlineStr">
        <is>
          <t>19</t>
        </is>
      </c>
    </row>
    <row r="2778">
      <c r="A2778" t="inlineStr">
        <is>
          <t>2026-06-12</t>
        </is>
      </c>
      <c r="C2778" t="inlineStr">
        <is>
          <t>CT JOÃO CANZI</t>
        </is>
      </c>
      <c r="E2778" t="inlineStr">
        <is>
          <t>Bruno</t>
        </is>
      </c>
      <c r="F2778" t="inlineStr">
        <is>
          <t>Transformação PV 11</t>
        </is>
      </c>
      <c r="G2778" t="inlineStr">
        <is>
          <t>11</t>
        </is>
      </c>
      <c r="I2778" t="inlineStr">
        <is>
          <t>11</t>
        </is>
      </c>
    </row>
    <row r="2779">
      <c r="A2779" t="inlineStr">
        <is>
          <t>2026-06-12</t>
        </is>
      </c>
      <c r="C2779" t="inlineStr">
        <is>
          <t>RCE ELVIRA</t>
        </is>
      </c>
      <c r="E2779" t="inlineStr">
        <is>
          <t>Valter</t>
        </is>
      </c>
      <c r="F2779" t="inlineStr">
        <is>
          <t>VCA, PVs e Ligações</t>
        </is>
      </c>
    </row>
    <row r="2780">
      <c r="A2780" t="inlineStr">
        <is>
          <t>2026-06-12</t>
        </is>
      </c>
      <c r="C2780" t="inlineStr">
        <is>
          <t>INTERL. AYRTON SENNA</t>
        </is>
      </c>
      <c r="E2780" t="inlineStr">
        <is>
          <t>Cidão</t>
        </is>
      </c>
      <c r="F2780" t="inlineStr">
        <is>
          <t>VCA, PVs e Ligações</t>
        </is>
      </c>
    </row>
    <row r="2781">
      <c r="A2781" t="inlineStr">
        <is>
          <t>2026-06-12</t>
        </is>
      </c>
      <c r="C2781" t="inlineStr">
        <is>
          <t>RCE CONJ. UNIÃO</t>
        </is>
      </c>
      <c r="E2781" t="inlineStr">
        <is>
          <t>Jhonatan</t>
        </is>
      </c>
      <c r="F2781" t="inlineStr">
        <is>
          <t>Transformação PV 48</t>
        </is>
      </c>
      <c r="G2781" t="inlineStr">
        <is>
          <t>48</t>
        </is>
      </c>
      <c r="I2781" t="inlineStr">
        <is>
          <t>48</t>
        </is>
      </c>
    </row>
    <row r="2782">
      <c r="A2782" t="inlineStr">
        <is>
          <t>2026-06-12</t>
        </is>
      </c>
      <c r="C2782" t="inlineStr">
        <is>
          <t>RCE ELIAS SLEIMAN</t>
        </is>
      </c>
      <c r="E2782" t="inlineStr">
        <is>
          <t>Edvando</t>
        </is>
      </c>
      <c r="F2782" t="inlineStr">
        <is>
          <t>VCA PV 23 ao PV 24</t>
        </is>
      </c>
      <c r="G2782" t="inlineStr">
        <is>
          <t>23</t>
        </is>
      </c>
      <c r="I2782" t="inlineStr">
        <is>
          <t>23</t>
        </is>
      </c>
    </row>
    <row r="2783">
      <c r="A2783" t="inlineStr">
        <is>
          <t>2026-06-12</t>
        </is>
      </c>
      <c r="C2783" t="inlineStr">
        <is>
          <t>RCE AMÉRICO MACHADO/ELIS REGINA</t>
        </is>
      </c>
      <c r="E2783" t="inlineStr">
        <is>
          <t>Cesar</t>
        </is>
      </c>
      <c r="F2783" t="inlineStr">
        <is>
          <t>VCA PV 01 ao PV 02</t>
        </is>
      </c>
      <c r="G2783" t="inlineStr">
        <is>
          <t>01</t>
        </is>
      </c>
      <c r="I2783" t="inlineStr">
        <is>
          <t>01</t>
        </is>
      </c>
    </row>
    <row r="2784">
      <c r="A2784" t="inlineStr">
        <is>
          <t>2026-06-12</t>
        </is>
      </c>
      <c r="C2784" t="inlineStr">
        <is>
          <t>CTS LOURDES Complementar</t>
        </is>
      </c>
      <c r="E2784" t="inlineStr">
        <is>
          <t>Marcelo</t>
        </is>
      </c>
      <c r="F2784" t="inlineStr">
        <is>
          <t>Interligação entre PV-05 e PV-E</t>
        </is>
      </c>
      <c r="G2784" t="inlineStr">
        <is>
          <t>05</t>
        </is>
      </c>
      <c r="I2784" t="inlineStr">
        <is>
          <t>05</t>
        </is>
      </c>
    </row>
    <row r="2785">
      <c r="A2785" t="inlineStr">
        <is>
          <t>2026-06-12</t>
        </is>
      </c>
      <c r="C2785" t="inlineStr">
        <is>
          <t>RCE SÃO LUCAS</t>
        </is>
      </c>
      <c r="E2785" t="inlineStr">
        <is>
          <t>Ricardo (PI 10 ao PI 11)</t>
        </is>
      </c>
      <c r="F2785" t="inlineStr">
        <is>
          <t>VCA, PVs e Ligações</t>
        </is>
      </c>
    </row>
    <row r="2786">
      <c r="A2786" t="inlineStr">
        <is>
          <t>2026-06-12</t>
        </is>
      </c>
      <c r="C2786" t="inlineStr">
        <is>
          <t>RCE SÃO LUCAS</t>
        </is>
      </c>
      <c r="E2786" t="inlineStr">
        <is>
          <t>Claudinei (PI 38 ao PI 81)</t>
        </is>
      </c>
      <c r="F2786" t="inlineStr">
        <is>
          <t>VCA, PVs e Ligações</t>
        </is>
      </c>
    </row>
    <row r="2787">
      <c r="A2787" t="inlineStr">
        <is>
          <t>2026-06-12</t>
        </is>
      </c>
      <c r="C2787" t="inlineStr">
        <is>
          <t>RCE SÃO LUCAS</t>
        </is>
      </c>
      <c r="E2787" t="inlineStr">
        <is>
          <t>Miro (PI 61 ao PI 62)</t>
        </is>
      </c>
      <c r="F2787" t="inlineStr">
        <is>
          <t>VCA, PVs e Ligações</t>
        </is>
      </c>
    </row>
    <row r="2788">
      <c r="A2788" t="inlineStr">
        <is>
          <t>2026-06-12</t>
        </is>
      </c>
      <c r="C2788" t="inlineStr">
        <is>
          <t>RCE SÃO LUCAS</t>
        </is>
      </c>
      <c r="E2788" t="inlineStr">
        <is>
          <t>Emanuel (PI 25 ao PI 26)</t>
        </is>
      </c>
      <c r="F2788" t="inlineStr">
        <is>
          <t>VCA, PVs e Ligações</t>
        </is>
      </c>
    </row>
    <row r="2789">
      <c r="A2789" t="inlineStr">
        <is>
          <t>2026-06-12</t>
        </is>
      </c>
      <c r="C2789" t="inlineStr">
        <is>
          <t>RCE SÃO LUCAS</t>
        </is>
      </c>
      <c r="E2789" t="inlineStr">
        <is>
          <t>Antonio (PI 55 ao PI 56)</t>
        </is>
      </c>
      <c r="F2789" t="inlineStr">
        <is>
          <t>VCA, PVs e Ligações</t>
        </is>
      </c>
    </row>
    <row r="2790">
      <c r="A2790" t="inlineStr">
        <is>
          <t>2026-06-12</t>
        </is>
      </c>
      <c r="C2790" t="inlineStr">
        <is>
          <t>SERVIÇOS REPOSIÇÃO</t>
        </is>
      </c>
      <c r="E2790" t="inlineStr">
        <is>
          <t>Leandro</t>
        </is>
      </c>
      <c r="F2790" t="inlineStr">
        <is>
          <t>Reparos Gerais</t>
        </is>
      </c>
    </row>
    <row r="2791">
      <c r="A2791" t="inlineStr">
        <is>
          <t>2026-06-12</t>
        </is>
      </c>
      <c r="C2791" t="inlineStr">
        <is>
          <t>Vacal: João Canzi</t>
        </is>
      </c>
      <c r="E2791" t="inlineStr">
        <is>
          <t>Henko</t>
        </is>
      </c>
      <c r="F2791" t="inlineStr">
        <is>
          <t>Apoio às equipes</t>
        </is>
      </c>
    </row>
    <row r="2792">
      <c r="A2792" t="inlineStr">
        <is>
          <t>2026-06-12</t>
        </is>
      </c>
      <c r="C2792" t="inlineStr">
        <is>
          <t>Vacal: João Canzi</t>
        </is>
      </c>
      <c r="E2792" t="inlineStr">
        <is>
          <t>Henko</t>
        </is>
      </c>
      <c r="F2792" t="inlineStr">
        <is>
          <t>Apoio às equipes</t>
        </is>
      </c>
    </row>
    <row r="2793">
      <c r="A2793" t="inlineStr">
        <is>
          <t>2026-06-12</t>
        </is>
      </c>
      <c r="C2793" t="inlineStr">
        <is>
          <t>Vacal: ITI 15</t>
        </is>
      </c>
      <c r="E2793" t="inlineStr">
        <is>
          <t>Renasce</t>
        </is>
      </c>
      <c r="F2793" t="inlineStr">
        <is>
          <t>Apoio às equipes</t>
        </is>
      </c>
    </row>
    <row r="2794">
      <c r="A2794" t="inlineStr">
        <is>
          <t>2026-06-12</t>
        </is>
      </c>
      <c r="C2794" t="inlineStr">
        <is>
          <t>Guindauto</t>
        </is>
      </c>
      <c r="E2794" t="inlineStr">
        <is>
          <t>Marcio</t>
        </is>
      </c>
      <c r="F2794" t="inlineStr">
        <is>
          <t>Apoio as equipes</t>
        </is>
      </c>
    </row>
    <row r="2795">
      <c r="A2795" t="inlineStr">
        <is>
          <t>2026-06-12</t>
        </is>
      </c>
      <c r="C2795" t="inlineStr">
        <is>
          <t>Guindauto</t>
        </is>
      </c>
      <c r="E2795" t="inlineStr">
        <is>
          <t>Luiz</t>
        </is>
      </c>
      <c r="F2795" t="inlineStr">
        <is>
          <t>Apoio as equipes</t>
        </is>
      </c>
    </row>
    <row r="2796">
      <c r="A2796" t="inlineStr">
        <is>
          <t>2026-06-13</t>
        </is>
      </c>
      <c r="C2796" t="inlineStr">
        <is>
          <t>CT JOÃO CANZI</t>
        </is>
      </c>
      <c r="E2796" t="inlineStr">
        <is>
          <t>Cesar</t>
        </is>
      </c>
      <c r="F2796" t="inlineStr">
        <is>
          <t>Transformação PV 11</t>
        </is>
      </c>
      <c r="G2796" t="inlineStr">
        <is>
          <t>11</t>
        </is>
      </c>
      <c r="I2796" t="inlineStr">
        <is>
          <t>11</t>
        </is>
      </c>
    </row>
    <row r="2797">
      <c r="A2797" t="inlineStr">
        <is>
          <t>2026-06-13</t>
        </is>
      </c>
      <c r="C2797" t="inlineStr">
        <is>
          <t>RCE ELVIRA</t>
        </is>
      </c>
      <c r="E2797" t="inlineStr">
        <is>
          <t>Valter</t>
        </is>
      </c>
      <c r="F2797" t="inlineStr">
        <is>
          <t>VCA, PVs e Ligações</t>
        </is>
      </c>
    </row>
    <row r="2798">
      <c r="A2798" t="inlineStr">
        <is>
          <t>2026-06-13</t>
        </is>
      </c>
      <c r="C2798" t="inlineStr">
        <is>
          <t>INTERL. AYRTON SENNA</t>
        </is>
      </c>
      <c r="E2798" t="inlineStr">
        <is>
          <t>Cidão</t>
        </is>
      </c>
      <c r="F2798" t="inlineStr">
        <is>
          <t>VCA, PVs e Ligações</t>
        </is>
      </c>
    </row>
    <row r="2799">
      <c r="A2799" t="inlineStr">
        <is>
          <t>2026-06-13</t>
        </is>
      </c>
      <c r="C2799" t="inlineStr">
        <is>
          <t>RCE CONJ. UNIÃO</t>
        </is>
      </c>
      <c r="E2799" t="inlineStr">
        <is>
          <t>Jhonatan</t>
        </is>
      </c>
      <c r="F2799" t="inlineStr">
        <is>
          <t>Transformação PV 48</t>
        </is>
      </c>
      <c r="G2799" t="inlineStr">
        <is>
          <t>48</t>
        </is>
      </c>
      <c r="I2799" t="inlineStr">
        <is>
          <t>48</t>
        </is>
      </c>
    </row>
    <row r="2800">
      <c r="A2800" t="inlineStr">
        <is>
          <t>2026-06-13</t>
        </is>
      </c>
      <c r="C2800" t="inlineStr">
        <is>
          <t>RCE ELIAS SLEIMAN</t>
        </is>
      </c>
      <c r="E2800" t="inlineStr">
        <is>
          <t>Edvando</t>
        </is>
      </c>
      <c r="F2800" t="inlineStr">
        <is>
          <t>VCA PV 23 ao PV 24</t>
        </is>
      </c>
      <c r="G2800" t="inlineStr">
        <is>
          <t>23</t>
        </is>
      </c>
      <c r="I2800" t="inlineStr">
        <is>
          <t>23</t>
        </is>
      </c>
    </row>
    <row r="2801">
      <c r="A2801" t="inlineStr">
        <is>
          <t>2026-06-13</t>
        </is>
      </c>
      <c r="C2801" t="inlineStr">
        <is>
          <t>CTS LOURDES Complementar</t>
        </is>
      </c>
      <c r="E2801" t="inlineStr">
        <is>
          <t>Marcelo</t>
        </is>
      </c>
      <c r="F2801" t="inlineStr">
        <is>
          <t>Interligação entre PV-05 e PV-E</t>
        </is>
      </c>
      <c r="G2801" t="inlineStr">
        <is>
          <t>05</t>
        </is>
      </c>
      <c r="I2801" t="inlineStr">
        <is>
          <t>05</t>
        </is>
      </c>
    </row>
    <row r="2802">
      <c r="A2802" t="inlineStr">
        <is>
          <t>2026-06-13</t>
        </is>
      </c>
      <c r="C2802" t="inlineStr">
        <is>
          <t>RCE SÃO LUCAS</t>
        </is>
      </c>
      <c r="E2802" t="inlineStr">
        <is>
          <t>Ricardo (PI 10 ao PI 11)</t>
        </is>
      </c>
      <c r="F2802" t="inlineStr">
        <is>
          <t>VCA, PVs e Ligações</t>
        </is>
      </c>
    </row>
    <row r="2803">
      <c r="A2803" t="inlineStr">
        <is>
          <t>2026-06-13</t>
        </is>
      </c>
      <c r="C2803" t="inlineStr">
        <is>
          <t>RCE SÃO LUCAS</t>
        </is>
      </c>
      <c r="E2803" t="inlineStr">
        <is>
          <t>Claudinei (PI 38 ao PI 81)</t>
        </is>
      </c>
      <c r="F2803" t="inlineStr">
        <is>
          <t>VCA, PVs e Ligações</t>
        </is>
      </c>
    </row>
    <row r="2804">
      <c r="A2804" t="inlineStr">
        <is>
          <t>2026-06-13</t>
        </is>
      </c>
      <c r="C2804" t="inlineStr">
        <is>
          <t>RCE SÃO LUCAS</t>
        </is>
      </c>
      <c r="E2804" t="inlineStr">
        <is>
          <t>Miro (PI 61 ao PI 62)</t>
        </is>
      </c>
      <c r="F2804" t="inlineStr">
        <is>
          <t>VCA, PVs e Ligações</t>
        </is>
      </c>
    </row>
    <row r="2805">
      <c r="A2805" t="inlineStr">
        <is>
          <t>2026-06-13</t>
        </is>
      </c>
      <c r="C2805" t="inlineStr">
        <is>
          <t>RCE SÃO LUCAS</t>
        </is>
      </c>
      <c r="E2805" t="inlineStr">
        <is>
          <t>Emanuel (PI 25 ao PI 26)</t>
        </is>
      </c>
      <c r="F2805" t="inlineStr">
        <is>
          <t>VCA, PVs e Ligações</t>
        </is>
      </c>
    </row>
    <row r="2806">
      <c r="A2806" t="inlineStr">
        <is>
          <t>2026-06-13</t>
        </is>
      </c>
      <c r="C2806" t="inlineStr">
        <is>
          <t>RCE SÃO LUCAS</t>
        </is>
      </c>
      <c r="E2806" t="inlineStr">
        <is>
          <t>Antonio (PI 55 ao PI 56)</t>
        </is>
      </c>
      <c r="F2806" t="inlineStr">
        <is>
          <t>VCA, PVs e Ligações</t>
        </is>
      </c>
    </row>
    <row r="2807">
      <c r="A2807" t="inlineStr">
        <is>
          <t>2026-06-13</t>
        </is>
      </c>
      <c r="C2807" t="inlineStr">
        <is>
          <t>SERVIÇOS REPOSIÇÃO</t>
        </is>
      </c>
      <c r="E2807" t="inlineStr">
        <is>
          <t>Leandro</t>
        </is>
      </c>
      <c r="F2807" t="inlineStr">
        <is>
          <t>Reparos Gerais</t>
        </is>
      </c>
    </row>
    <row r="2808">
      <c r="A2808" t="inlineStr">
        <is>
          <t>2026-06-13</t>
        </is>
      </c>
      <c r="C2808" t="inlineStr">
        <is>
          <t>Vacal: ITI-15</t>
        </is>
      </c>
      <c r="E2808" t="inlineStr">
        <is>
          <t>Henko</t>
        </is>
      </c>
      <c r="F2808" t="inlineStr">
        <is>
          <t>Apoio às equipes</t>
        </is>
      </c>
    </row>
    <row r="2809">
      <c r="A2809" t="inlineStr">
        <is>
          <t>2026-06-13</t>
        </is>
      </c>
      <c r="C2809" t="inlineStr">
        <is>
          <t>Vacal: João Canzi</t>
        </is>
      </c>
      <c r="E2809" t="inlineStr">
        <is>
          <t>Henko</t>
        </is>
      </c>
      <c r="F2809" t="inlineStr">
        <is>
          <t>Apoio às equipes</t>
        </is>
      </c>
    </row>
    <row r="2810">
      <c r="A2810" t="inlineStr">
        <is>
          <t>2026-06-13</t>
        </is>
      </c>
      <c r="C2810" t="inlineStr">
        <is>
          <t>Vacal: João Canzi</t>
        </is>
      </c>
      <c r="E2810" t="inlineStr">
        <is>
          <t>Henko</t>
        </is>
      </c>
      <c r="F2810" t="inlineStr">
        <is>
          <t>Apoio às equipes</t>
        </is>
      </c>
    </row>
    <row r="2811">
      <c r="A2811" t="inlineStr">
        <is>
          <t>2026-06-13</t>
        </is>
      </c>
      <c r="C2811" t="inlineStr">
        <is>
          <t>Guindauto</t>
        </is>
      </c>
      <c r="E2811" t="inlineStr">
        <is>
          <t>Marcio</t>
        </is>
      </c>
      <c r="F2811" t="inlineStr">
        <is>
          <t>Apoio as equipes</t>
        </is>
      </c>
    </row>
    <row r="2812">
      <c r="A2812" t="inlineStr">
        <is>
          <t>2026-06-13</t>
        </is>
      </c>
      <c r="C2812" t="inlineStr">
        <is>
          <t>Guindauto</t>
        </is>
      </c>
      <c r="E2812" t="inlineStr">
        <is>
          <t>Luiz</t>
        </is>
      </c>
      <c r="F2812" t="inlineStr">
        <is>
          <t>Apoio as equipes</t>
        </is>
      </c>
    </row>
    <row r="2813">
      <c r="A2813" t="inlineStr">
        <is>
          <t>2026-06-15</t>
        </is>
      </c>
      <c r="C2813" t="inlineStr">
        <is>
          <t>CT JOÃO CANZI</t>
        </is>
      </c>
      <c r="E2813" t="inlineStr">
        <is>
          <t>Cesar</t>
        </is>
      </c>
      <c r="F2813" t="inlineStr">
        <is>
          <t>Transformação PV 11</t>
        </is>
      </c>
      <c r="G2813" t="inlineStr">
        <is>
          <t>11</t>
        </is>
      </c>
      <c r="I2813" t="inlineStr">
        <is>
          <t>11</t>
        </is>
      </c>
    </row>
    <row r="2814">
      <c r="A2814" t="inlineStr">
        <is>
          <t>2026-06-15</t>
        </is>
      </c>
      <c r="C2814" t="inlineStr">
        <is>
          <t>RCE ELVIRA</t>
        </is>
      </c>
      <c r="E2814" t="inlineStr">
        <is>
          <t>Valter</t>
        </is>
      </c>
      <c r="F2814" t="inlineStr">
        <is>
          <t>VCA, PVs e Ligações</t>
        </is>
      </c>
    </row>
    <row r="2815">
      <c r="A2815" t="inlineStr">
        <is>
          <t>2026-06-15</t>
        </is>
      </c>
      <c r="C2815" t="inlineStr">
        <is>
          <t>INTERL. AYRTON SENNA</t>
        </is>
      </c>
      <c r="E2815" t="inlineStr">
        <is>
          <t>Cidão</t>
        </is>
      </c>
      <c r="F2815" t="inlineStr">
        <is>
          <t>VCA, PVs e Ligações</t>
        </is>
      </c>
    </row>
    <row r="2816">
      <c r="A2816" t="inlineStr">
        <is>
          <t>2026-06-15</t>
        </is>
      </c>
      <c r="C2816" t="inlineStr">
        <is>
          <t>RCE CONJ. UNIÃO</t>
        </is>
      </c>
      <c r="E2816" t="inlineStr">
        <is>
          <t>Jhonatan</t>
        </is>
      </c>
      <c r="F2816" t="inlineStr">
        <is>
          <t>Transformação PV 48</t>
        </is>
      </c>
      <c r="G2816" t="inlineStr">
        <is>
          <t>48</t>
        </is>
      </c>
      <c r="I2816" t="inlineStr">
        <is>
          <t>48</t>
        </is>
      </c>
    </row>
    <row r="2817">
      <c r="A2817" t="inlineStr">
        <is>
          <t>2026-06-15</t>
        </is>
      </c>
      <c r="C2817" t="inlineStr">
        <is>
          <t>RCE ELIAS SLEIMAN</t>
        </is>
      </c>
      <c r="E2817" t="inlineStr">
        <is>
          <t>Edvando</t>
        </is>
      </c>
      <c r="F2817" t="inlineStr">
        <is>
          <t>VCA PV 24 ao PV 25</t>
        </is>
      </c>
      <c r="G2817" t="inlineStr">
        <is>
          <t>24</t>
        </is>
      </c>
      <c r="I2817" t="inlineStr">
        <is>
          <t>24</t>
        </is>
      </c>
    </row>
    <row r="2818">
      <c r="A2818" t="inlineStr">
        <is>
          <t>2026-06-15</t>
        </is>
      </c>
      <c r="C2818" t="inlineStr">
        <is>
          <t>CTS LOURDES Complementar</t>
        </is>
      </c>
      <c r="E2818" t="inlineStr">
        <is>
          <t>Marcelo</t>
        </is>
      </c>
      <c r="F2818" t="inlineStr">
        <is>
          <t>Interligação entre PV-05 e PV-E</t>
        </is>
      </c>
      <c r="G2818" t="inlineStr">
        <is>
          <t>05</t>
        </is>
      </c>
      <c r="I2818" t="inlineStr">
        <is>
          <t>05</t>
        </is>
      </c>
    </row>
    <row r="2819">
      <c r="A2819" t="inlineStr">
        <is>
          <t>2026-06-15</t>
        </is>
      </c>
      <c r="C2819" t="inlineStr">
        <is>
          <t>RCE RAULZITO</t>
        </is>
      </c>
      <c r="E2819" t="inlineStr">
        <is>
          <t>Bruno</t>
        </is>
      </c>
      <c r="F2819" t="inlineStr">
        <is>
          <t>VCA, PVs e Ligações</t>
        </is>
      </c>
    </row>
    <row r="2820">
      <c r="A2820" t="inlineStr">
        <is>
          <t>2026-06-15</t>
        </is>
      </c>
      <c r="C2820" t="inlineStr">
        <is>
          <t>RCE RAULZITO</t>
        </is>
      </c>
      <c r="E2820" t="inlineStr">
        <is>
          <t>Medeiros</t>
        </is>
      </c>
      <c r="F2820" t="inlineStr">
        <is>
          <t>VCA, PVs e Ligações</t>
        </is>
      </c>
    </row>
    <row r="2821">
      <c r="A2821" t="inlineStr">
        <is>
          <t>2026-06-15</t>
        </is>
      </c>
      <c r="C2821" t="inlineStr">
        <is>
          <t>RCE SÃO LUCAS</t>
        </is>
      </c>
      <c r="E2821" t="inlineStr">
        <is>
          <t>Ricardo (PI 10 ao PI 11)</t>
        </is>
      </c>
      <c r="F2821" t="inlineStr">
        <is>
          <t>VCA, PVs e Ligações</t>
        </is>
      </c>
    </row>
    <row r="2822">
      <c r="A2822" t="inlineStr">
        <is>
          <t>2026-06-15</t>
        </is>
      </c>
      <c r="C2822" t="inlineStr">
        <is>
          <t>RCE SÃO LUCAS</t>
        </is>
      </c>
      <c r="E2822" t="inlineStr">
        <is>
          <t>Claudinei (PI 38 ao PI 81)</t>
        </is>
      </c>
      <c r="F2822" t="inlineStr">
        <is>
          <t>VCA, PVs e Ligações</t>
        </is>
      </c>
    </row>
    <row r="2823">
      <c r="A2823" t="inlineStr">
        <is>
          <t>2026-06-15</t>
        </is>
      </c>
      <c r="C2823" t="inlineStr">
        <is>
          <t>RCE SÃO LUCAS</t>
        </is>
      </c>
      <c r="E2823" t="inlineStr">
        <is>
          <t>Miro (PI 61 ao PI 62)</t>
        </is>
      </c>
      <c r="F2823" t="inlineStr">
        <is>
          <t>VCA, PVs e Ligações</t>
        </is>
      </c>
    </row>
    <row r="2824">
      <c r="A2824" t="inlineStr">
        <is>
          <t>2026-06-15</t>
        </is>
      </c>
      <c r="C2824" t="inlineStr">
        <is>
          <t>RCE SÃO LUCAS</t>
        </is>
      </c>
      <c r="E2824" t="inlineStr">
        <is>
          <t>Emanuel (PI 25 ao PI 26)</t>
        </is>
      </c>
      <c r="F2824" t="inlineStr">
        <is>
          <t>VCA, PVs e Ligações</t>
        </is>
      </c>
    </row>
    <row r="2825">
      <c r="A2825" t="inlineStr">
        <is>
          <t>2026-06-15</t>
        </is>
      </c>
      <c r="C2825" t="inlineStr">
        <is>
          <t>RCE SÃO LUCAS</t>
        </is>
      </c>
      <c r="E2825" t="inlineStr">
        <is>
          <t>Antonio (PI 55 ao PI 56)</t>
        </is>
      </c>
      <c r="F2825" t="inlineStr">
        <is>
          <t>VCA, PVs e Ligações</t>
        </is>
      </c>
    </row>
    <row r="2826">
      <c r="A2826" t="inlineStr">
        <is>
          <t>2026-06-15</t>
        </is>
      </c>
      <c r="C2826" t="inlineStr">
        <is>
          <t>SERVIÇOS REPOSIÇÃO</t>
        </is>
      </c>
      <c r="E2826" t="inlineStr">
        <is>
          <t>Leandro</t>
        </is>
      </c>
      <c r="F2826" t="inlineStr">
        <is>
          <t>Reparos Gerais</t>
        </is>
      </c>
    </row>
    <row r="2827">
      <c r="A2827" t="inlineStr">
        <is>
          <t>2026-06-15</t>
        </is>
      </c>
      <c r="C2827" t="inlineStr">
        <is>
          <t>Vacal: João Canzi</t>
        </is>
      </c>
      <c r="E2827" t="inlineStr">
        <is>
          <t>Henko</t>
        </is>
      </c>
      <c r="F2827" t="inlineStr">
        <is>
          <t>Apoio às equipes</t>
        </is>
      </c>
    </row>
    <row r="2828">
      <c r="A2828" t="inlineStr">
        <is>
          <t>2026-06-15</t>
        </is>
      </c>
      <c r="C2828" t="inlineStr">
        <is>
          <t>Vacal: João Canzi</t>
        </is>
      </c>
      <c r="E2828" t="inlineStr">
        <is>
          <t>Henko</t>
        </is>
      </c>
      <c r="F2828" t="inlineStr">
        <is>
          <t>Apoio às equipes</t>
        </is>
      </c>
    </row>
    <row r="2829">
      <c r="A2829" t="inlineStr">
        <is>
          <t>2026-06-15</t>
        </is>
      </c>
      <c r="C2829" t="inlineStr">
        <is>
          <t>Vacal: ITI 15</t>
        </is>
      </c>
      <c r="E2829" t="inlineStr">
        <is>
          <t>Henko</t>
        </is>
      </c>
      <c r="F2829" t="inlineStr">
        <is>
          <t>Apoio às equipes</t>
        </is>
      </c>
    </row>
    <row r="2830">
      <c r="A2830" t="inlineStr">
        <is>
          <t>2026-06-15</t>
        </is>
      </c>
      <c r="C2830" t="inlineStr">
        <is>
          <t>Guindauto</t>
        </is>
      </c>
      <c r="E2830" t="inlineStr">
        <is>
          <t>Marcio</t>
        </is>
      </c>
      <c r="F2830" t="inlineStr">
        <is>
          <t>Apoio as equipes</t>
        </is>
      </c>
    </row>
    <row r="2831">
      <c r="A2831" t="inlineStr">
        <is>
          <t>2026-06-15</t>
        </is>
      </c>
      <c r="C2831" t="inlineStr">
        <is>
          <t>Guindauto</t>
        </is>
      </c>
      <c r="E2831" t="inlineStr">
        <is>
          <t>Luiz</t>
        </is>
      </c>
      <c r="F2831" t="inlineStr">
        <is>
          <t>Apoio as equipes</t>
        </is>
      </c>
    </row>
    <row r="2832">
      <c r="A2832" t="inlineStr">
        <is>
          <t>2026-06-16</t>
        </is>
      </c>
      <c r="C2832" t="inlineStr">
        <is>
          <t>CTS JOÃO CANZI</t>
        </is>
      </c>
      <c r="E2832" t="inlineStr">
        <is>
          <t>Cesar</t>
        </is>
      </c>
      <c r="F2832" t="inlineStr">
        <is>
          <t>Transformação PV 11</t>
        </is>
      </c>
      <c r="G2832" t="inlineStr">
        <is>
          <t>11</t>
        </is>
      </c>
      <c r="I2832" t="inlineStr">
        <is>
          <t>11</t>
        </is>
      </c>
    </row>
    <row r="2833">
      <c r="A2833" t="inlineStr">
        <is>
          <t>2026-06-16</t>
        </is>
      </c>
      <c r="C2833" t="inlineStr">
        <is>
          <t>RCE ELVIRA</t>
        </is>
      </c>
      <c r="E2833" t="inlineStr">
        <is>
          <t>Valter</t>
        </is>
      </c>
      <c r="F2833" t="inlineStr">
        <is>
          <t>VCA, PVs e Ligações</t>
        </is>
      </c>
    </row>
    <row r="2834">
      <c r="A2834" t="inlineStr">
        <is>
          <t>2026-06-16</t>
        </is>
      </c>
      <c r="C2834" t="inlineStr">
        <is>
          <t>INTERL. AYRTON SENNA</t>
        </is>
      </c>
      <c r="E2834" t="inlineStr">
        <is>
          <t>Cidão</t>
        </is>
      </c>
      <c r="F2834" t="inlineStr">
        <is>
          <t>VCA, PVs e Ligações</t>
        </is>
      </c>
    </row>
    <row r="2835">
      <c r="A2835" t="inlineStr">
        <is>
          <t>2026-06-16</t>
        </is>
      </c>
      <c r="C2835" t="inlineStr">
        <is>
          <t>RCE CONJ. UNIÃO</t>
        </is>
      </c>
      <c r="E2835" t="inlineStr">
        <is>
          <t>Jhonatan</t>
        </is>
      </c>
      <c r="F2835" t="inlineStr">
        <is>
          <t>VCA e PIs 49,50,52 e 53</t>
        </is>
      </c>
    </row>
    <row r="2836">
      <c r="A2836" t="inlineStr">
        <is>
          <t>2026-06-16</t>
        </is>
      </c>
      <c r="C2836" t="inlineStr">
        <is>
          <t>RCE ELIAS SLEIMAN</t>
        </is>
      </c>
      <c r="E2836" t="inlineStr">
        <is>
          <t>Edvando</t>
        </is>
      </c>
      <c r="F2836" t="inlineStr">
        <is>
          <t>VCA PV 26 ao PV 27</t>
        </is>
      </c>
      <c r="G2836" t="inlineStr">
        <is>
          <t>26</t>
        </is>
      </c>
      <c r="I2836" t="inlineStr">
        <is>
          <t>26</t>
        </is>
      </c>
    </row>
    <row r="2837">
      <c r="A2837" t="inlineStr">
        <is>
          <t>2026-06-16</t>
        </is>
      </c>
      <c r="C2837" t="inlineStr">
        <is>
          <t>RCE MARIA DOS SANTOS MACHADO</t>
        </is>
      </c>
      <c r="E2837" t="inlineStr">
        <is>
          <t>Marcelo</t>
        </is>
      </c>
      <c r="F2837" t="inlineStr">
        <is>
          <t>VCA PVP-0 ao PV-1</t>
        </is>
      </c>
      <c r="G2837" t="inlineStr">
        <is>
          <t>P</t>
        </is>
      </c>
      <c r="I2837" t="inlineStr">
        <is>
          <t>P</t>
        </is>
      </c>
    </row>
    <row r="2838">
      <c r="A2838" t="inlineStr">
        <is>
          <t>2026-06-16</t>
        </is>
      </c>
      <c r="C2838" t="inlineStr">
        <is>
          <t>CTS LOURDES Complementar</t>
        </is>
      </c>
      <c r="E2838" t="inlineStr">
        <is>
          <t>Marcelo</t>
        </is>
      </c>
      <c r="F2838" t="inlineStr">
        <is>
          <t>Interligação entre PV-05 e PV-E</t>
        </is>
      </c>
      <c r="G2838" t="inlineStr">
        <is>
          <t>05</t>
        </is>
      </c>
      <c r="I2838" t="inlineStr">
        <is>
          <t>05</t>
        </is>
      </c>
    </row>
    <row r="2839">
      <c r="A2839" t="inlineStr">
        <is>
          <t>2026-06-16</t>
        </is>
      </c>
      <c r="C2839" t="inlineStr">
        <is>
          <t>RCE RAULZITO</t>
        </is>
      </c>
      <c r="E2839" t="inlineStr">
        <is>
          <t>Bruno</t>
        </is>
      </c>
      <c r="F2839" t="inlineStr">
        <is>
          <t>VCA, PVs e Ligações</t>
        </is>
      </c>
    </row>
    <row r="2840">
      <c r="A2840" t="inlineStr">
        <is>
          <t>2026-06-16</t>
        </is>
      </c>
      <c r="C2840" t="inlineStr">
        <is>
          <t>RCE RAULZITO</t>
        </is>
      </c>
      <c r="E2840" t="inlineStr">
        <is>
          <t>Medeiros</t>
        </is>
      </c>
      <c r="F2840" t="inlineStr">
        <is>
          <t>VCA, PVs e Ligações</t>
        </is>
      </c>
    </row>
    <row r="2841">
      <c r="A2841" t="inlineStr">
        <is>
          <t>2026-06-16</t>
        </is>
      </c>
      <c r="C2841" t="inlineStr">
        <is>
          <t>RCE SÃO LUCAS</t>
        </is>
      </c>
      <c r="E2841" t="inlineStr">
        <is>
          <t>Ricardo (PI 12 ao PI 13)</t>
        </is>
      </c>
      <c r="F2841" t="inlineStr">
        <is>
          <t>VCA, PVs e Ligações</t>
        </is>
      </c>
    </row>
    <row r="2842">
      <c r="A2842" t="inlineStr">
        <is>
          <t>2026-06-16</t>
        </is>
      </c>
      <c r="C2842" t="inlineStr">
        <is>
          <t>RCE SÃO LUCAS</t>
        </is>
      </c>
      <c r="E2842" t="inlineStr">
        <is>
          <t>Claudinei (PI 81 ao PI 64)</t>
        </is>
      </c>
      <c r="F2842" t="inlineStr">
        <is>
          <t>VCA, PVs e Ligações</t>
        </is>
      </c>
    </row>
    <row r="2843">
      <c r="A2843" t="inlineStr">
        <is>
          <t>2026-06-16</t>
        </is>
      </c>
      <c r="C2843" t="inlineStr">
        <is>
          <t>RCE SÃO LUCAS</t>
        </is>
      </c>
      <c r="E2843" t="inlineStr">
        <is>
          <t>Miro (PI 61 ao PI 62)</t>
        </is>
      </c>
      <c r="F2843" t="inlineStr">
        <is>
          <t>VCA, PVs e Ligações</t>
        </is>
      </c>
    </row>
    <row r="2844">
      <c r="A2844" t="inlineStr">
        <is>
          <t>2026-06-16</t>
        </is>
      </c>
      <c r="C2844" t="inlineStr">
        <is>
          <t>RCE SÃO LUCAS</t>
        </is>
      </c>
      <c r="E2844" t="inlineStr">
        <is>
          <t>Emanuel (PI 11 ao PI 45)</t>
        </is>
      </c>
      <c r="F2844" t="inlineStr">
        <is>
          <t>VCA, PVs e Ligações</t>
        </is>
      </c>
    </row>
    <row r="2845">
      <c r="A2845" t="inlineStr">
        <is>
          <t>2026-06-16</t>
        </is>
      </c>
      <c r="C2845" t="inlineStr">
        <is>
          <t>RCE SÃO LUCAS</t>
        </is>
      </c>
      <c r="E2845" t="inlineStr">
        <is>
          <t>Antonio (PI 18 ao PI 17)</t>
        </is>
      </c>
      <c r="F2845" t="inlineStr">
        <is>
          <t>VCA, PVs e Ligações</t>
        </is>
      </c>
    </row>
    <row r="2846">
      <c r="A2846" t="inlineStr">
        <is>
          <t>2026-06-16</t>
        </is>
      </c>
      <c r="C2846" t="inlineStr">
        <is>
          <t>SERVIÇOS REPOSIÇÃO</t>
        </is>
      </c>
      <c r="E2846" t="inlineStr">
        <is>
          <t>Leandro</t>
        </is>
      </c>
      <c r="F2846" t="inlineStr">
        <is>
          <t>Reparos Gerais</t>
        </is>
      </c>
    </row>
    <row r="2847">
      <c r="A2847" t="inlineStr">
        <is>
          <t>2026-06-16</t>
        </is>
      </c>
      <c r="C2847" t="inlineStr">
        <is>
          <t>Vacal: João Canzi</t>
        </is>
      </c>
      <c r="E2847" t="inlineStr">
        <is>
          <t>Henko</t>
        </is>
      </c>
      <c r="F2847" t="inlineStr">
        <is>
          <t>Apoio às equipes</t>
        </is>
      </c>
    </row>
    <row r="2848">
      <c r="A2848" t="inlineStr">
        <is>
          <t>2026-06-16</t>
        </is>
      </c>
      <c r="C2848" t="inlineStr">
        <is>
          <t>Vacal: João Canzi</t>
        </is>
      </c>
      <c r="E2848" t="inlineStr">
        <is>
          <t>Henko</t>
        </is>
      </c>
      <c r="F2848" t="inlineStr">
        <is>
          <t>Apoio às equipes</t>
        </is>
      </c>
    </row>
    <row r="2849">
      <c r="A2849" t="inlineStr">
        <is>
          <t>2026-06-16</t>
        </is>
      </c>
      <c r="C2849" t="inlineStr">
        <is>
          <t>Vacal: ITI 15</t>
        </is>
      </c>
      <c r="E2849" t="inlineStr">
        <is>
          <t>Henko</t>
        </is>
      </c>
      <c r="F2849" t="inlineStr">
        <is>
          <t>Apoio às equipes</t>
        </is>
      </c>
    </row>
    <row r="2850">
      <c r="A2850" t="inlineStr">
        <is>
          <t>2026-06-16</t>
        </is>
      </c>
      <c r="C2850" t="inlineStr">
        <is>
          <t>Guindauto</t>
        </is>
      </c>
      <c r="E2850" t="inlineStr">
        <is>
          <t>Marcio</t>
        </is>
      </c>
      <c r="F2850" t="inlineStr">
        <is>
          <t>Apoio as equipes</t>
        </is>
      </c>
    </row>
    <row r="2851">
      <c r="A2851" t="inlineStr">
        <is>
          <t>2026-06-16</t>
        </is>
      </c>
      <c r="C2851" t="inlineStr">
        <is>
          <t>Guindauto</t>
        </is>
      </c>
      <c r="E2851" t="inlineStr">
        <is>
          <t>Luiz</t>
        </is>
      </c>
      <c r="F2851" t="inlineStr">
        <is>
          <t>Apoio as equipes</t>
        </is>
      </c>
    </row>
    <row r="2852">
      <c r="A2852" s="36" t="n">
        <v>46176</v>
      </c>
      <c r="B2852" t="inlineStr">
        <is>
          <t>Quarta</t>
        </is>
      </c>
      <c r="C2852" t="inlineStr">
        <is>
          <t>CT João Canzi</t>
        </is>
      </c>
      <c r="D2852" t="inlineStr">
        <is>
          <t>Valmir</t>
        </is>
      </c>
      <c r="E2852" t="inlineStr">
        <is>
          <t>Goiânia Drill</t>
        </is>
      </c>
      <c r="F2852" t="inlineStr">
        <is>
          <t>Puxe do PV-16 ao PV-17</t>
        </is>
      </c>
      <c r="G2852" t="inlineStr">
        <is>
          <t>16</t>
        </is>
      </c>
      <c r="H2852" t="inlineStr">
        <is>
          <t>17</t>
        </is>
      </c>
      <c r="I2852" t="inlineStr">
        <is>
          <t>16 ao 17</t>
        </is>
      </c>
      <c r="J2852" t="inlineStr">
        <is>
          <t>HDD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46176</v>
      </c>
      <c r="B2853" t="inlineStr">
        <is>
          <t>Quarta</t>
        </is>
      </c>
      <c r="C2853" t="inlineStr">
        <is>
          <t>CT João Canzi</t>
        </is>
      </c>
      <c r="D2853" t="inlineStr">
        <is>
          <t>Valmir</t>
        </is>
      </c>
      <c r="E2853" t="inlineStr">
        <is>
          <t>Bruno</t>
        </is>
      </c>
      <c r="F2853" t="inlineStr">
        <is>
          <t>Apoio ao HDD</t>
        </is>
      </c>
      <c r="J2853" t="inlineStr">
        <is>
          <t>HDD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46176</v>
      </c>
      <c r="B2854" t="inlineStr">
        <is>
          <t>Quarta</t>
        </is>
      </c>
      <c r="C2854" t="inlineStr">
        <is>
          <t>CT João Canzi</t>
        </is>
      </c>
      <c r="D2854" t="inlineStr">
        <is>
          <t>Valmir</t>
        </is>
      </c>
      <c r="E2854" t="inlineStr">
        <is>
          <t>Medeiros</t>
        </is>
      </c>
      <c r="F2854" t="inlineStr">
        <is>
          <t>Shaft PV 10.1</t>
        </is>
      </c>
      <c r="G2854" t="inlineStr">
        <is>
          <t>10.1</t>
        </is>
      </c>
      <c r="I2854" t="inlineStr">
        <is>
          <t>10.1</t>
        </is>
      </c>
      <c r="J2854" t="inlineStr">
        <is>
          <t>Shaft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46176</v>
      </c>
      <c r="B2855" t="inlineStr">
        <is>
          <t>Quarta</t>
        </is>
      </c>
      <c r="C2855" t="inlineStr">
        <is>
          <t>CT João Canzi</t>
        </is>
      </c>
      <c r="D2855" t="inlineStr">
        <is>
          <t>Valmir</t>
        </is>
      </c>
      <c r="E2855" t="inlineStr">
        <is>
          <t>Cidão</t>
        </is>
      </c>
      <c r="F2855" t="inlineStr">
        <is>
          <t>Transformação PV 15</t>
        </is>
      </c>
      <c r="G2855" t="inlineStr">
        <is>
          <t>15</t>
        </is>
      </c>
      <c r="I2855" t="inlineStr">
        <is>
          <t>15</t>
        </is>
      </c>
      <c r="J2855" t="inlineStr">
        <is>
          <t>Transformação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46176</v>
      </c>
      <c r="B2856" t="inlineStr">
        <is>
          <t>Quarta</t>
        </is>
      </c>
      <c r="C2856" t="inlineStr">
        <is>
          <t>CT João Canzi</t>
        </is>
      </c>
      <c r="D2856" t="inlineStr">
        <is>
          <t>Valmir</t>
        </is>
      </c>
      <c r="E2856" t="inlineStr">
        <is>
          <t>Márcio</t>
        </is>
      </c>
      <c r="F2856" t="inlineStr">
        <is>
          <t>Nivelamento BGS</t>
        </is>
      </c>
      <c r="J2856" t="inlineStr">
        <is>
          <t>Atividade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46176</v>
      </c>
      <c r="B2857" t="inlineStr">
        <is>
          <t>Quarta</t>
        </is>
      </c>
      <c r="C2857" t="inlineStr">
        <is>
          <t>RCE Elvira</t>
        </is>
      </c>
      <c r="D2857" t="inlineStr">
        <is>
          <t>Silvestre</t>
        </is>
      </c>
      <c r="E2857" t="inlineStr">
        <is>
          <t>Valter</t>
        </is>
      </c>
      <c r="F2857" t="inlineStr">
        <is>
          <t>VCA, PVs e Ligações</t>
        </is>
      </c>
      <c r="J2857" t="inlineStr">
        <is>
          <t>VCA</t>
        </is>
      </c>
      <c r="K2857" t="inlineStr">
        <is>
          <t>Planejamento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46176</v>
      </c>
      <c r="B2858" t="inlineStr">
        <is>
          <t>Quarta</t>
        </is>
      </c>
      <c r="C2858" t="inlineStr">
        <is>
          <t>RCE Conj. União</t>
        </is>
      </c>
      <c r="D2858" t="inlineStr">
        <is>
          <t>Silvestre</t>
        </is>
      </c>
      <c r="E2858" t="inlineStr">
        <is>
          <t>Jonathan</t>
        </is>
      </c>
      <c r="F2858" t="inlineStr">
        <is>
          <t>Transformação PV 40.1</t>
        </is>
      </c>
      <c r="G2858" t="inlineStr">
        <is>
          <t>40.1</t>
        </is>
      </c>
      <c r="I2858" t="inlineStr">
        <is>
          <t>40.1</t>
        </is>
      </c>
      <c r="J2858" t="inlineStr">
        <is>
          <t>Transformação</t>
        </is>
      </c>
      <c r="K2858" t="inlineStr">
        <is>
          <t>Planejamento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46176</v>
      </c>
      <c r="B2859" t="inlineStr">
        <is>
          <t>Quarta</t>
        </is>
      </c>
      <c r="C2859" t="inlineStr">
        <is>
          <t>RCE Elias Sleiman / CT João Canzi</t>
        </is>
      </c>
      <c r="D2859" t="inlineStr">
        <is>
          <t>Silvestre</t>
        </is>
      </c>
      <c r="E2859" t="inlineStr">
        <is>
          <t>Edvando</t>
        </is>
      </c>
      <c r="F2859" t="inlineStr">
        <is>
          <t>VCA + interl PV 17 ao PV 22</t>
        </is>
      </c>
      <c r="G2859" t="inlineStr">
        <is>
          <t>17</t>
        </is>
      </c>
      <c r="H2859" t="inlineStr">
        <is>
          <t>22</t>
        </is>
      </c>
      <c r="I2859" t="inlineStr">
        <is>
          <t>17 ao 22</t>
        </is>
      </c>
      <c r="J2859" t="inlineStr">
        <is>
          <t>VCA</t>
        </is>
      </c>
      <c r="K2859" t="inlineStr">
        <is>
          <t>Planejamento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46176</v>
      </c>
      <c r="B2860" t="inlineStr">
        <is>
          <t>Quarta</t>
        </is>
      </c>
      <c r="C2860" t="inlineStr">
        <is>
          <t>RCE São Lucas</t>
        </is>
      </c>
      <c r="D2860" t="inlineStr">
        <is>
          <t>Fábio</t>
        </is>
      </c>
      <c r="E2860" t="inlineStr">
        <is>
          <t>Ricardo</t>
        </is>
      </c>
      <c r="F2860" t="inlineStr">
        <is>
          <t>VCA, PVs e Ligações; (PI 08 ao PI 09)</t>
        </is>
      </c>
      <c r="G2860" t="inlineStr">
        <is>
          <t>08</t>
        </is>
      </c>
      <c r="H2860" t="inlineStr">
        <is>
          <t>09</t>
        </is>
      </c>
      <c r="I2860" t="inlineStr">
        <is>
          <t>08 ao 09</t>
        </is>
      </c>
      <c r="J2860" t="inlineStr">
        <is>
          <t>VCA</t>
        </is>
      </c>
      <c r="K2860" t="inlineStr">
        <is>
          <t>Planejamento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46176</v>
      </c>
      <c r="B2861" t="inlineStr">
        <is>
          <t>Quarta</t>
        </is>
      </c>
      <c r="C2861" t="inlineStr">
        <is>
          <t>RCE São Lucas</t>
        </is>
      </c>
      <c r="D2861" t="inlineStr">
        <is>
          <t>Fábio</t>
        </is>
      </c>
      <c r="E2861" t="inlineStr">
        <is>
          <t>Claudinei</t>
        </is>
      </c>
      <c r="F2861" t="inlineStr">
        <is>
          <t>VCA, PVs e Ligações; (PI 37 ao PI 38)</t>
        </is>
      </c>
      <c r="G2861" t="inlineStr">
        <is>
          <t>37</t>
        </is>
      </c>
      <c r="H2861" t="inlineStr">
        <is>
          <t>38</t>
        </is>
      </c>
      <c r="I2861" t="inlineStr">
        <is>
          <t>37 ao 38</t>
        </is>
      </c>
      <c r="J2861" t="inlineStr">
        <is>
          <t>VCA</t>
        </is>
      </c>
      <c r="K2861" t="inlineStr">
        <is>
          <t>Planejamento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  <row r="2862">
      <c r="A2862" s="36" t="n">
        <v>46176</v>
      </c>
      <c r="B2862" t="inlineStr">
        <is>
          <t>Quarta</t>
        </is>
      </c>
      <c r="C2862" t="inlineStr">
        <is>
          <t>RCE São Lucas</t>
        </is>
      </c>
      <c r="D2862" t="inlineStr">
        <is>
          <t>Fábio</t>
        </is>
      </c>
      <c r="E2862" t="inlineStr">
        <is>
          <t>Miro</t>
        </is>
      </c>
      <c r="F2862" t="inlineStr">
        <is>
          <t>VCA, PVs e Ligações; (PI 32 ao PI 60)</t>
        </is>
      </c>
      <c r="G2862" t="inlineStr">
        <is>
          <t>32</t>
        </is>
      </c>
      <c r="H2862" t="inlineStr">
        <is>
          <t>60</t>
        </is>
      </c>
      <c r="I2862" t="inlineStr">
        <is>
          <t>32 ao 60</t>
        </is>
      </c>
      <c r="J2862" t="inlineStr">
        <is>
          <t>VCA</t>
        </is>
      </c>
      <c r="K2862" t="inlineStr">
        <is>
          <t>Planejamento</t>
        </is>
      </c>
      <c r="L2862" t="inlineStr">
        <is>
          <t>PDS-Junho.docx</t>
        </is>
      </c>
      <c r="M2862">
        <f>IF($A2862="","",TEXT($A2862,"mmmm/yyyy"))</f>
        <v/>
      </c>
      <c r="P2862">
        <f>IFERROR(XLOOKUP($N2862,Base_Enderecos!$A:$A,Base_Enderecos!$B:$B,""),"")</f>
        <v/>
      </c>
      <c r="Q2862">
        <f>IFERROR(XLOOKUP($N2862,Base_Enderecos!$A:$A,Base_Enderecos!$C:$C,""),"")</f>
        <v/>
      </c>
      <c r="R2862">
        <f>IF(ISNUMBER(SEARCH("HDD",$F2862)),"HDD",IF(ISNUMBER(SEARCH("VCA",$F2862)),"VCA","MND"))</f>
        <v/>
      </c>
      <c r="T2862">
        <f>TEXT($A2862,"yyyy-mm")&amp;"|"&amp;$C2862&amp;"|"&amp;$I2862</f>
        <v/>
      </c>
    </row>
    <row r="2863">
      <c r="A2863" s="36" t="n">
        <v>46176</v>
      </c>
      <c r="B2863" t="inlineStr">
        <is>
          <t>Quarta</t>
        </is>
      </c>
      <c r="C2863" t="inlineStr">
        <is>
          <t>RCE São Lucas</t>
        </is>
      </c>
      <c r="D2863" t="inlineStr">
        <is>
          <t>Fábio</t>
        </is>
      </c>
      <c r="E2863" t="inlineStr">
        <is>
          <t>Emanuel</t>
        </is>
      </c>
      <c r="F2863" t="inlineStr">
        <is>
          <t>VCA, PVs e Ligações; (PI 32 ao PI 60)</t>
        </is>
      </c>
      <c r="G2863" t="inlineStr">
        <is>
          <t>32</t>
        </is>
      </c>
      <c r="H2863" t="inlineStr">
        <is>
          <t>60</t>
        </is>
      </c>
      <c r="I2863" t="inlineStr">
        <is>
          <t>32 ao 60</t>
        </is>
      </c>
      <c r="J2863" t="inlineStr">
        <is>
          <t>VCA</t>
        </is>
      </c>
      <c r="K2863" t="inlineStr">
        <is>
          <t>Planejamento</t>
        </is>
      </c>
      <c r="L2863" t="inlineStr">
        <is>
          <t>PDS-Junho.docx</t>
        </is>
      </c>
      <c r="M2863">
        <f>IF($A2863="","",TEXT($A2863,"mmmm/yyyy"))</f>
        <v/>
      </c>
      <c r="P2863">
        <f>IFERROR(XLOOKUP($N2863,Base_Enderecos!$A:$A,Base_Enderecos!$B:$B,""),"")</f>
        <v/>
      </c>
      <c r="Q2863">
        <f>IFERROR(XLOOKUP($N2863,Base_Enderecos!$A:$A,Base_Enderecos!$C:$C,""),"")</f>
        <v/>
      </c>
      <c r="R2863">
        <f>IF(ISNUMBER(SEARCH("HDD",$F2863)),"HDD",IF(ISNUMBER(SEARCH("VCA",$F2863)),"VCA","MND"))</f>
        <v/>
      </c>
      <c r="T2863">
        <f>TEXT($A2863,"yyyy-mm")&amp;"|"&amp;$C2863&amp;"|"&amp;$I2863</f>
        <v/>
      </c>
    </row>
    <row r="2864">
      <c r="A2864" s="36" t="n">
        <v>46176</v>
      </c>
      <c r="B2864" t="inlineStr">
        <is>
          <t>Quarta</t>
        </is>
      </c>
      <c r="C2864" t="inlineStr">
        <is>
          <t>RCE Rua São João</t>
        </is>
      </c>
      <c r="D2864" t="inlineStr">
        <is>
          <t>Fábio</t>
        </is>
      </c>
      <c r="E2864" t="inlineStr">
        <is>
          <t>Antonio</t>
        </is>
      </c>
      <c r="F2864" t="inlineStr">
        <is>
          <t>VCA, PVs e Ligações; (PV 02 ao PV 04)*</t>
        </is>
      </c>
      <c r="G2864" t="inlineStr">
        <is>
          <t>02</t>
        </is>
      </c>
      <c r="H2864" t="inlineStr">
        <is>
          <t>04</t>
        </is>
      </c>
      <c r="I2864" t="inlineStr">
        <is>
          <t>02 ao 04</t>
        </is>
      </c>
      <c r="J2864" t="inlineStr">
        <is>
          <t>VCA</t>
        </is>
      </c>
      <c r="K2864" t="inlineStr">
        <is>
          <t>Planejamento</t>
        </is>
      </c>
      <c r="L2864" t="inlineStr">
        <is>
          <t>PDS-Junho.docx</t>
        </is>
      </c>
      <c r="M2864">
        <f>IF($A2864="","",TEXT($A2864,"mmmm/yyyy"))</f>
        <v/>
      </c>
      <c r="P2864">
        <f>IFERROR(XLOOKUP($N2864,Base_Enderecos!$A:$A,Base_Enderecos!$B:$B,""),"")</f>
        <v/>
      </c>
      <c r="Q2864">
        <f>IFERROR(XLOOKUP($N2864,Base_Enderecos!$A:$A,Base_Enderecos!$C:$C,""),"")</f>
        <v/>
      </c>
      <c r="R2864">
        <f>IF(ISNUMBER(SEARCH("HDD",$F2864)),"HDD",IF(ISNUMBER(SEARCH("VCA",$F2864)),"VCA","MND"))</f>
        <v/>
      </c>
      <c r="T2864">
        <f>TEXT($A2864,"yyyy-mm")&amp;"|"&amp;$C2864&amp;"|"&amp;$I2864</f>
        <v/>
      </c>
    </row>
    <row r="2865">
      <c r="A2865" s="36" t="n">
        <v>46176</v>
      </c>
      <c r="B2865" t="inlineStr">
        <is>
          <t>Quarta</t>
        </is>
      </c>
      <c r="C2865" t="inlineStr">
        <is>
          <t>CTS Lourdes Complementar</t>
        </is>
      </c>
      <c r="D2865" t="inlineStr">
        <is>
          <t>Robson</t>
        </is>
      </c>
      <c r="E2865" t="inlineStr">
        <is>
          <t>Cesar</t>
        </is>
      </c>
      <c r="F2865" t="inlineStr">
        <is>
          <t>Transformação PV 03</t>
        </is>
      </c>
      <c r="G2865" t="inlineStr">
        <is>
          <t>03</t>
        </is>
      </c>
      <c r="I2865" t="inlineStr">
        <is>
          <t>03</t>
        </is>
      </c>
      <c r="J2865" t="inlineStr">
        <is>
          <t>Transformação</t>
        </is>
      </c>
      <c r="K2865" t="inlineStr">
        <is>
          <t>Planejamento</t>
        </is>
      </c>
      <c r="L2865" t="inlineStr">
        <is>
          <t>PDS-Junho.docx</t>
        </is>
      </c>
      <c r="M2865">
        <f>IF($A2865="","",TEXT($A2865,"mmmm/yyyy"))</f>
        <v/>
      </c>
      <c r="P2865">
        <f>IFERROR(XLOOKUP($N2865,Base_Enderecos!$A:$A,Base_Enderecos!$B:$B,""),"")</f>
        <v/>
      </c>
      <c r="Q2865">
        <f>IFERROR(XLOOKUP($N2865,Base_Enderecos!$A:$A,Base_Enderecos!$C:$C,""),"")</f>
        <v/>
      </c>
      <c r="R2865">
        <f>IF(ISNUMBER(SEARCH("HDD",$F2865)),"HDD",IF(ISNUMBER(SEARCH("VCA",$F2865)),"VCA","MND"))</f>
        <v/>
      </c>
      <c r="T2865">
        <f>TEXT($A2865,"yyyy-mm")&amp;"|"&amp;$C2865&amp;"|"&amp;$I2865</f>
        <v/>
      </c>
    </row>
    <row r="2866">
      <c r="A2866" s="36" t="n">
        <v>46176</v>
      </c>
      <c r="B2866" t="inlineStr">
        <is>
          <t>Quarta</t>
        </is>
      </c>
      <c r="C2866" t="inlineStr">
        <is>
          <t>CTS Lourdes Complementar</t>
        </is>
      </c>
      <c r="D2866" t="inlineStr">
        <is>
          <t>Robson</t>
        </is>
      </c>
      <c r="E2866" t="inlineStr">
        <is>
          <t>Marcelo</t>
        </is>
      </c>
      <c r="F2866" t="inlineStr">
        <is>
          <t>Transformação PV 04</t>
        </is>
      </c>
      <c r="G2866" t="inlineStr">
        <is>
          <t>04</t>
        </is>
      </c>
      <c r="I2866" t="inlineStr">
        <is>
          <t>04</t>
        </is>
      </c>
      <c r="J2866" t="inlineStr">
        <is>
          <t>Transformação</t>
        </is>
      </c>
      <c r="K2866" t="inlineStr">
        <is>
          <t>Planejamento</t>
        </is>
      </c>
      <c r="L2866" t="inlineStr">
        <is>
          <t>PDS-Junho.docx</t>
        </is>
      </c>
      <c r="M2866">
        <f>IF($A2866="","",TEXT($A2866,"mmmm/yyyy"))</f>
        <v/>
      </c>
      <c r="P2866">
        <f>IFERROR(XLOOKUP($N2866,Base_Enderecos!$A:$A,Base_Enderecos!$B:$B,""),"")</f>
        <v/>
      </c>
      <c r="Q2866">
        <f>IFERROR(XLOOKUP($N2866,Base_Enderecos!$A:$A,Base_Enderecos!$C:$C,""),"")</f>
        <v/>
      </c>
      <c r="R2866">
        <f>IF(ISNUMBER(SEARCH("HDD",$F2866)),"HDD",IF(ISNUMBER(SEARCH("VCA",$F2866)),"VCA","MND"))</f>
        <v/>
      </c>
      <c r="T2866">
        <f>TEXT($A2866,"yyyy-mm")&amp;"|"&amp;$C2866&amp;"|"&amp;$I2866</f>
        <v/>
      </c>
    </row>
    <row r="2867">
      <c r="A2867" s="36" t="n">
        <v>46176</v>
      </c>
      <c r="B2867" t="inlineStr">
        <is>
          <t>Quarta</t>
        </is>
      </c>
      <c r="C2867" t="inlineStr">
        <is>
          <t>CTS Lourdes Complementar</t>
        </is>
      </c>
      <c r="D2867" t="inlineStr">
        <is>
          <t>Robson</t>
        </is>
      </c>
      <c r="E2867" t="inlineStr">
        <is>
          <t>Marcelo</t>
        </is>
      </c>
      <c r="F2867" t="inlineStr">
        <is>
          <t>Botelho Mourão</t>
        </is>
      </c>
      <c r="J2867" t="inlineStr">
        <is>
          <t>Atividade</t>
        </is>
      </c>
      <c r="K2867" t="inlineStr">
        <is>
          <t>Planejamento</t>
        </is>
      </c>
      <c r="L2867" t="inlineStr">
        <is>
          <t>PDS-Junho.docx</t>
        </is>
      </c>
      <c r="M2867">
        <f>IF($A2867="","",TEXT($A2867,"mmmm/yyyy"))</f>
        <v/>
      </c>
      <c r="P2867">
        <f>IFERROR(XLOOKUP($N2867,Base_Enderecos!$A:$A,Base_Enderecos!$B:$B,""),"")</f>
        <v/>
      </c>
      <c r="Q2867">
        <f>IFERROR(XLOOKUP($N2867,Base_Enderecos!$A:$A,Base_Enderecos!$C:$C,""),"")</f>
        <v/>
      </c>
      <c r="R2867">
        <f>IF(ISNUMBER(SEARCH("HDD",$F2867)),"HDD",IF(ISNUMBER(SEARCH("VCA",$F2867)),"VCA","MND"))</f>
        <v/>
      </c>
      <c r="T2867">
        <f>TEXT($A2867,"yyyy-mm")&amp;"|"&amp;$C2867&amp;"|"&amp;$I2867</f>
        <v/>
      </c>
    </row>
    <row r="2868">
      <c r="A2868" s="36" t="n">
        <v>46176</v>
      </c>
      <c r="B2868" t="inlineStr">
        <is>
          <t>Quarta</t>
        </is>
      </c>
      <c r="C2868" t="inlineStr">
        <is>
          <t>CTS Lourdes Complementar</t>
        </is>
      </c>
      <c r="D2868" t="inlineStr">
        <is>
          <t>Robson</t>
        </is>
      </c>
      <c r="E2868" t="inlineStr">
        <is>
          <t>Márcio</t>
        </is>
      </c>
      <c r="F2868" t="inlineStr">
        <is>
          <t>Nivelamento BGS PV 05</t>
        </is>
      </c>
      <c r="G2868" t="inlineStr">
        <is>
          <t>05</t>
        </is>
      </c>
      <c r="I2868" t="inlineStr">
        <is>
          <t>05</t>
        </is>
      </c>
      <c r="J2868" t="inlineStr">
        <is>
          <t>Atividade</t>
        </is>
      </c>
      <c r="K2868" t="inlineStr">
        <is>
          <t>Planejamento</t>
        </is>
      </c>
      <c r="L2868" t="inlineStr">
        <is>
          <t>PDS-Junho.docx</t>
        </is>
      </c>
      <c r="M2868">
        <f>IF($A2868="","",TEXT($A2868,"mmmm/yyyy"))</f>
        <v/>
      </c>
      <c r="P2868">
        <f>IFERROR(XLOOKUP($N2868,Base_Enderecos!$A:$A,Base_Enderecos!$B:$B,""),"")</f>
        <v/>
      </c>
      <c r="Q2868">
        <f>IFERROR(XLOOKUP($N2868,Base_Enderecos!$A:$A,Base_Enderecos!$C:$C,""),"")</f>
        <v/>
      </c>
      <c r="R2868">
        <f>IF(ISNUMBER(SEARCH("HDD",$F2868)),"HDD",IF(ISNUMBER(SEARCH("VCA",$F2868)),"VCA","MND"))</f>
        <v/>
      </c>
      <c r="T2868">
        <f>TEXT($A2868,"yyyy-mm")&amp;"|"&amp;$C2868&amp;"|"&amp;$I2868</f>
        <v/>
      </c>
    </row>
    <row r="2869">
      <c r="A2869" s="36" t="n">
        <v>46176</v>
      </c>
      <c r="B2869" t="inlineStr">
        <is>
          <t>Quarta</t>
        </is>
      </c>
      <c r="C2869" t="inlineStr">
        <is>
          <t>João Canzi</t>
        </is>
      </c>
      <c r="E2869" t="inlineStr">
        <is>
          <t>Vacal</t>
        </is>
      </c>
      <c r="F2869" t="inlineStr">
        <is>
          <t>João Canzi – Henko (Wellington/Thiago)</t>
        </is>
      </c>
      <c r="J2869" t="inlineStr">
        <is>
          <t>Atividade</t>
        </is>
      </c>
      <c r="K2869" t="inlineStr">
        <is>
          <t>Apoio</t>
        </is>
      </c>
      <c r="L2869" t="inlineStr">
        <is>
          <t>PDS-Junho.docx</t>
        </is>
      </c>
      <c r="M2869">
        <f>IF($A2869="","",TEXT($A2869,"mmmm/yyyy"))</f>
        <v/>
      </c>
      <c r="P2869">
        <f>IFERROR(XLOOKUP($N2869,Base_Enderecos!$A:$A,Base_Enderecos!$B:$B,""),"")</f>
        <v/>
      </c>
      <c r="Q2869">
        <f>IFERROR(XLOOKUP($N2869,Base_Enderecos!$A:$A,Base_Enderecos!$C:$C,""),"")</f>
        <v/>
      </c>
      <c r="R2869">
        <f>IF(ISNUMBER(SEARCH("HDD",$F2869)),"HDD",IF(ISNUMBER(SEARCH("VCA",$F2869)),"VCA","MND"))</f>
        <v/>
      </c>
      <c r="T2869">
        <f>TEXT($A2869,"yyyy-mm")&amp;"|"&amp;$C2869&amp;"|"&amp;$I2869</f>
        <v/>
      </c>
    </row>
    <row r="2870">
      <c r="A2870" s="36" t="n">
        <v>46176</v>
      </c>
      <c r="B2870" t="inlineStr">
        <is>
          <t>Quarta</t>
        </is>
      </c>
      <c r="C2870" t="inlineStr">
        <is>
          <t>João Canzi</t>
        </is>
      </c>
      <c r="E2870" t="inlineStr">
        <is>
          <t>Vacal</t>
        </is>
      </c>
      <c r="F2870" t="inlineStr">
        <is>
          <t>João Canzi – Renasce (Raimundo)</t>
        </is>
      </c>
      <c r="J2870" t="inlineStr">
        <is>
          <t>Atividade</t>
        </is>
      </c>
      <c r="K2870" t="inlineStr">
        <is>
          <t>Apoio</t>
        </is>
      </c>
      <c r="L2870" t="inlineStr">
        <is>
          <t>PDS-Junho.docx</t>
        </is>
      </c>
      <c r="M2870">
        <f>IF($A2870="","",TEXT($A2870,"mmmm/yyyy"))</f>
        <v/>
      </c>
      <c r="P2870">
        <f>IFERROR(XLOOKUP($N2870,Base_Enderecos!$A:$A,Base_Enderecos!$B:$B,""),"")</f>
        <v/>
      </c>
      <c r="Q2870">
        <f>IFERROR(XLOOKUP($N2870,Base_Enderecos!$A:$A,Base_Enderecos!$C:$C,""),"")</f>
        <v/>
      </c>
      <c r="R2870">
        <f>IF(ISNUMBER(SEARCH("HDD",$F2870)),"HDD",IF(ISNUMBER(SEARCH("VCA",$F2870)),"VCA","MND"))</f>
        <v/>
      </c>
      <c r="T2870">
        <f>TEXT($A2870,"yyyy-mm")&amp;"|"&amp;$C2870&amp;"|"&amp;$I2870</f>
        <v/>
      </c>
    </row>
    <row r="2871">
      <c r="A2871" s="36" t="n">
        <v>46176</v>
      </c>
      <c r="B2871" t="inlineStr">
        <is>
          <t>Quarta</t>
        </is>
      </c>
      <c r="C2871" t="inlineStr">
        <is>
          <t>Lourdes</t>
        </is>
      </c>
      <c r="E2871" t="inlineStr">
        <is>
          <t>Vacal</t>
        </is>
      </c>
      <c r="F2871" t="inlineStr">
        <is>
          <t>Lourdes – Henko (Marcio)</t>
        </is>
      </c>
      <c r="J2871" t="inlineStr">
        <is>
          <t>Atividade</t>
        </is>
      </c>
      <c r="K2871" t="inlineStr">
        <is>
          <t>Apoio</t>
        </is>
      </c>
      <c r="L2871" t="inlineStr">
        <is>
          <t>PDS-Junho.docx</t>
        </is>
      </c>
      <c r="M2871">
        <f>IF($A2871="","",TEXT($A2871,"mmmm/yyyy"))</f>
        <v/>
      </c>
      <c r="P2871">
        <f>IFERROR(XLOOKUP($N2871,Base_Enderecos!$A:$A,Base_Enderecos!$B:$B,""),"")</f>
        <v/>
      </c>
      <c r="Q2871">
        <f>IFERROR(XLOOKUP($N2871,Base_Enderecos!$A:$A,Base_Enderecos!$C:$C,""),"")</f>
        <v/>
      </c>
      <c r="R2871">
        <f>IF(ISNUMBER(SEARCH("HDD",$F2871)),"HDD",IF(ISNUMBER(SEARCH("VCA",$F2871)),"VCA","MND"))</f>
        <v/>
      </c>
      <c r="T2871">
        <f>TEXT($A2871,"yyyy-mm")&amp;"|"&amp;$C2871&amp;"|"&amp;$I2871</f>
        <v/>
      </c>
    </row>
    <row r="2872">
      <c r="A2872" s="36" t="n">
        <v>46176</v>
      </c>
      <c r="B2872" t="inlineStr">
        <is>
          <t>Quarta</t>
        </is>
      </c>
      <c r="C2872" t="inlineStr">
        <is>
          <t>Iti 15</t>
        </is>
      </c>
      <c r="E2872" t="inlineStr">
        <is>
          <t>Vacal</t>
        </is>
      </c>
      <c r="F2872" t="inlineStr">
        <is>
          <t>ITI 15 – Henko (Osmar)</t>
        </is>
      </c>
      <c r="J2872" t="inlineStr">
        <is>
          <t>Atividade</t>
        </is>
      </c>
      <c r="K2872" t="inlineStr">
        <is>
          <t>Apoio</t>
        </is>
      </c>
      <c r="L2872" t="inlineStr">
        <is>
          <t>PDS-Junho.docx</t>
        </is>
      </c>
      <c r="M2872">
        <f>IF($A2872="","",TEXT($A2872,"mmmm/yyyy"))</f>
        <v/>
      </c>
      <c r="P2872">
        <f>IFERROR(XLOOKUP($N2872,Base_Enderecos!$A:$A,Base_Enderecos!$B:$B,""),"")</f>
        <v/>
      </c>
      <c r="Q2872">
        <f>IFERROR(XLOOKUP($N2872,Base_Enderecos!$A:$A,Base_Enderecos!$C:$C,""),"")</f>
        <v/>
      </c>
      <c r="R2872">
        <f>IF(ISNUMBER(SEARCH("HDD",$F2872)),"HDD",IF(ISNUMBER(SEARCH("VCA",$F2872)),"VCA","MND"))</f>
        <v/>
      </c>
      <c r="T2872">
        <f>TEXT($A2872,"yyyy-mm")&amp;"|"&amp;$C2872&amp;"|"&amp;$I2872</f>
        <v/>
      </c>
    </row>
    <row r="2873">
      <c r="A2873" s="36" t="n">
        <v>46176</v>
      </c>
      <c r="B2873" t="inlineStr">
        <is>
          <t>Quarta</t>
        </is>
      </c>
      <c r="C2873" t="inlineStr">
        <is>
          <t>Guindauto</t>
        </is>
      </c>
      <c r="E2873" t="inlineStr">
        <is>
          <t>Guindauto</t>
        </is>
      </c>
      <c r="F2873" t="inlineStr">
        <is>
          <t>Marcio - Apoio as equipes</t>
        </is>
      </c>
      <c r="J2873" t="inlineStr">
        <is>
          <t>Atividade</t>
        </is>
      </c>
      <c r="K2873" t="inlineStr">
        <is>
          <t>Apoio</t>
        </is>
      </c>
      <c r="L2873" t="inlineStr">
        <is>
          <t>PDS-Junho.docx</t>
        </is>
      </c>
      <c r="M2873">
        <f>IF($A2873="","",TEXT($A2873,"mmmm/yyyy"))</f>
        <v/>
      </c>
      <c r="P2873">
        <f>IFERROR(XLOOKUP($N2873,Base_Enderecos!$A:$A,Base_Enderecos!$B:$B,""),"")</f>
        <v/>
      </c>
      <c r="Q2873">
        <f>IFERROR(XLOOKUP($N2873,Base_Enderecos!$A:$A,Base_Enderecos!$C:$C,""),"")</f>
        <v/>
      </c>
      <c r="R2873">
        <f>IF(ISNUMBER(SEARCH("HDD",$F2873)),"HDD",IF(ISNUMBER(SEARCH("VCA",$F2873)),"VCA","MND"))</f>
        <v/>
      </c>
      <c r="T2873">
        <f>TEXT($A2873,"yyyy-mm")&amp;"|"&amp;$C2873&amp;"|"&amp;$I2873</f>
        <v/>
      </c>
    </row>
    <row r="2874">
      <c r="A2874" s="36" t="n">
        <v>46176</v>
      </c>
      <c r="B2874" t="inlineStr">
        <is>
          <t>Quarta</t>
        </is>
      </c>
      <c r="C2874" t="inlineStr">
        <is>
          <t>Guindauto</t>
        </is>
      </c>
      <c r="E2874" t="inlineStr">
        <is>
          <t>Guindauto</t>
        </is>
      </c>
      <c r="F2874" t="inlineStr">
        <is>
          <t>Luiz - Apoio as equipes</t>
        </is>
      </c>
      <c r="J2874" t="inlineStr">
        <is>
          <t>Atividade</t>
        </is>
      </c>
      <c r="K2874" t="inlineStr">
        <is>
          <t>Apoio</t>
        </is>
      </c>
      <c r="L2874" t="inlineStr">
        <is>
          <t>PDS-Junho.docx</t>
        </is>
      </c>
      <c r="M2874">
        <f>IF($A2874="","",TEXT($A2874,"mmmm/yyyy"))</f>
        <v/>
      </c>
      <c r="P2874">
        <f>IFERROR(XLOOKUP($N2874,Base_Enderecos!$A:$A,Base_Enderecos!$B:$B,""),"")</f>
        <v/>
      </c>
      <c r="Q2874">
        <f>IFERROR(XLOOKUP($N2874,Base_Enderecos!$A:$A,Base_Enderecos!$C:$C,""),"")</f>
        <v/>
      </c>
      <c r="R2874">
        <f>IF(ISNUMBER(SEARCH("HDD",$F2874)),"HDD",IF(ISNUMBER(SEARCH("VCA",$F2874)),"VCA","MND"))</f>
        <v/>
      </c>
      <c r="T2874">
        <f>TEXT($A2874,"yyyy-mm")&amp;"|"&amp;$C2874&amp;"|"&amp;$I2874</f>
        <v/>
      </c>
    </row>
    <row r="2875">
      <c r="A2875" s="36" t="n">
        <v>46177</v>
      </c>
      <c r="B2875" t="inlineStr">
        <is>
          <t>Quinta</t>
        </is>
      </c>
      <c r="C2875" t="inlineStr">
        <is>
          <t>CT João Canzi</t>
        </is>
      </c>
      <c r="D2875" t="inlineStr">
        <is>
          <t>Valmir</t>
        </is>
      </c>
      <c r="E2875" t="inlineStr">
        <is>
          <t>Goiânia Drill</t>
        </is>
      </c>
      <c r="F2875" t="inlineStr">
        <is>
          <t>Piloto do PV-17 ao PV-18</t>
        </is>
      </c>
      <c r="G2875" t="inlineStr">
        <is>
          <t>17</t>
        </is>
      </c>
      <c r="H2875" t="inlineStr">
        <is>
          <t>18</t>
        </is>
      </c>
      <c r="I2875" t="inlineStr">
        <is>
          <t>17 ao 18</t>
        </is>
      </c>
      <c r="J2875" t="inlineStr">
        <is>
          <t>Atividade</t>
        </is>
      </c>
      <c r="K2875" t="inlineStr">
        <is>
          <t>Planejamento</t>
        </is>
      </c>
      <c r="L2875" t="inlineStr">
        <is>
          <t>PDS-Junho.docx</t>
        </is>
      </c>
      <c r="M2875">
        <f>IF($A2875="","",TEXT($A2875,"mmmm/yyyy"))</f>
        <v/>
      </c>
      <c r="P2875">
        <f>IFERROR(XLOOKUP($N2875,Base_Enderecos!$A:$A,Base_Enderecos!$B:$B,""),"")</f>
        <v/>
      </c>
      <c r="Q2875">
        <f>IFERROR(XLOOKUP($N2875,Base_Enderecos!$A:$A,Base_Enderecos!$C:$C,""),"")</f>
        <v/>
      </c>
      <c r="R2875">
        <f>IF(ISNUMBER(SEARCH("HDD",$F2875)),"HDD",IF(ISNUMBER(SEARCH("VCA",$F2875)),"VCA","MND"))</f>
        <v/>
      </c>
      <c r="T2875">
        <f>TEXT($A2875,"yyyy-mm")&amp;"|"&amp;$C2875&amp;"|"&amp;$I2875</f>
        <v/>
      </c>
    </row>
    <row r="2876">
      <c r="A2876" s="36" t="n">
        <v>46177</v>
      </c>
      <c r="B2876" t="inlineStr">
        <is>
          <t>Quinta</t>
        </is>
      </c>
      <c r="C2876" t="inlineStr">
        <is>
          <t>CT João Canzi</t>
        </is>
      </c>
      <c r="D2876" t="inlineStr">
        <is>
          <t>Valmir</t>
        </is>
      </c>
      <c r="E2876" t="inlineStr">
        <is>
          <t>Bruno</t>
        </is>
      </c>
      <c r="F2876" t="inlineStr">
        <is>
          <t>Apoio ao HDD</t>
        </is>
      </c>
      <c r="J2876" t="inlineStr">
        <is>
          <t>HDD</t>
        </is>
      </c>
      <c r="K2876" t="inlineStr">
        <is>
          <t>Planejamento</t>
        </is>
      </c>
      <c r="L2876" t="inlineStr">
        <is>
          <t>PDS-Junho.docx</t>
        </is>
      </c>
      <c r="M2876">
        <f>IF($A2876="","",TEXT($A2876,"mmmm/yyyy"))</f>
        <v/>
      </c>
      <c r="P2876">
        <f>IFERROR(XLOOKUP($N2876,Base_Enderecos!$A:$A,Base_Enderecos!$B:$B,""),"")</f>
        <v/>
      </c>
      <c r="Q2876">
        <f>IFERROR(XLOOKUP($N2876,Base_Enderecos!$A:$A,Base_Enderecos!$C:$C,""),"")</f>
        <v/>
      </c>
      <c r="R2876">
        <f>IF(ISNUMBER(SEARCH("HDD",$F2876)),"HDD",IF(ISNUMBER(SEARCH("VCA",$F2876)),"VCA","MND"))</f>
        <v/>
      </c>
      <c r="T2876">
        <f>TEXT($A2876,"yyyy-mm")&amp;"|"&amp;$C2876&amp;"|"&amp;$I2876</f>
        <v/>
      </c>
    </row>
    <row r="2877">
      <c r="A2877" s="36" t="n">
        <v>46177</v>
      </c>
      <c r="B2877" t="inlineStr">
        <is>
          <t>Quinta</t>
        </is>
      </c>
      <c r="C2877" t="inlineStr">
        <is>
          <t>CT João Canzi</t>
        </is>
      </c>
      <c r="D2877" t="inlineStr">
        <is>
          <t>Valmir</t>
        </is>
      </c>
      <c r="E2877" t="inlineStr">
        <is>
          <t>Medeiros</t>
        </is>
      </c>
      <c r="F2877" t="inlineStr">
        <is>
          <t>Shaft PV 10.1</t>
        </is>
      </c>
      <c r="G2877" t="inlineStr">
        <is>
          <t>10.1</t>
        </is>
      </c>
      <c r="I2877" t="inlineStr">
        <is>
          <t>10.1</t>
        </is>
      </c>
      <c r="J2877" t="inlineStr">
        <is>
          <t>Shaft</t>
        </is>
      </c>
      <c r="K2877" t="inlineStr">
        <is>
          <t>Planejamento</t>
        </is>
      </c>
      <c r="L2877" t="inlineStr">
        <is>
          <t>PDS-Junho.docx</t>
        </is>
      </c>
      <c r="M2877">
        <f>IF($A2877="","",TEXT($A2877,"mmmm/yyyy"))</f>
        <v/>
      </c>
      <c r="P2877">
        <f>IFERROR(XLOOKUP($N2877,Base_Enderecos!$A:$A,Base_Enderecos!$B:$B,""),"")</f>
        <v/>
      </c>
      <c r="Q2877">
        <f>IFERROR(XLOOKUP($N2877,Base_Enderecos!$A:$A,Base_Enderecos!$C:$C,""),"")</f>
        <v/>
      </c>
      <c r="R2877">
        <f>IF(ISNUMBER(SEARCH("HDD",$F2877)),"HDD",IF(ISNUMBER(SEARCH("VCA",$F2877)),"VCA","MND"))</f>
        <v/>
      </c>
      <c r="T2877">
        <f>TEXT($A2877,"yyyy-mm")&amp;"|"&amp;$C2877&amp;"|"&amp;$I2877</f>
        <v/>
      </c>
    </row>
    <row r="2878">
      <c r="A2878" s="36" t="n">
        <v>46177</v>
      </c>
      <c r="B2878" t="inlineStr">
        <is>
          <t>Quinta</t>
        </is>
      </c>
      <c r="C2878" t="inlineStr">
        <is>
          <t>CT João Canzi</t>
        </is>
      </c>
      <c r="D2878" t="inlineStr">
        <is>
          <t>Valmir</t>
        </is>
      </c>
      <c r="E2878" t="inlineStr">
        <is>
          <t>Cesar</t>
        </is>
      </c>
      <c r="F2878" t="inlineStr">
        <is>
          <t>Transformação PV 16</t>
        </is>
      </c>
      <c r="G2878" t="inlineStr">
        <is>
          <t>16</t>
        </is>
      </c>
      <c r="I2878" t="inlineStr">
        <is>
          <t>16</t>
        </is>
      </c>
      <c r="J2878" t="inlineStr">
        <is>
          <t>Transformação</t>
        </is>
      </c>
      <c r="K2878" t="inlineStr">
        <is>
          <t>Planejamento</t>
        </is>
      </c>
      <c r="L2878" t="inlineStr">
        <is>
          <t>PDS-Junho.docx</t>
        </is>
      </c>
      <c r="M2878">
        <f>IF($A2878="","",TEXT($A2878,"mmmm/yyyy"))</f>
        <v/>
      </c>
      <c r="P2878">
        <f>IFERROR(XLOOKUP($N2878,Base_Enderecos!$A:$A,Base_Enderecos!$B:$B,""),"")</f>
        <v/>
      </c>
      <c r="Q2878">
        <f>IFERROR(XLOOKUP($N2878,Base_Enderecos!$A:$A,Base_Enderecos!$C:$C,""),"")</f>
        <v/>
      </c>
      <c r="R2878">
        <f>IF(ISNUMBER(SEARCH("HDD",$F2878)),"HDD",IF(ISNUMBER(SEARCH("VCA",$F2878)),"VCA","MND"))</f>
        <v/>
      </c>
      <c r="T2878">
        <f>TEXT($A2878,"yyyy-mm")&amp;"|"&amp;$C2878&amp;"|"&amp;$I2878</f>
        <v/>
      </c>
    </row>
    <row r="2879">
      <c r="A2879" s="36" t="n">
        <v>46177</v>
      </c>
      <c r="B2879" t="inlineStr">
        <is>
          <t>Quinta</t>
        </is>
      </c>
      <c r="C2879" t="inlineStr">
        <is>
          <t>RCE Elvira</t>
        </is>
      </c>
      <c r="D2879" t="inlineStr">
        <is>
          <t>Silvestre</t>
        </is>
      </c>
      <c r="E2879" t="inlineStr">
        <is>
          <t>Valter</t>
        </is>
      </c>
      <c r="F2879" t="inlineStr">
        <is>
          <t>VCA, PVs e Ligações</t>
        </is>
      </c>
      <c r="J2879" t="inlineStr">
        <is>
          <t>VCA</t>
        </is>
      </c>
      <c r="K2879" t="inlineStr">
        <is>
          <t>Planejamento</t>
        </is>
      </c>
      <c r="L2879" t="inlineStr">
        <is>
          <t>PDS-Junho.docx</t>
        </is>
      </c>
      <c r="M2879">
        <f>IF($A2879="","",TEXT($A2879,"mmmm/yyyy"))</f>
        <v/>
      </c>
      <c r="P2879">
        <f>IFERROR(XLOOKUP($N2879,Base_Enderecos!$A:$A,Base_Enderecos!$B:$B,""),"")</f>
        <v/>
      </c>
      <c r="Q2879">
        <f>IFERROR(XLOOKUP($N2879,Base_Enderecos!$A:$A,Base_Enderecos!$C:$C,""),"")</f>
        <v/>
      </c>
      <c r="R2879">
        <f>IF(ISNUMBER(SEARCH("HDD",$F2879)),"HDD",IF(ISNUMBER(SEARCH("VCA",$F2879)),"VCA","MND"))</f>
        <v/>
      </c>
      <c r="T2879">
        <f>TEXT($A2879,"yyyy-mm")&amp;"|"&amp;$C2879&amp;"|"&amp;$I2879</f>
        <v/>
      </c>
    </row>
    <row r="2880">
      <c r="A2880" s="36" t="n">
        <v>46177</v>
      </c>
      <c r="B2880" t="inlineStr">
        <is>
          <t>Quinta</t>
        </is>
      </c>
      <c r="C2880" t="inlineStr">
        <is>
          <t>RCE Conj. União</t>
        </is>
      </c>
      <c r="D2880" t="inlineStr">
        <is>
          <t>Silvestre</t>
        </is>
      </c>
      <c r="E2880" t="inlineStr">
        <is>
          <t>Jonathan</t>
        </is>
      </c>
      <c r="F2880" t="inlineStr">
        <is>
          <t>Transformação PV 40.1</t>
        </is>
      </c>
      <c r="G2880" t="inlineStr">
        <is>
          <t>40.1</t>
        </is>
      </c>
      <c r="I2880" t="inlineStr">
        <is>
          <t>40.1</t>
        </is>
      </c>
      <c r="J2880" t="inlineStr">
        <is>
          <t>Transformação</t>
        </is>
      </c>
      <c r="K2880" t="inlineStr">
        <is>
          <t>Planejamento</t>
        </is>
      </c>
      <c r="L2880" t="inlineStr">
        <is>
          <t>PDS-Junho.docx</t>
        </is>
      </c>
      <c r="M2880">
        <f>IF($A2880="","",TEXT($A2880,"mmmm/yyyy"))</f>
        <v/>
      </c>
      <c r="P2880">
        <f>IFERROR(XLOOKUP($N2880,Base_Enderecos!$A:$A,Base_Enderecos!$B:$B,""),"")</f>
        <v/>
      </c>
      <c r="Q2880">
        <f>IFERROR(XLOOKUP($N2880,Base_Enderecos!$A:$A,Base_Enderecos!$C:$C,""),"")</f>
        <v/>
      </c>
      <c r="R2880">
        <f>IF(ISNUMBER(SEARCH("HDD",$F2880)),"HDD",IF(ISNUMBER(SEARCH("VCA",$F2880)),"VCA","MND"))</f>
        <v/>
      </c>
      <c r="T2880">
        <f>TEXT($A2880,"yyyy-mm")&amp;"|"&amp;$C2880&amp;"|"&amp;$I2880</f>
        <v/>
      </c>
    </row>
    <row r="2881">
      <c r="A2881" s="36" t="n">
        <v>46177</v>
      </c>
      <c r="B2881" t="inlineStr">
        <is>
          <t>Quinta</t>
        </is>
      </c>
      <c r="C2881" t="inlineStr">
        <is>
          <t>RCE Elias Sleiman / CT João Canzi</t>
        </is>
      </c>
      <c r="D2881" t="inlineStr">
        <is>
          <t>Silvestre</t>
        </is>
      </c>
      <c r="E2881" t="inlineStr">
        <is>
          <t>Edvando</t>
        </is>
      </c>
      <c r="F2881" t="inlineStr">
        <is>
          <t>VCA + interl PV 17 ao PV 22</t>
        </is>
      </c>
      <c r="G2881" t="inlineStr">
        <is>
          <t>17</t>
        </is>
      </c>
      <c r="H2881" t="inlineStr">
        <is>
          <t>22</t>
        </is>
      </c>
      <c r="I2881" t="inlineStr">
        <is>
          <t>17 ao 22</t>
        </is>
      </c>
      <c r="J2881" t="inlineStr">
        <is>
          <t>VCA</t>
        </is>
      </c>
      <c r="K2881" t="inlineStr">
        <is>
          <t>Planejamento</t>
        </is>
      </c>
      <c r="L2881" t="inlineStr">
        <is>
          <t>PDS-Junho.docx</t>
        </is>
      </c>
      <c r="M2881">
        <f>IF($A2881="","",TEXT($A2881,"mmmm/yyyy"))</f>
        <v/>
      </c>
      <c r="P2881">
        <f>IFERROR(XLOOKUP($N2881,Base_Enderecos!$A:$A,Base_Enderecos!$B:$B,""),"")</f>
        <v/>
      </c>
      <c r="Q2881">
        <f>IFERROR(XLOOKUP($N2881,Base_Enderecos!$A:$A,Base_Enderecos!$C:$C,""),"")</f>
        <v/>
      </c>
      <c r="R2881">
        <f>IF(ISNUMBER(SEARCH("HDD",$F2881)),"HDD",IF(ISNUMBER(SEARCH("VCA",$F2881)),"VCA","MND"))</f>
        <v/>
      </c>
      <c r="T2881">
        <f>TEXT($A2881,"yyyy-mm")&amp;"|"&amp;$C2881&amp;"|"&amp;$I2881</f>
        <v/>
      </c>
    </row>
    <row r="2882">
      <c r="A2882" s="36" t="n">
        <v>46177</v>
      </c>
      <c r="B2882" t="inlineStr">
        <is>
          <t>Quinta</t>
        </is>
      </c>
      <c r="C2882" t="inlineStr">
        <is>
          <t>RCE São Lucas</t>
        </is>
      </c>
      <c r="D2882" t="inlineStr">
        <is>
          <t>Fábio</t>
        </is>
      </c>
      <c r="E2882" t="inlineStr">
        <is>
          <t>Ricardo</t>
        </is>
      </c>
      <c r="F2882" t="inlineStr">
        <is>
          <t>VCA, PVs e Ligações; (PI 08 ao PI 09)</t>
        </is>
      </c>
      <c r="G2882" t="inlineStr">
        <is>
          <t>08</t>
        </is>
      </c>
      <c r="H2882" t="inlineStr">
        <is>
          <t>09</t>
        </is>
      </c>
      <c r="I2882" t="inlineStr">
        <is>
          <t>08 ao 09</t>
        </is>
      </c>
      <c r="J2882" t="inlineStr">
        <is>
          <t>VCA</t>
        </is>
      </c>
      <c r="K2882" t="inlineStr">
        <is>
          <t>Planejamento</t>
        </is>
      </c>
      <c r="L2882" t="inlineStr">
        <is>
          <t>PDS-Junho.docx</t>
        </is>
      </c>
      <c r="M2882">
        <f>IF($A2882="","",TEXT($A2882,"mmmm/yyyy"))</f>
        <v/>
      </c>
      <c r="P2882">
        <f>IFERROR(XLOOKUP($N2882,Base_Enderecos!$A:$A,Base_Enderecos!$B:$B,""),"")</f>
        <v/>
      </c>
      <c r="Q2882">
        <f>IFERROR(XLOOKUP($N2882,Base_Enderecos!$A:$A,Base_Enderecos!$C:$C,""),"")</f>
        <v/>
      </c>
      <c r="R2882">
        <f>IF(ISNUMBER(SEARCH("HDD",$F2882)),"HDD",IF(ISNUMBER(SEARCH("VCA",$F2882)),"VCA","MND"))</f>
        <v/>
      </c>
      <c r="T2882">
        <f>TEXT($A2882,"yyyy-mm")&amp;"|"&amp;$C2882&amp;"|"&amp;$I2882</f>
        <v/>
      </c>
    </row>
    <row r="2883">
      <c r="A2883" s="36" t="n">
        <v>46177</v>
      </c>
      <c r="B2883" t="inlineStr">
        <is>
          <t>Quinta</t>
        </is>
      </c>
      <c r="C2883" t="inlineStr">
        <is>
          <t>RCE São Lucas</t>
        </is>
      </c>
      <c r="D2883" t="inlineStr">
        <is>
          <t>Fábio</t>
        </is>
      </c>
      <c r="E2883" t="inlineStr">
        <is>
          <t>Claudinei</t>
        </is>
      </c>
      <c r="F2883" t="inlineStr">
        <is>
          <t>VCA, PVs e Ligações; (PI 37 ao PI 38)</t>
        </is>
      </c>
      <c r="G2883" t="inlineStr">
        <is>
          <t>37</t>
        </is>
      </c>
      <c r="H2883" t="inlineStr">
        <is>
          <t>38</t>
        </is>
      </c>
      <c r="I2883" t="inlineStr">
        <is>
          <t>37 ao 38</t>
        </is>
      </c>
      <c r="J2883" t="inlineStr">
        <is>
          <t>VCA</t>
        </is>
      </c>
      <c r="K2883" t="inlineStr">
        <is>
          <t>Planejamento</t>
        </is>
      </c>
      <c r="L2883" t="inlineStr">
        <is>
          <t>PDS-Junho.docx</t>
        </is>
      </c>
      <c r="M2883">
        <f>IF($A2883="","",TEXT($A2883,"mmmm/yyyy"))</f>
        <v/>
      </c>
      <c r="P2883">
        <f>IFERROR(XLOOKUP($N2883,Base_Enderecos!$A:$A,Base_Enderecos!$B:$B,""),"")</f>
        <v/>
      </c>
      <c r="Q2883">
        <f>IFERROR(XLOOKUP($N2883,Base_Enderecos!$A:$A,Base_Enderecos!$C:$C,""),"")</f>
        <v/>
      </c>
      <c r="R2883">
        <f>IF(ISNUMBER(SEARCH("HDD",$F2883)),"HDD",IF(ISNUMBER(SEARCH("VCA",$F2883)),"VCA","MND"))</f>
        <v/>
      </c>
      <c r="T2883">
        <f>TEXT($A2883,"yyyy-mm")&amp;"|"&amp;$C2883&amp;"|"&amp;$I2883</f>
        <v/>
      </c>
    </row>
    <row r="2884">
      <c r="A2884" s="36" t="n">
        <v>46177</v>
      </c>
      <c r="B2884" t="inlineStr">
        <is>
          <t>Quinta</t>
        </is>
      </c>
      <c r="C2884" t="inlineStr">
        <is>
          <t>RCE São Lucas</t>
        </is>
      </c>
      <c r="D2884" t="inlineStr">
        <is>
          <t>Fábio</t>
        </is>
      </c>
      <c r="E2884" t="inlineStr">
        <is>
          <t>Miro</t>
        </is>
      </c>
      <c r="F2884" t="inlineStr">
        <is>
          <t>VCA, PVs e Ligações; (PI 32 ao PI 60)</t>
        </is>
      </c>
      <c r="G2884" t="inlineStr">
        <is>
          <t>32</t>
        </is>
      </c>
      <c r="H2884" t="inlineStr">
        <is>
          <t>60</t>
        </is>
      </c>
      <c r="I2884" t="inlineStr">
        <is>
          <t>32 ao 60</t>
        </is>
      </c>
      <c r="J2884" t="inlineStr">
        <is>
          <t>VCA</t>
        </is>
      </c>
      <c r="K2884" t="inlineStr">
        <is>
          <t>Planejamento</t>
        </is>
      </c>
      <c r="L2884" t="inlineStr">
        <is>
          <t>PDS-Junho.docx</t>
        </is>
      </c>
      <c r="M2884">
        <f>IF($A2884="","",TEXT($A2884,"mmmm/yyyy"))</f>
        <v/>
      </c>
      <c r="P2884">
        <f>IFERROR(XLOOKUP($N2884,Base_Enderecos!$A:$A,Base_Enderecos!$B:$B,""),"")</f>
        <v/>
      </c>
      <c r="Q2884">
        <f>IFERROR(XLOOKUP($N2884,Base_Enderecos!$A:$A,Base_Enderecos!$C:$C,""),"")</f>
        <v/>
      </c>
      <c r="R2884">
        <f>IF(ISNUMBER(SEARCH("HDD",$F2884)),"HDD",IF(ISNUMBER(SEARCH("VCA",$F2884)),"VCA","MND"))</f>
        <v/>
      </c>
      <c r="T2884">
        <f>TEXT($A2884,"yyyy-mm")&amp;"|"&amp;$C2884&amp;"|"&amp;$I2884</f>
        <v/>
      </c>
    </row>
    <row r="2885">
      <c r="A2885" s="36" t="n">
        <v>46177</v>
      </c>
      <c r="B2885" t="inlineStr">
        <is>
          <t>Quinta</t>
        </is>
      </c>
      <c r="C2885" t="inlineStr">
        <is>
          <t>RCE São Lucas</t>
        </is>
      </c>
      <c r="D2885" t="inlineStr">
        <is>
          <t>Fábio</t>
        </is>
      </c>
      <c r="E2885" t="inlineStr">
        <is>
          <t>Emanuel</t>
        </is>
      </c>
      <c r="F2885" t="inlineStr">
        <is>
          <t>VCA, PVs e Ligações; (PI 32 ao PI 60)</t>
        </is>
      </c>
      <c r="G2885" t="inlineStr">
        <is>
          <t>32</t>
        </is>
      </c>
      <c r="H2885" t="inlineStr">
        <is>
          <t>60</t>
        </is>
      </c>
      <c r="I2885" t="inlineStr">
        <is>
          <t>32 ao 60</t>
        </is>
      </c>
      <c r="J2885" t="inlineStr">
        <is>
          <t>VCA</t>
        </is>
      </c>
      <c r="K2885" t="inlineStr">
        <is>
          <t>Planejamento</t>
        </is>
      </c>
      <c r="L2885" t="inlineStr">
        <is>
          <t>PDS-Junho.docx</t>
        </is>
      </c>
      <c r="M2885">
        <f>IF($A2885="","",TEXT($A2885,"mmmm/yyyy"))</f>
        <v/>
      </c>
      <c r="P2885">
        <f>IFERROR(XLOOKUP($N2885,Base_Enderecos!$A:$A,Base_Enderecos!$B:$B,""),"")</f>
        <v/>
      </c>
      <c r="Q2885">
        <f>IFERROR(XLOOKUP($N2885,Base_Enderecos!$A:$A,Base_Enderecos!$C:$C,""),"")</f>
        <v/>
      </c>
      <c r="R2885">
        <f>IF(ISNUMBER(SEARCH("HDD",$F2885)),"HDD",IF(ISNUMBER(SEARCH("VCA",$F2885)),"VCA","MND"))</f>
        <v/>
      </c>
      <c r="T2885">
        <f>TEXT($A2885,"yyyy-mm")&amp;"|"&amp;$C2885&amp;"|"&amp;$I2885</f>
        <v/>
      </c>
    </row>
    <row r="2886">
      <c r="A2886" s="36" t="n">
        <v>46177</v>
      </c>
      <c r="B2886" t="inlineStr">
        <is>
          <t>Quinta</t>
        </is>
      </c>
      <c r="C2886" t="inlineStr">
        <is>
          <t>RCE Rua São João</t>
        </is>
      </c>
      <c r="D2886" t="inlineStr">
        <is>
          <t>Fábio</t>
        </is>
      </c>
      <c r="E2886" t="inlineStr">
        <is>
          <t>Antonio</t>
        </is>
      </c>
      <c r="F2886" t="inlineStr">
        <is>
          <t>VCA, PVs e Ligações; (PV 02 ao PV 04)*</t>
        </is>
      </c>
      <c r="G2886" t="inlineStr">
        <is>
          <t>02</t>
        </is>
      </c>
      <c r="H2886" t="inlineStr">
        <is>
          <t>04</t>
        </is>
      </c>
      <c r="I2886" t="inlineStr">
        <is>
          <t>02 ao 04</t>
        </is>
      </c>
      <c r="J2886" t="inlineStr">
        <is>
          <t>VCA</t>
        </is>
      </c>
      <c r="K2886" t="inlineStr">
        <is>
          <t>Planejamento</t>
        </is>
      </c>
      <c r="L2886" t="inlineStr">
        <is>
          <t>PDS-Junho.docx</t>
        </is>
      </c>
      <c r="M2886">
        <f>IF($A2886="","",TEXT($A2886,"mmmm/yyyy"))</f>
        <v/>
      </c>
      <c r="P2886">
        <f>IFERROR(XLOOKUP($N2886,Base_Enderecos!$A:$A,Base_Enderecos!$B:$B,""),"")</f>
        <v/>
      </c>
      <c r="Q2886">
        <f>IFERROR(XLOOKUP($N2886,Base_Enderecos!$A:$A,Base_Enderecos!$C:$C,""),"")</f>
        <v/>
      </c>
      <c r="R2886">
        <f>IF(ISNUMBER(SEARCH("HDD",$F2886)),"HDD",IF(ISNUMBER(SEARCH("VCA",$F2886)),"VCA","MND"))</f>
        <v/>
      </c>
      <c r="T2886">
        <f>TEXT($A2886,"yyyy-mm")&amp;"|"&amp;$C2886&amp;"|"&amp;$I2886</f>
        <v/>
      </c>
    </row>
    <row r="2887">
      <c r="A2887" s="36" t="n">
        <v>46177</v>
      </c>
      <c r="B2887" t="inlineStr">
        <is>
          <t>Quinta</t>
        </is>
      </c>
      <c r="C2887" t="inlineStr">
        <is>
          <t>CTS Lourdes Complementar</t>
        </is>
      </c>
      <c r="D2887" t="inlineStr">
        <is>
          <t>Robson</t>
        </is>
      </c>
      <c r="E2887" t="inlineStr">
        <is>
          <t>Marcelo</t>
        </is>
      </c>
      <c r="F2887" t="inlineStr">
        <is>
          <t>Transformação PV 04</t>
        </is>
      </c>
      <c r="G2887" t="inlineStr">
        <is>
          <t>04</t>
        </is>
      </c>
      <c r="I2887" t="inlineStr">
        <is>
          <t>04</t>
        </is>
      </c>
      <c r="J2887" t="inlineStr">
        <is>
          <t>Transformação</t>
        </is>
      </c>
      <c r="K2887" t="inlineStr">
        <is>
          <t>Planejamento</t>
        </is>
      </c>
      <c r="L2887" t="inlineStr">
        <is>
          <t>PDS-Junho.docx</t>
        </is>
      </c>
      <c r="M2887">
        <f>IF($A2887="","",TEXT($A2887,"mmmm/yyyy"))</f>
        <v/>
      </c>
      <c r="P2887">
        <f>IFERROR(XLOOKUP($N2887,Base_Enderecos!$A:$A,Base_Enderecos!$B:$B,""),"")</f>
        <v/>
      </c>
      <c r="Q2887">
        <f>IFERROR(XLOOKUP($N2887,Base_Enderecos!$A:$A,Base_Enderecos!$C:$C,""),"")</f>
        <v/>
      </c>
      <c r="R2887">
        <f>IF(ISNUMBER(SEARCH("HDD",$F2887)),"HDD",IF(ISNUMBER(SEARCH("VCA",$F2887)),"VCA","MND"))</f>
        <v/>
      </c>
      <c r="T2887">
        <f>TEXT($A2887,"yyyy-mm")&amp;"|"&amp;$C2887&amp;"|"&amp;$I2887</f>
        <v/>
      </c>
    </row>
    <row r="2888">
      <c r="A2888" s="36" t="n">
        <v>46177</v>
      </c>
      <c r="B2888" t="inlineStr">
        <is>
          <t>Quinta</t>
        </is>
      </c>
      <c r="C2888" t="inlineStr">
        <is>
          <t>CTS Lourdes Complementar</t>
        </is>
      </c>
      <c r="D2888" t="inlineStr">
        <is>
          <t>Robson</t>
        </is>
      </c>
      <c r="E2888" t="inlineStr">
        <is>
          <t>Marcelo</t>
        </is>
      </c>
      <c r="F2888" t="inlineStr">
        <is>
          <t>Botelho Mourão</t>
        </is>
      </c>
      <c r="J2888" t="inlineStr">
        <is>
          <t>Atividade</t>
        </is>
      </c>
      <c r="K2888" t="inlineStr">
        <is>
          <t>Planejamento</t>
        </is>
      </c>
      <c r="L2888" t="inlineStr">
        <is>
          <t>PDS-Junho.docx</t>
        </is>
      </c>
      <c r="M2888">
        <f>IF($A2888="","",TEXT($A2888,"mmmm/yyyy"))</f>
        <v/>
      </c>
      <c r="P2888">
        <f>IFERROR(XLOOKUP($N2888,Base_Enderecos!$A:$A,Base_Enderecos!$B:$B,""),"")</f>
        <v/>
      </c>
      <c r="Q2888">
        <f>IFERROR(XLOOKUP($N2888,Base_Enderecos!$A:$A,Base_Enderecos!$C:$C,""),"")</f>
        <v/>
      </c>
      <c r="R2888">
        <f>IF(ISNUMBER(SEARCH("HDD",$F2888)),"HDD",IF(ISNUMBER(SEARCH("VCA",$F2888)),"VCA","MND"))</f>
        <v/>
      </c>
      <c r="T2888">
        <f>TEXT($A2888,"yyyy-mm")&amp;"|"&amp;$C2888&amp;"|"&amp;$I2888</f>
        <v/>
      </c>
    </row>
    <row r="2889">
      <c r="A2889" s="36" t="n">
        <v>46177</v>
      </c>
      <c r="B2889" t="inlineStr">
        <is>
          <t>Quinta</t>
        </is>
      </c>
      <c r="C2889" t="inlineStr">
        <is>
          <t>CTS Lourdes Complementar</t>
        </is>
      </c>
      <c r="D2889" t="inlineStr">
        <is>
          <t>Robson</t>
        </is>
      </c>
      <c r="E2889" t="inlineStr">
        <is>
          <t>Márcio</t>
        </is>
      </c>
      <c r="F2889" t="inlineStr">
        <is>
          <t>Nivelamento BGS PV 05</t>
        </is>
      </c>
      <c r="G2889" t="inlineStr">
        <is>
          <t>05</t>
        </is>
      </c>
      <c r="I2889" t="inlineStr">
        <is>
          <t>05</t>
        </is>
      </c>
      <c r="J2889" t="inlineStr">
        <is>
          <t>Atividade</t>
        </is>
      </c>
      <c r="K2889" t="inlineStr">
        <is>
          <t>Planejamento</t>
        </is>
      </c>
      <c r="L2889" t="inlineStr">
        <is>
          <t>PDS-Junho.docx</t>
        </is>
      </c>
      <c r="M2889">
        <f>IF($A2889="","",TEXT($A2889,"mmmm/yyyy"))</f>
        <v/>
      </c>
      <c r="P2889">
        <f>IFERROR(XLOOKUP($N2889,Base_Enderecos!$A:$A,Base_Enderecos!$B:$B,""),"")</f>
        <v/>
      </c>
      <c r="Q2889">
        <f>IFERROR(XLOOKUP($N2889,Base_Enderecos!$A:$A,Base_Enderecos!$C:$C,""),"")</f>
        <v/>
      </c>
      <c r="R2889">
        <f>IF(ISNUMBER(SEARCH("HDD",$F2889)),"HDD",IF(ISNUMBER(SEARCH("VCA",$F2889)),"VCA","MND"))</f>
        <v/>
      </c>
      <c r="T2889">
        <f>TEXT($A2889,"yyyy-mm")&amp;"|"&amp;$C2889&amp;"|"&amp;$I2889</f>
        <v/>
      </c>
    </row>
    <row r="2890">
      <c r="A2890" s="36" t="n">
        <v>46177</v>
      </c>
      <c r="B2890" t="inlineStr">
        <is>
          <t>Quinta</t>
        </is>
      </c>
      <c r="C2890" t="inlineStr">
        <is>
          <t>CTS Lourdes Complementar</t>
        </is>
      </c>
      <c r="D2890" t="inlineStr">
        <is>
          <t>Robson</t>
        </is>
      </c>
      <c r="E2890" t="inlineStr">
        <is>
          <t>Márcio</t>
        </is>
      </c>
      <c r="F2890" t="inlineStr">
        <is>
          <t>SOUTO MAIOR/BENFICA - GABRIEL</t>
        </is>
      </c>
      <c r="J2890" t="inlineStr">
        <is>
          <t>Atividade</t>
        </is>
      </c>
      <c r="K2890" t="inlineStr">
        <is>
          <t>Planejamento</t>
        </is>
      </c>
      <c r="L2890" t="inlineStr">
        <is>
          <t>PDS-Junho.docx</t>
        </is>
      </c>
      <c r="M2890">
        <f>IF($A2890="","",TEXT($A2890,"mmmm/yyyy"))</f>
        <v/>
      </c>
      <c r="P2890">
        <f>IFERROR(XLOOKUP($N2890,Base_Enderecos!$A:$A,Base_Enderecos!$B:$B,""),"")</f>
        <v/>
      </c>
      <c r="Q2890">
        <f>IFERROR(XLOOKUP($N2890,Base_Enderecos!$A:$A,Base_Enderecos!$C:$C,""),"")</f>
        <v/>
      </c>
      <c r="R2890">
        <f>IF(ISNUMBER(SEARCH("HDD",$F2890)),"HDD",IF(ISNUMBER(SEARCH("VCA",$F2890)),"VCA","MND"))</f>
        <v/>
      </c>
      <c r="T2890">
        <f>TEXT($A2890,"yyyy-mm")&amp;"|"&amp;$C2890&amp;"|"&amp;$I2890</f>
        <v/>
      </c>
    </row>
    <row r="2891">
      <c r="A2891" s="36" t="n">
        <v>46177</v>
      </c>
      <c r="B2891" t="inlineStr">
        <is>
          <t>Quinta</t>
        </is>
      </c>
      <c r="C2891" t="inlineStr">
        <is>
          <t>CTS Lourdes Complementar</t>
        </is>
      </c>
      <c r="D2891" t="inlineStr">
        <is>
          <t>Robson</t>
        </is>
      </c>
      <c r="E2891" t="inlineStr">
        <is>
          <t>Cidão</t>
        </is>
      </c>
      <c r="F2891" t="inlineStr">
        <is>
          <t>Reparos Gerais</t>
        </is>
      </c>
      <c r="J2891" t="inlineStr">
        <is>
          <t>Atividade</t>
        </is>
      </c>
      <c r="K2891" t="inlineStr">
        <is>
          <t>Planejamento</t>
        </is>
      </c>
      <c r="L2891" t="inlineStr">
        <is>
          <t>PDS-Junho.docx</t>
        </is>
      </c>
      <c r="M2891">
        <f>IF($A2891="","",TEXT($A2891,"mmmm/yyyy"))</f>
        <v/>
      </c>
      <c r="P2891">
        <f>IFERROR(XLOOKUP($N2891,Base_Enderecos!$A:$A,Base_Enderecos!$B:$B,""),"")</f>
        <v/>
      </c>
      <c r="Q2891">
        <f>IFERROR(XLOOKUP($N2891,Base_Enderecos!$A:$A,Base_Enderecos!$C:$C,""),"")</f>
        <v/>
      </c>
      <c r="R2891">
        <f>IF(ISNUMBER(SEARCH("HDD",$F2891)),"HDD",IF(ISNUMBER(SEARCH("VCA",$F2891)),"VCA","MND"))</f>
        <v/>
      </c>
      <c r="T2891">
        <f>TEXT($A2891,"yyyy-mm")&amp;"|"&amp;$C2891&amp;"|"&amp;$I2891</f>
        <v/>
      </c>
    </row>
    <row r="2892">
      <c r="A2892" s="36" t="n">
        <v>46177</v>
      </c>
      <c r="B2892" t="inlineStr">
        <is>
          <t>Quinta</t>
        </is>
      </c>
      <c r="C2892" t="inlineStr">
        <is>
          <t>João Canzi</t>
        </is>
      </c>
      <c r="E2892" t="inlineStr">
        <is>
          <t>Vacal</t>
        </is>
      </c>
      <c r="F2892" t="inlineStr">
        <is>
          <t>João Canzi – Henko (Márcio)</t>
        </is>
      </c>
      <c r="J2892" t="inlineStr">
        <is>
          <t>Atividade</t>
        </is>
      </c>
      <c r="K2892" t="inlineStr">
        <is>
          <t>Apoio</t>
        </is>
      </c>
      <c r="L2892" t="inlineStr">
        <is>
          <t>PDS-Junho.docx</t>
        </is>
      </c>
      <c r="M2892">
        <f>IF($A2892="","",TEXT($A2892,"mmmm/yyyy"))</f>
        <v/>
      </c>
      <c r="P2892">
        <f>IFERROR(XLOOKUP($N2892,Base_Enderecos!$A:$A,Base_Enderecos!$B:$B,""),"")</f>
        <v/>
      </c>
      <c r="Q2892">
        <f>IFERROR(XLOOKUP($N2892,Base_Enderecos!$A:$A,Base_Enderecos!$C:$C,""),"")</f>
        <v/>
      </c>
      <c r="R2892">
        <f>IF(ISNUMBER(SEARCH("HDD",$F2892)),"HDD",IF(ISNUMBER(SEARCH("VCA",$F2892)),"VCA","MND"))</f>
        <v/>
      </c>
      <c r="T2892">
        <f>TEXT($A2892,"yyyy-mm")&amp;"|"&amp;$C2892&amp;"|"&amp;$I2892</f>
        <v/>
      </c>
    </row>
    <row r="2893">
      <c r="A2893" s="36" t="n">
        <v>46177</v>
      </c>
      <c r="B2893" t="inlineStr">
        <is>
          <t>Quinta</t>
        </is>
      </c>
      <c r="C2893" t="inlineStr">
        <is>
          <t>Iti 15</t>
        </is>
      </c>
      <c r="E2893" t="inlineStr">
        <is>
          <t>Vacal</t>
        </is>
      </c>
      <c r="F2893" t="inlineStr">
        <is>
          <t>ITI 15 – Henko (Wellington)</t>
        </is>
      </c>
      <c r="J2893" t="inlineStr">
        <is>
          <t>Atividade</t>
        </is>
      </c>
      <c r="K2893" t="inlineStr">
        <is>
          <t>Apoio</t>
        </is>
      </c>
      <c r="L2893" t="inlineStr">
        <is>
          <t>PDS-Junho.docx</t>
        </is>
      </c>
      <c r="M2893">
        <f>IF($A2893="","",TEXT($A2893,"mmmm/yyyy"))</f>
        <v/>
      </c>
      <c r="P2893">
        <f>IFERROR(XLOOKUP($N2893,Base_Enderecos!$A:$A,Base_Enderecos!$B:$B,""),"")</f>
        <v/>
      </c>
      <c r="Q2893">
        <f>IFERROR(XLOOKUP($N2893,Base_Enderecos!$A:$A,Base_Enderecos!$C:$C,""),"")</f>
        <v/>
      </c>
      <c r="R2893">
        <f>IF(ISNUMBER(SEARCH("HDD",$F2893)),"HDD",IF(ISNUMBER(SEARCH("VCA",$F2893)),"VCA","MND"))</f>
        <v/>
      </c>
      <c r="T2893">
        <f>TEXT($A2893,"yyyy-mm")&amp;"|"&amp;$C2893&amp;"|"&amp;$I2893</f>
        <v/>
      </c>
    </row>
    <row r="2894">
      <c r="A2894" s="36" t="n">
        <v>46177</v>
      </c>
      <c r="B2894" t="inlineStr">
        <is>
          <t>Quinta</t>
        </is>
      </c>
      <c r="C2894" t="inlineStr">
        <is>
          <t>CTS Lourdes Complementar</t>
        </is>
      </c>
      <c r="D2894" t="inlineStr">
        <is>
          <t>Robson</t>
        </is>
      </c>
      <c r="E2894" t="inlineStr">
        <is>
          <t>Cidão</t>
        </is>
      </c>
      <c r="F2894" t="inlineStr">
        <is>
          <t>Henko (Osmar) - Raspagem</t>
        </is>
      </c>
      <c r="J2894" t="inlineStr">
        <is>
          <t>Atividade</t>
        </is>
      </c>
      <c r="K2894" t="inlineStr">
        <is>
          <t>Planejamento</t>
        </is>
      </c>
      <c r="L2894" t="inlineStr">
        <is>
          <t>PDS-Junho.docx</t>
        </is>
      </c>
      <c r="M2894">
        <f>IF($A2894="","",TEXT($A2894,"mmmm/yyyy"))</f>
        <v/>
      </c>
      <c r="P2894">
        <f>IFERROR(XLOOKUP($N2894,Base_Enderecos!$A:$A,Base_Enderecos!$B:$B,""),"")</f>
        <v/>
      </c>
      <c r="Q2894">
        <f>IFERROR(XLOOKUP($N2894,Base_Enderecos!$A:$A,Base_Enderecos!$C:$C,""),"")</f>
        <v/>
      </c>
      <c r="R2894">
        <f>IF(ISNUMBER(SEARCH("HDD",$F2894)),"HDD",IF(ISNUMBER(SEARCH("VCA",$F2894)),"VCA","MND"))</f>
        <v/>
      </c>
      <c r="T2894">
        <f>TEXT($A2894,"yyyy-mm")&amp;"|"&amp;$C2894&amp;"|"&amp;$I2894</f>
        <v/>
      </c>
    </row>
    <row r="2895">
      <c r="A2895" s="36" t="n">
        <v>46177</v>
      </c>
      <c r="B2895" t="inlineStr">
        <is>
          <t>Quinta</t>
        </is>
      </c>
      <c r="C2895" t="inlineStr">
        <is>
          <t>Guindauto</t>
        </is>
      </c>
      <c r="E2895" t="inlineStr">
        <is>
          <t>Guindauto</t>
        </is>
      </c>
      <c r="F2895" t="inlineStr">
        <is>
          <t>Marcio - Apoio as equipes</t>
        </is>
      </c>
      <c r="J2895" t="inlineStr">
        <is>
          <t>Atividade</t>
        </is>
      </c>
      <c r="K2895" t="inlineStr">
        <is>
          <t>Apoio</t>
        </is>
      </c>
      <c r="L2895" t="inlineStr">
        <is>
          <t>PDS-Junho.docx</t>
        </is>
      </c>
      <c r="M2895">
        <f>IF($A2895="","",TEXT($A2895,"mmmm/yyyy"))</f>
        <v/>
      </c>
      <c r="P2895">
        <f>IFERROR(XLOOKUP($N2895,Base_Enderecos!$A:$A,Base_Enderecos!$B:$B,""),"")</f>
        <v/>
      </c>
      <c r="Q2895">
        <f>IFERROR(XLOOKUP($N2895,Base_Enderecos!$A:$A,Base_Enderecos!$C:$C,""),"")</f>
        <v/>
      </c>
      <c r="R2895">
        <f>IF(ISNUMBER(SEARCH("HDD",$F2895)),"HDD",IF(ISNUMBER(SEARCH("VCA",$F2895)),"VCA","MND"))</f>
        <v/>
      </c>
      <c r="T2895">
        <f>TEXT($A2895,"yyyy-mm")&amp;"|"&amp;$C2895&amp;"|"&amp;$I2895</f>
        <v/>
      </c>
    </row>
    <row r="2896">
      <c r="A2896" s="36" t="n">
        <v>46177</v>
      </c>
      <c r="B2896" t="inlineStr">
        <is>
          <t>Quinta</t>
        </is>
      </c>
      <c r="C2896" t="inlineStr">
        <is>
          <t>Guindauto</t>
        </is>
      </c>
      <c r="E2896" t="inlineStr">
        <is>
          <t>Guindauto</t>
        </is>
      </c>
      <c r="F2896" t="inlineStr">
        <is>
          <t>Luiz - Apoio as equipes</t>
        </is>
      </c>
      <c r="J2896" t="inlineStr">
        <is>
          <t>Atividade</t>
        </is>
      </c>
      <c r="K2896" t="inlineStr">
        <is>
          <t>Apoio</t>
        </is>
      </c>
      <c r="L2896" t="inlineStr">
        <is>
          <t>PDS-Junho.docx</t>
        </is>
      </c>
      <c r="M2896">
        <f>IF($A2896="","",TEXT($A2896,"mmmm/yyyy"))</f>
        <v/>
      </c>
      <c r="P2896">
        <f>IFERROR(XLOOKUP($N2896,Base_Enderecos!$A:$A,Base_Enderecos!$B:$B,""),"")</f>
        <v/>
      </c>
      <c r="Q2896">
        <f>IFERROR(XLOOKUP($N2896,Base_Enderecos!$A:$A,Base_Enderecos!$C:$C,""),"")</f>
        <v/>
      </c>
      <c r="R2896">
        <f>IF(ISNUMBER(SEARCH("HDD",$F2896)),"HDD",IF(ISNUMBER(SEARCH("VCA",$F2896)),"VCA","MND"))</f>
        <v/>
      </c>
      <c r="T2896">
        <f>TEXT($A2896,"yyyy-mm")&amp;"|"&amp;$C2896&amp;"|"&amp;$I2896</f>
        <v/>
      </c>
    </row>
    <row r="2897">
      <c r="A2897" s="36" t="n">
        <v>46178</v>
      </c>
      <c r="B2897" t="inlineStr">
        <is>
          <t>Sexta</t>
        </is>
      </c>
      <c r="C2897" t="inlineStr">
        <is>
          <t>CT João Canzi</t>
        </is>
      </c>
      <c r="D2897" t="inlineStr">
        <is>
          <t>Valmir</t>
        </is>
      </c>
      <c r="E2897" t="inlineStr">
        <is>
          <t>Goiânia Drill</t>
        </is>
      </c>
      <c r="F2897" t="inlineStr">
        <is>
          <t>Puxe do PV-17 ao PV-18</t>
        </is>
      </c>
      <c r="G2897" t="inlineStr">
        <is>
          <t>17</t>
        </is>
      </c>
      <c r="H2897" t="inlineStr">
        <is>
          <t>18</t>
        </is>
      </c>
      <c r="I2897" t="inlineStr">
        <is>
          <t>17 ao 18</t>
        </is>
      </c>
      <c r="J2897" t="inlineStr">
        <is>
          <t>HDD</t>
        </is>
      </c>
      <c r="K2897" t="inlineStr">
        <is>
          <t>Planejamento</t>
        </is>
      </c>
      <c r="L2897" t="inlineStr">
        <is>
          <t>PDS-Junho.docx</t>
        </is>
      </c>
      <c r="M2897">
        <f>IF($A2897="","",TEXT($A2897,"mmmm/yyyy"))</f>
        <v/>
      </c>
      <c r="P2897">
        <f>IFERROR(XLOOKUP($N2897,Base_Enderecos!$A:$A,Base_Enderecos!$B:$B,""),"")</f>
        <v/>
      </c>
      <c r="Q2897">
        <f>IFERROR(XLOOKUP($N2897,Base_Enderecos!$A:$A,Base_Enderecos!$C:$C,""),"")</f>
        <v/>
      </c>
      <c r="R2897">
        <f>IF(ISNUMBER(SEARCH("HDD",$F2897)),"HDD",IF(ISNUMBER(SEARCH("VCA",$F2897)),"VCA","MND"))</f>
        <v/>
      </c>
      <c r="T2897">
        <f>TEXT($A2897,"yyyy-mm")&amp;"|"&amp;$C2897&amp;"|"&amp;$I2897</f>
        <v/>
      </c>
    </row>
    <row r="2898">
      <c r="A2898" s="36" t="n">
        <v>46178</v>
      </c>
      <c r="B2898" t="inlineStr">
        <is>
          <t>Sexta</t>
        </is>
      </c>
      <c r="C2898" t="inlineStr">
        <is>
          <t>CT João Canzi</t>
        </is>
      </c>
      <c r="D2898" t="inlineStr">
        <is>
          <t>Valmir</t>
        </is>
      </c>
      <c r="E2898" t="inlineStr">
        <is>
          <t>Bruno</t>
        </is>
      </c>
      <c r="F2898" t="inlineStr">
        <is>
          <t>Apoio ao HDD</t>
        </is>
      </c>
      <c r="J2898" t="inlineStr">
        <is>
          <t>HDD</t>
        </is>
      </c>
      <c r="K2898" t="inlineStr">
        <is>
          <t>Planejamento</t>
        </is>
      </c>
      <c r="L2898" t="inlineStr">
        <is>
          <t>PDS-Junho.docx</t>
        </is>
      </c>
      <c r="M2898">
        <f>IF($A2898="","",TEXT($A2898,"mmmm/yyyy"))</f>
        <v/>
      </c>
      <c r="P2898">
        <f>IFERROR(XLOOKUP($N2898,Base_Enderecos!$A:$A,Base_Enderecos!$B:$B,""),"")</f>
        <v/>
      </c>
      <c r="Q2898">
        <f>IFERROR(XLOOKUP($N2898,Base_Enderecos!$A:$A,Base_Enderecos!$C:$C,""),"")</f>
        <v/>
      </c>
      <c r="R2898">
        <f>IF(ISNUMBER(SEARCH("HDD",$F2898)),"HDD",IF(ISNUMBER(SEARCH("VCA",$F2898)),"VCA","MND"))</f>
        <v/>
      </c>
      <c r="T2898">
        <f>TEXT($A2898,"yyyy-mm")&amp;"|"&amp;$C2898&amp;"|"&amp;$I2898</f>
        <v/>
      </c>
    </row>
    <row r="2899">
      <c r="A2899" s="36" t="n">
        <v>46178</v>
      </c>
      <c r="B2899" t="inlineStr">
        <is>
          <t>Sexta</t>
        </is>
      </c>
      <c r="C2899" t="inlineStr">
        <is>
          <t>CT João Canzi</t>
        </is>
      </c>
      <c r="D2899" t="inlineStr">
        <is>
          <t>Valmir</t>
        </is>
      </c>
      <c r="E2899" t="inlineStr">
        <is>
          <t>Medeiros</t>
        </is>
      </c>
      <c r="F2899" t="inlineStr">
        <is>
          <t>Shaft PV 10.1</t>
        </is>
      </c>
      <c r="G2899" t="inlineStr">
        <is>
          <t>10.1</t>
        </is>
      </c>
      <c r="I2899" t="inlineStr">
        <is>
          <t>10.1</t>
        </is>
      </c>
      <c r="J2899" t="inlineStr">
        <is>
          <t>Shaft</t>
        </is>
      </c>
      <c r="K2899" t="inlineStr">
        <is>
          <t>Planejamento</t>
        </is>
      </c>
      <c r="L2899" t="inlineStr">
        <is>
          <t>PDS-Junho.docx</t>
        </is>
      </c>
      <c r="M2899">
        <f>IF($A2899="","",TEXT($A2899,"mmmm/yyyy"))</f>
        <v/>
      </c>
      <c r="P2899">
        <f>IFERROR(XLOOKUP($N2899,Base_Enderecos!$A:$A,Base_Enderecos!$B:$B,""),"")</f>
        <v/>
      </c>
      <c r="Q2899">
        <f>IFERROR(XLOOKUP($N2899,Base_Enderecos!$A:$A,Base_Enderecos!$C:$C,""),"")</f>
        <v/>
      </c>
      <c r="R2899">
        <f>IF(ISNUMBER(SEARCH("HDD",$F2899)),"HDD",IF(ISNUMBER(SEARCH("VCA",$F2899)),"VCA","MND"))</f>
        <v/>
      </c>
      <c r="T2899">
        <f>TEXT($A2899,"yyyy-mm")&amp;"|"&amp;$C2899&amp;"|"&amp;$I2899</f>
        <v/>
      </c>
    </row>
    <row r="2900">
      <c r="A2900" s="36" t="n">
        <v>46178</v>
      </c>
      <c r="B2900" t="inlineStr">
        <is>
          <t>Sexta</t>
        </is>
      </c>
      <c r="C2900" t="inlineStr">
        <is>
          <t>CT João Canzi</t>
        </is>
      </c>
      <c r="D2900" t="inlineStr">
        <is>
          <t>Valmir</t>
        </is>
      </c>
      <c r="E2900" t="inlineStr">
        <is>
          <t>Cesar</t>
        </is>
      </c>
      <c r="F2900" t="inlineStr">
        <is>
          <t>Transformação PV 16</t>
        </is>
      </c>
      <c r="G2900" t="inlineStr">
        <is>
          <t>16</t>
        </is>
      </c>
      <c r="I2900" t="inlineStr">
        <is>
          <t>16</t>
        </is>
      </c>
      <c r="J2900" t="inlineStr">
        <is>
          <t>Transformação</t>
        </is>
      </c>
      <c r="K2900" t="inlineStr">
        <is>
          <t>Planejamento</t>
        </is>
      </c>
      <c r="L2900" t="inlineStr">
        <is>
          <t>PDS-Junho.docx</t>
        </is>
      </c>
      <c r="M2900">
        <f>IF($A2900="","",TEXT($A2900,"mmmm/yyyy"))</f>
        <v/>
      </c>
      <c r="P2900">
        <f>IFERROR(XLOOKUP($N2900,Base_Enderecos!$A:$A,Base_Enderecos!$B:$B,""),"")</f>
        <v/>
      </c>
      <c r="Q2900">
        <f>IFERROR(XLOOKUP($N2900,Base_Enderecos!$A:$A,Base_Enderecos!$C:$C,""),"")</f>
        <v/>
      </c>
      <c r="R2900">
        <f>IF(ISNUMBER(SEARCH("HDD",$F2900)),"HDD",IF(ISNUMBER(SEARCH("VCA",$F2900)),"VCA","MND"))</f>
        <v/>
      </c>
      <c r="T2900">
        <f>TEXT($A2900,"yyyy-mm")&amp;"|"&amp;$C2900&amp;"|"&amp;$I2900</f>
        <v/>
      </c>
    </row>
    <row r="2901">
      <c r="A2901" s="36" t="n">
        <v>46178</v>
      </c>
      <c r="B2901" t="inlineStr">
        <is>
          <t>Sexta</t>
        </is>
      </c>
      <c r="C2901" t="inlineStr">
        <is>
          <t>RCE Elvira</t>
        </is>
      </c>
      <c r="D2901" t="inlineStr">
        <is>
          <t>Silvestre</t>
        </is>
      </c>
      <c r="E2901" t="inlineStr">
        <is>
          <t>Valter</t>
        </is>
      </c>
      <c r="F2901" t="inlineStr">
        <is>
          <t>VCA, PVs e Ligações</t>
        </is>
      </c>
      <c r="J2901" t="inlineStr">
        <is>
          <t>VCA</t>
        </is>
      </c>
      <c r="K2901" t="inlineStr">
        <is>
          <t>Planejamento</t>
        </is>
      </c>
      <c r="L2901" t="inlineStr">
        <is>
          <t>PDS-Junho.docx</t>
        </is>
      </c>
      <c r="M2901">
        <f>IF($A2901="","",TEXT($A2901,"mmmm/yyyy"))</f>
        <v/>
      </c>
      <c r="P2901">
        <f>IFERROR(XLOOKUP($N2901,Base_Enderecos!$A:$A,Base_Enderecos!$B:$B,""),"")</f>
        <v/>
      </c>
      <c r="Q2901">
        <f>IFERROR(XLOOKUP($N2901,Base_Enderecos!$A:$A,Base_Enderecos!$C:$C,""),"")</f>
        <v/>
      </c>
      <c r="R2901">
        <f>IF(ISNUMBER(SEARCH("HDD",$F2901)),"HDD",IF(ISNUMBER(SEARCH("VCA",$F2901)),"VCA","MND"))</f>
        <v/>
      </c>
      <c r="T2901">
        <f>TEXT($A2901,"yyyy-mm")&amp;"|"&amp;$C2901&amp;"|"&amp;$I2901</f>
        <v/>
      </c>
    </row>
    <row r="2902">
      <c r="A2902" s="36" t="n">
        <v>46178</v>
      </c>
      <c r="B2902" t="inlineStr">
        <is>
          <t>Sexta</t>
        </is>
      </c>
      <c r="C2902" t="inlineStr">
        <is>
          <t>RCE Conj. União</t>
        </is>
      </c>
      <c r="D2902" t="inlineStr">
        <is>
          <t>Silvestre</t>
        </is>
      </c>
      <c r="E2902" t="inlineStr">
        <is>
          <t>Jonathan</t>
        </is>
      </c>
      <c r="F2902" t="inlineStr">
        <is>
          <t>Transformação PV 40.1</t>
        </is>
      </c>
      <c r="G2902" t="inlineStr">
        <is>
          <t>40.1</t>
        </is>
      </c>
      <c r="I2902" t="inlineStr">
        <is>
          <t>40.1</t>
        </is>
      </c>
      <c r="J2902" t="inlineStr">
        <is>
          <t>Transformação</t>
        </is>
      </c>
      <c r="K2902" t="inlineStr">
        <is>
          <t>Planejamento</t>
        </is>
      </c>
      <c r="L2902" t="inlineStr">
        <is>
          <t>PDS-Junho.docx</t>
        </is>
      </c>
      <c r="M2902">
        <f>IF($A2902="","",TEXT($A2902,"mmmm/yyyy"))</f>
        <v/>
      </c>
      <c r="P2902">
        <f>IFERROR(XLOOKUP($N2902,Base_Enderecos!$A:$A,Base_Enderecos!$B:$B,""),"")</f>
        <v/>
      </c>
      <c r="Q2902">
        <f>IFERROR(XLOOKUP($N2902,Base_Enderecos!$A:$A,Base_Enderecos!$C:$C,""),"")</f>
        <v/>
      </c>
      <c r="R2902">
        <f>IF(ISNUMBER(SEARCH("HDD",$F2902)),"HDD",IF(ISNUMBER(SEARCH("VCA",$F2902)),"VCA","MND"))</f>
        <v/>
      </c>
      <c r="T2902">
        <f>TEXT($A2902,"yyyy-mm")&amp;"|"&amp;$C2902&amp;"|"&amp;$I2902</f>
        <v/>
      </c>
    </row>
    <row r="2903">
      <c r="A2903" s="36" t="n">
        <v>46178</v>
      </c>
      <c r="B2903" t="inlineStr">
        <is>
          <t>Sexta</t>
        </is>
      </c>
      <c r="C2903" t="inlineStr">
        <is>
          <t>RCE Elias Sleiman / CT João Canzi</t>
        </is>
      </c>
      <c r="D2903" t="inlineStr">
        <is>
          <t>Silvestre</t>
        </is>
      </c>
      <c r="E2903" t="inlineStr">
        <is>
          <t>Edvando</t>
        </is>
      </c>
      <c r="F2903" t="inlineStr">
        <is>
          <t>VCA + interl PV 17 ao PV 22</t>
        </is>
      </c>
      <c r="G2903" t="inlineStr">
        <is>
          <t>17</t>
        </is>
      </c>
      <c r="H2903" t="inlineStr">
        <is>
          <t>22</t>
        </is>
      </c>
      <c r="I2903" t="inlineStr">
        <is>
          <t>17 ao 22</t>
        </is>
      </c>
      <c r="J2903" t="inlineStr">
        <is>
          <t>VCA</t>
        </is>
      </c>
      <c r="K2903" t="inlineStr">
        <is>
          <t>Planejamento</t>
        </is>
      </c>
      <c r="L2903" t="inlineStr">
        <is>
          <t>PDS-Junho.docx</t>
        </is>
      </c>
      <c r="M2903">
        <f>IF($A2903="","",TEXT($A2903,"mmmm/yyyy"))</f>
        <v/>
      </c>
      <c r="P2903">
        <f>IFERROR(XLOOKUP($N2903,Base_Enderecos!$A:$A,Base_Enderecos!$B:$B,""),"")</f>
        <v/>
      </c>
      <c r="Q2903">
        <f>IFERROR(XLOOKUP($N2903,Base_Enderecos!$A:$A,Base_Enderecos!$C:$C,""),"")</f>
        <v/>
      </c>
      <c r="R2903">
        <f>IF(ISNUMBER(SEARCH("HDD",$F2903)),"HDD",IF(ISNUMBER(SEARCH("VCA",$F2903)),"VCA","MND"))</f>
        <v/>
      </c>
      <c r="T2903">
        <f>TEXT($A2903,"yyyy-mm")&amp;"|"&amp;$C2903&amp;"|"&amp;$I2903</f>
        <v/>
      </c>
    </row>
    <row r="2904">
      <c r="A2904" s="36" t="n">
        <v>46178</v>
      </c>
      <c r="B2904" t="inlineStr">
        <is>
          <t>Sexta</t>
        </is>
      </c>
      <c r="C2904" t="inlineStr">
        <is>
          <t>RCE São Lucas</t>
        </is>
      </c>
      <c r="D2904" t="inlineStr">
        <is>
          <t>Fábio</t>
        </is>
      </c>
      <c r="E2904" t="inlineStr">
        <is>
          <t>Ricardo</t>
        </is>
      </c>
      <c r="F2904" t="inlineStr">
        <is>
          <t>VCA, PVs e Ligações; (PI 08 ao PI 09)</t>
        </is>
      </c>
      <c r="G2904" t="inlineStr">
        <is>
          <t>08</t>
        </is>
      </c>
      <c r="H2904" t="inlineStr">
        <is>
          <t>09</t>
        </is>
      </c>
      <c r="I2904" t="inlineStr">
        <is>
          <t>08 ao 09</t>
        </is>
      </c>
      <c r="J2904" t="inlineStr">
        <is>
          <t>VCA</t>
        </is>
      </c>
      <c r="K2904" t="inlineStr">
        <is>
          <t>Planejamento</t>
        </is>
      </c>
      <c r="L2904" t="inlineStr">
        <is>
          <t>PDS-Junho.docx</t>
        </is>
      </c>
      <c r="M2904">
        <f>IF($A2904="","",TEXT($A2904,"mmmm/yyyy"))</f>
        <v/>
      </c>
      <c r="P2904">
        <f>IFERROR(XLOOKUP($N2904,Base_Enderecos!$A:$A,Base_Enderecos!$B:$B,""),"")</f>
        <v/>
      </c>
      <c r="Q2904">
        <f>IFERROR(XLOOKUP($N2904,Base_Enderecos!$A:$A,Base_Enderecos!$C:$C,""),"")</f>
        <v/>
      </c>
      <c r="R2904">
        <f>IF(ISNUMBER(SEARCH("HDD",$F2904)),"HDD",IF(ISNUMBER(SEARCH("VCA",$F2904)),"VCA","MND"))</f>
        <v/>
      </c>
      <c r="T2904">
        <f>TEXT($A2904,"yyyy-mm")&amp;"|"&amp;$C2904&amp;"|"&amp;$I2904</f>
        <v/>
      </c>
    </row>
    <row r="2905">
      <c r="A2905" s="36" t="n">
        <v>46178</v>
      </c>
      <c r="B2905" t="inlineStr">
        <is>
          <t>Sexta</t>
        </is>
      </c>
      <c r="C2905" t="inlineStr">
        <is>
          <t>RCE São Lucas</t>
        </is>
      </c>
      <c r="D2905" t="inlineStr">
        <is>
          <t>Fábio</t>
        </is>
      </c>
      <c r="E2905" t="inlineStr">
        <is>
          <t>Claudinei</t>
        </is>
      </c>
      <c r="F2905" t="inlineStr">
        <is>
          <t>VCA, PVs e Ligações; (PI 37 ao PI 38)</t>
        </is>
      </c>
      <c r="G2905" t="inlineStr">
        <is>
          <t>37</t>
        </is>
      </c>
      <c r="H2905" t="inlineStr">
        <is>
          <t>38</t>
        </is>
      </c>
      <c r="I2905" t="inlineStr">
        <is>
          <t>37 ao 38</t>
        </is>
      </c>
      <c r="J2905" t="inlineStr">
        <is>
          <t>VCA</t>
        </is>
      </c>
      <c r="K2905" t="inlineStr">
        <is>
          <t>Planejamento</t>
        </is>
      </c>
      <c r="L2905" t="inlineStr">
        <is>
          <t>PDS-Junho.docx</t>
        </is>
      </c>
      <c r="M2905">
        <f>IF($A2905="","",TEXT($A2905,"mmmm/yyyy"))</f>
        <v/>
      </c>
      <c r="P2905">
        <f>IFERROR(XLOOKUP($N2905,Base_Enderecos!$A:$A,Base_Enderecos!$B:$B,""),"")</f>
        <v/>
      </c>
      <c r="Q2905">
        <f>IFERROR(XLOOKUP($N2905,Base_Enderecos!$A:$A,Base_Enderecos!$C:$C,""),"")</f>
        <v/>
      </c>
      <c r="R2905">
        <f>IF(ISNUMBER(SEARCH("HDD",$F2905)),"HDD",IF(ISNUMBER(SEARCH("VCA",$F2905)),"VCA","MND"))</f>
        <v/>
      </c>
      <c r="T2905">
        <f>TEXT($A2905,"yyyy-mm")&amp;"|"&amp;$C2905&amp;"|"&amp;$I2905</f>
        <v/>
      </c>
    </row>
    <row r="2906">
      <c r="A2906" s="36" t="n">
        <v>46178</v>
      </c>
      <c r="B2906" t="inlineStr">
        <is>
          <t>Sexta</t>
        </is>
      </c>
      <c r="C2906" t="inlineStr">
        <is>
          <t>RCE São Lucas</t>
        </is>
      </c>
      <c r="D2906" t="inlineStr">
        <is>
          <t>Fábio</t>
        </is>
      </c>
      <c r="E2906" t="inlineStr">
        <is>
          <t>Miro</t>
        </is>
      </c>
      <c r="F2906" t="inlineStr">
        <is>
          <t>VCA, PVs e Ligações; (PI 32 ao PI 60)</t>
        </is>
      </c>
      <c r="G2906" t="inlineStr">
        <is>
          <t>32</t>
        </is>
      </c>
      <c r="H2906" t="inlineStr">
        <is>
          <t>60</t>
        </is>
      </c>
      <c r="I2906" t="inlineStr">
        <is>
          <t>32 ao 60</t>
        </is>
      </c>
      <c r="J2906" t="inlineStr">
        <is>
          <t>VCA</t>
        </is>
      </c>
      <c r="K2906" t="inlineStr">
        <is>
          <t>Planejamento</t>
        </is>
      </c>
      <c r="L2906" t="inlineStr">
        <is>
          <t>PDS-Junho.docx</t>
        </is>
      </c>
      <c r="M2906">
        <f>IF($A2906="","",TEXT($A2906,"mmmm/yyyy"))</f>
        <v/>
      </c>
      <c r="P2906">
        <f>IFERROR(XLOOKUP($N2906,Base_Enderecos!$A:$A,Base_Enderecos!$B:$B,""),"")</f>
        <v/>
      </c>
      <c r="Q2906">
        <f>IFERROR(XLOOKUP($N2906,Base_Enderecos!$A:$A,Base_Enderecos!$C:$C,""),"")</f>
        <v/>
      </c>
      <c r="R2906">
        <f>IF(ISNUMBER(SEARCH("HDD",$F2906)),"HDD",IF(ISNUMBER(SEARCH("VCA",$F2906)),"VCA","MND"))</f>
        <v/>
      </c>
      <c r="T2906">
        <f>TEXT($A2906,"yyyy-mm")&amp;"|"&amp;$C2906&amp;"|"&amp;$I2906</f>
        <v/>
      </c>
    </row>
    <row r="2907">
      <c r="A2907" s="36" t="n">
        <v>46178</v>
      </c>
      <c r="B2907" t="inlineStr">
        <is>
          <t>Sexta</t>
        </is>
      </c>
      <c r="C2907" t="inlineStr">
        <is>
          <t>RCE São Lucas</t>
        </is>
      </c>
      <c r="D2907" t="inlineStr">
        <is>
          <t>Fábio</t>
        </is>
      </c>
      <c r="E2907" t="inlineStr">
        <is>
          <t>Emanuel</t>
        </is>
      </c>
      <c r="F2907" t="inlineStr">
        <is>
          <t>VCA, PVs e Ligações; (PI 25 ao PI 26)</t>
        </is>
      </c>
      <c r="G2907" t="inlineStr">
        <is>
          <t>25</t>
        </is>
      </c>
      <c r="H2907" t="inlineStr">
        <is>
          <t>26</t>
        </is>
      </c>
      <c r="I2907" t="inlineStr">
        <is>
          <t>25 ao 26</t>
        </is>
      </c>
      <c r="J2907" t="inlineStr">
        <is>
          <t>VCA</t>
        </is>
      </c>
      <c r="K2907" t="inlineStr">
        <is>
          <t>Planejamento</t>
        </is>
      </c>
      <c r="L2907" t="inlineStr">
        <is>
          <t>PDS-Junho.docx</t>
        </is>
      </c>
      <c r="M2907">
        <f>IF($A2907="","",TEXT($A2907,"mmmm/yyyy"))</f>
        <v/>
      </c>
      <c r="P2907">
        <f>IFERROR(XLOOKUP($N2907,Base_Enderecos!$A:$A,Base_Enderecos!$B:$B,""),"")</f>
        <v/>
      </c>
      <c r="Q2907">
        <f>IFERROR(XLOOKUP($N2907,Base_Enderecos!$A:$A,Base_Enderecos!$C:$C,""),"")</f>
        <v/>
      </c>
      <c r="R2907">
        <f>IF(ISNUMBER(SEARCH("HDD",$F2907)),"HDD",IF(ISNUMBER(SEARCH("VCA",$F2907)),"VCA","MND"))</f>
        <v/>
      </c>
      <c r="T2907">
        <f>TEXT($A2907,"yyyy-mm")&amp;"|"&amp;$C2907&amp;"|"&amp;$I2907</f>
        <v/>
      </c>
    </row>
    <row r="2908">
      <c r="A2908" s="36" t="n">
        <v>46178</v>
      </c>
      <c r="B2908" t="inlineStr">
        <is>
          <t>Sexta</t>
        </is>
      </c>
      <c r="C2908" t="inlineStr">
        <is>
          <t>RCE São Lucas</t>
        </is>
      </c>
      <c r="D2908" t="inlineStr">
        <is>
          <t>Fábio</t>
        </is>
      </c>
      <c r="E2908" t="inlineStr">
        <is>
          <t>Antonio</t>
        </is>
      </c>
      <c r="F2908" t="inlineStr">
        <is>
          <t>VCA, PVs e Ligações; (Início Ponto 04)*</t>
        </is>
      </c>
      <c r="J2908" t="inlineStr">
        <is>
          <t>VCA</t>
        </is>
      </c>
      <c r="K2908" t="inlineStr">
        <is>
          <t>Planejamento</t>
        </is>
      </c>
      <c r="L2908" t="inlineStr">
        <is>
          <t>PDS-Junho.docx</t>
        </is>
      </c>
      <c r="M2908">
        <f>IF($A2908="","",TEXT($A2908,"mmmm/yyyy"))</f>
        <v/>
      </c>
      <c r="P2908">
        <f>IFERROR(XLOOKUP($N2908,Base_Enderecos!$A:$A,Base_Enderecos!$B:$B,""),"")</f>
        <v/>
      </c>
      <c r="Q2908">
        <f>IFERROR(XLOOKUP($N2908,Base_Enderecos!$A:$A,Base_Enderecos!$C:$C,""),"")</f>
        <v/>
      </c>
      <c r="R2908">
        <f>IF(ISNUMBER(SEARCH("HDD",$F2908)),"HDD",IF(ISNUMBER(SEARCH("VCA",$F2908)),"VCA","MND"))</f>
        <v/>
      </c>
      <c r="T2908">
        <f>TEXT($A2908,"yyyy-mm")&amp;"|"&amp;$C2908&amp;"|"&amp;$I2908</f>
        <v/>
      </c>
    </row>
    <row r="2909">
      <c r="A2909" s="36" t="n">
        <v>46178</v>
      </c>
      <c r="B2909" t="inlineStr">
        <is>
          <t>Sexta</t>
        </is>
      </c>
      <c r="C2909" t="inlineStr">
        <is>
          <t>CTS Lourdes Complementar</t>
        </is>
      </c>
      <c r="D2909" t="inlineStr">
        <is>
          <t>Robson</t>
        </is>
      </c>
      <c r="E2909" t="inlineStr">
        <is>
          <t>Marcelo</t>
        </is>
      </c>
      <c r="F2909" t="inlineStr">
        <is>
          <t>Transformação PV 04</t>
        </is>
      </c>
      <c r="G2909" t="inlineStr">
        <is>
          <t>04</t>
        </is>
      </c>
      <c r="I2909" t="inlineStr">
        <is>
          <t>04</t>
        </is>
      </c>
      <c r="J2909" t="inlineStr">
        <is>
          <t>Transformação</t>
        </is>
      </c>
      <c r="K2909" t="inlineStr">
        <is>
          <t>Planejamento</t>
        </is>
      </c>
      <c r="L2909" t="inlineStr">
        <is>
          <t>PDS-Junho.docx</t>
        </is>
      </c>
      <c r="M2909">
        <f>IF($A2909="","",TEXT($A2909,"mmmm/yyyy"))</f>
        <v/>
      </c>
      <c r="P2909">
        <f>IFERROR(XLOOKUP($N2909,Base_Enderecos!$A:$A,Base_Enderecos!$B:$B,""),"")</f>
        <v/>
      </c>
      <c r="Q2909">
        <f>IFERROR(XLOOKUP($N2909,Base_Enderecos!$A:$A,Base_Enderecos!$C:$C,""),"")</f>
        <v/>
      </c>
      <c r="R2909">
        <f>IF(ISNUMBER(SEARCH("HDD",$F2909)),"HDD",IF(ISNUMBER(SEARCH("VCA",$F2909)),"VCA","MND"))</f>
        <v/>
      </c>
      <c r="T2909">
        <f>TEXT($A2909,"yyyy-mm")&amp;"|"&amp;$C2909&amp;"|"&amp;$I2909</f>
        <v/>
      </c>
    </row>
    <row r="2910">
      <c r="A2910" s="36" t="n">
        <v>46178</v>
      </c>
      <c r="B2910" t="inlineStr">
        <is>
          <t>Sexta</t>
        </is>
      </c>
      <c r="C2910" t="inlineStr">
        <is>
          <t>CTS Lourdes Complementar</t>
        </is>
      </c>
      <c r="D2910" t="inlineStr">
        <is>
          <t>Robson</t>
        </is>
      </c>
      <c r="E2910" t="inlineStr">
        <is>
          <t>Márcio</t>
        </is>
      </c>
      <c r="F2910" t="inlineStr">
        <is>
          <t>Shaft PV 05</t>
        </is>
      </c>
      <c r="G2910" t="inlineStr">
        <is>
          <t>05</t>
        </is>
      </c>
      <c r="I2910" t="inlineStr">
        <is>
          <t>05</t>
        </is>
      </c>
      <c r="J2910" t="inlineStr">
        <is>
          <t>Shaft</t>
        </is>
      </c>
      <c r="K2910" t="inlineStr">
        <is>
          <t>Planejamento</t>
        </is>
      </c>
      <c r="L2910" t="inlineStr">
        <is>
          <t>PDS-Junho.docx</t>
        </is>
      </c>
      <c r="M2910">
        <f>IF($A2910="","",TEXT($A2910,"mmmm/yyyy"))</f>
        <v/>
      </c>
      <c r="P2910">
        <f>IFERROR(XLOOKUP($N2910,Base_Enderecos!$A:$A,Base_Enderecos!$B:$B,""),"")</f>
        <v/>
      </c>
      <c r="Q2910">
        <f>IFERROR(XLOOKUP($N2910,Base_Enderecos!$A:$A,Base_Enderecos!$C:$C,""),"")</f>
        <v/>
      </c>
      <c r="R2910">
        <f>IF(ISNUMBER(SEARCH("HDD",$F2910)),"HDD",IF(ISNUMBER(SEARCH("VCA",$F2910)),"VCA","MND"))</f>
        <v/>
      </c>
      <c r="T2910">
        <f>TEXT($A2910,"yyyy-mm")&amp;"|"&amp;$C2910&amp;"|"&amp;$I2910</f>
        <v/>
      </c>
    </row>
    <row r="2911">
      <c r="A2911" s="36" t="n">
        <v>46178</v>
      </c>
      <c r="B2911" t="inlineStr">
        <is>
          <t>Sexta</t>
        </is>
      </c>
      <c r="C2911" t="inlineStr">
        <is>
          <t>CTS Lourdes Complementar</t>
        </is>
      </c>
      <c r="D2911" t="inlineStr">
        <is>
          <t>Robson</t>
        </is>
      </c>
      <c r="E2911" t="inlineStr">
        <is>
          <t>Márcio</t>
        </is>
      </c>
      <c r="F2911" t="inlineStr">
        <is>
          <t>Mar de Coral/BENFICA - GABRIEL</t>
        </is>
      </c>
      <c r="J2911" t="inlineStr">
        <is>
          <t>Atividade</t>
        </is>
      </c>
      <c r="K2911" t="inlineStr">
        <is>
          <t>Planejamento</t>
        </is>
      </c>
      <c r="L2911" t="inlineStr">
        <is>
          <t>PDS-Junho.docx</t>
        </is>
      </c>
      <c r="M2911">
        <f>IF($A2911="","",TEXT($A2911,"mmmm/yyyy"))</f>
        <v/>
      </c>
      <c r="P2911">
        <f>IFERROR(XLOOKUP($N2911,Base_Enderecos!$A:$A,Base_Enderecos!$B:$B,""),"")</f>
        <v/>
      </c>
      <c r="Q2911">
        <f>IFERROR(XLOOKUP($N2911,Base_Enderecos!$A:$A,Base_Enderecos!$C:$C,""),"")</f>
        <v/>
      </c>
      <c r="R2911">
        <f>IF(ISNUMBER(SEARCH("HDD",$F2911)),"HDD",IF(ISNUMBER(SEARCH("VCA",$F2911)),"VCA","MND"))</f>
        <v/>
      </c>
      <c r="T2911">
        <f>TEXT($A2911,"yyyy-mm")&amp;"|"&amp;$C2911&amp;"|"&amp;$I2911</f>
        <v/>
      </c>
    </row>
    <row r="2912">
      <c r="A2912" s="36" t="n">
        <v>46178</v>
      </c>
      <c r="B2912" t="inlineStr">
        <is>
          <t>Sexta</t>
        </is>
      </c>
      <c r="C2912" t="inlineStr">
        <is>
          <t>CTS Lourdes Complementar</t>
        </is>
      </c>
      <c r="D2912" t="inlineStr">
        <is>
          <t>Robson</t>
        </is>
      </c>
      <c r="E2912" t="inlineStr">
        <is>
          <t>Cidão</t>
        </is>
      </c>
      <c r="F2912" t="inlineStr">
        <is>
          <t>Reparos Gerais</t>
        </is>
      </c>
      <c r="J2912" t="inlineStr">
        <is>
          <t>Atividade</t>
        </is>
      </c>
      <c r="K2912" t="inlineStr">
        <is>
          <t>Planejamento</t>
        </is>
      </c>
      <c r="L2912" t="inlineStr">
        <is>
          <t>PDS-Junho.docx</t>
        </is>
      </c>
      <c r="M2912">
        <f>IF($A2912="","",TEXT($A2912,"mmmm/yyyy"))</f>
        <v/>
      </c>
      <c r="P2912">
        <f>IFERROR(XLOOKUP($N2912,Base_Enderecos!$A:$A,Base_Enderecos!$B:$B,""),"")</f>
        <v/>
      </c>
      <c r="Q2912">
        <f>IFERROR(XLOOKUP($N2912,Base_Enderecos!$A:$A,Base_Enderecos!$C:$C,""),"")</f>
        <v/>
      </c>
      <c r="R2912">
        <f>IF(ISNUMBER(SEARCH("HDD",$F2912)),"HDD",IF(ISNUMBER(SEARCH("VCA",$F2912)),"VCA","MND"))</f>
        <v/>
      </c>
      <c r="T2912">
        <f>TEXT($A2912,"yyyy-mm")&amp;"|"&amp;$C2912&amp;"|"&amp;$I2912</f>
        <v/>
      </c>
    </row>
    <row r="2913">
      <c r="A2913" s="36" t="n">
        <v>46178</v>
      </c>
      <c r="B2913" t="inlineStr">
        <is>
          <t>Sexta</t>
        </is>
      </c>
      <c r="C2913" t="inlineStr">
        <is>
          <t>João Canzi</t>
        </is>
      </c>
      <c r="E2913" t="inlineStr">
        <is>
          <t>Vacal</t>
        </is>
      </c>
      <c r="F2913" t="inlineStr">
        <is>
          <t>João Canzi – Henko (Wellington/Thiago)</t>
        </is>
      </c>
      <c r="J2913" t="inlineStr">
        <is>
          <t>Atividade</t>
        </is>
      </c>
      <c r="K2913" t="inlineStr">
        <is>
          <t>Apoio</t>
        </is>
      </c>
      <c r="L2913" t="inlineStr">
        <is>
          <t>PDS-Junho.docx</t>
        </is>
      </c>
      <c r="M2913">
        <f>IF($A2913="","",TEXT($A2913,"mmmm/yyyy"))</f>
        <v/>
      </c>
      <c r="P2913">
        <f>IFERROR(XLOOKUP($N2913,Base_Enderecos!$A:$A,Base_Enderecos!$B:$B,""),"")</f>
        <v/>
      </c>
      <c r="Q2913">
        <f>IFERROR(XLOOKUP($N2913,Base_Enderecos!$A:$A,Base_Enderecos!$C:$C,""),"")</f>
        <v/>
      </c>
      <c r="R2913">
        <f>IF(ISNUMBER(SEARCH("HDD",$F2913)),"HDD",IF(ISNUMBER(SEARCH("VCA",$F2913)),"VCA","MND"))</f>
        <v/>
      </c>
      <c r="T2913">
        <f>TEXT($A2913,"yyyy-mm")&amp;"|"&amp;$C2913&amp;"|"&amp;$I2913</f>
        <v/>
      </c>
    </row>
    <row r="2914">
      <c r="A2914" s="36" t="n">
        <v>46178</v>
      </c>
      <c r="B2914" t="inlineStr">
        <is>
          <t>Sexta</t>
        </is>
      </c>
      <c r="C2914" t="inlineStr">
        <is>
          <t>Lourdes</t>
        </is>
      </c>
      <c r="E2914" t="inlineStr">
        <is>
          <t>Vacal</t>
        </is>
      </c>
      <c r="F2914" t="inlineStr">
        <is>
          <t>Lourdes – Henko (Marcio)</t>
        </is>
      </c>
      <c r="J2914" t="inlineStr">
        <is>
          <t>Atividade</t>
        </is>
      </c>
      <c r="K2914" t="inlineStr">
        <is>
          <t>Apoio</t>
        </is>
      </c>
      <c r="L2914" t="inlineStr">
        <is>
          <t>PDS-Junho.docx</t>
        </is>
      </c>
      <c r="M2914">
        <f>IF($A2914="","",TEXT($A2914,"mmmm/yyyy"))</f>
        <v/>
      </c>
      <c r="P2914">
        <f>IFERROR(XLOOKUP($N2914,Base_Enderecos!$A:$A,Base_Enderecos!$B:$B,""),"")</f>
        <v/>
      </c>
      <c r="Q2914">
        <f>IFERROR(XLOOKUP($N2914,Base_Enderecos!$A:$A,Base_Enderecos!$C:$C,""),"")</f>
        <v/>
      </c>
      <c r="R2914">
        <f>IF(ISNUMBER(SEARCH("HDD",$F2914)),"HDD",IF(ISNUMBER(SEARCH("VCA",$F2914)),"VCA","MND"))</f>
        <v/>
      </c>
      <c r="T2914">
        <f>TEXT($A2914,"yyyy-mm")&amp;"|"&amp;$C2914&amp;"|"&amp;$I2914</f>
        <v/>
      </c>
    </row>
    <row r="2915">
      <c r="A2915" s="36" t="n">
        <v>46178</v>
      </c>
      <c r="B2915" t="inlineStr">
        <is>
          <t>Sexta</t>
        </is>
      </c>
      <c r="C2915" t="inlineStr">
        <is>
          <t>Iti 15</t>
        </is>
      </c>
      <c r="E2915" t="inlineStr">
        <is>
          <t>Vacal</t>
        </is>
      </c>
      <c r="F2915" t="inlineStr">
        <is>
          <t>ITI 15 – Henko (Osmar)</t>
        </is>
      </c>
      <c r="J2915" t="inlineStr">
        <is>
          <t>Atividade</t>
        </is>
      </c>
      <c r="K2915" t="inlineStr">
        <is>
          <t>Apoio</t>
        </is>
      </c>
      <c r="L2915" t="inlineStr">
        <is>
          <t>PDS-Junho.docx</t>
        </is>
      </c>
      <c r="M2915">
        <f>IF($A2915="","",TEXT($A2915,"mmmm/yyyy"))</f>
        <v/>
      </c>
      <c r="P2915">
        <f>IFERROR(XLOOKUP($N2915,Base_Enderecos!$A:$A,Base_Enderecos!$B:$B,""),"")</f>
        <v/>
      </c>
      <c r="Q2915">
        <f>IFERROR(XLOOKUP($N2915,Base_Enderecos!$A:$A,Base_Enderecos!$C:$C,""),"")</f>
        <v/>
      </c>
      <c r="R2915">
        <f>IF(ISNUMBER(SEARCH("HDD",$F2915)),"HDD",IF(ISNUMBER(SEARCH("VCA",$F2915)),"VCA","MND"))</f>
        <v/>
      </c>
      <c r="T2915">
        <f>TEXT($A2915,"yyyy-mm")&amp;"|"&amp;$C2915&amp;"|"&amp;$I2915</f>
        <v/>
      </c>
    </row>
    <row r="2916">
      <c r="A2916" s="36" t="n">
        <v>46178</v>
      </c>
      <c r="B2916" t="inlineStr">
        <is>
          <t>Sexta</t>
        </is>
      </c>
      <c r="C2916" t="inlineStr">
        <is>
          <t>Guindauto</t>
        </is>
      </c>
      <c r="E2916" t="inlineStr">
        <is>
          <t>Guindauto</t>
        </is>
      </c>
      <c r="F2916" t="inlineStr">
        <is>
          <t>Marcio - Apoio as equipes</t>
        </is>
      </c>
      <c r="J2916" t="inlineStr">
        <is>
          <t>Atividade</t>
        </is>
      </c>
      <c r="K2916" t="inlineStr">
        <is>
          <t>Apoio</t>
        </is>
      </c>
      <c r="L2916" t="inlineStr">
        <is>
          <t>PDS-Junho.docx</t>
        </is>
      </c>
      <c r="M2916">
        <f>IF($A2916="","",TEXT($A2916,"mmmm/yyyy"))</f>
        <v/>
      </c>
      <c r="P2916">
        <f>IFERROR(XLOOKUP($N2916,Base_Enderecos!$A:$A,Base_Enderecos!$B:$B,""),"")</f>
        <v/>
      </c>
      <c r="Q2916">
        <f>IFERROR(XLOOKUP($N2916,Base_Enderecos!$A:$A,Base_Enderecos!$C:$C,""),"")</f>
        <v/>
      </c>
      <c r="R2916">
        <f>IF(ISNUMBER(SEARCH("HDD",$F2916)),"HDD",IF(ISNUMBER(SEARCH("VCA",$F2916)),"VCA","MND"))</f>
        <v/>
      </c>
      <c r="T2916">
        <f>TEXT($A2916,"yyyy-mm")&amp;"|"&amp;$C2916&amp;"|"&amp;$I2916</f>
        <v/>
      </c>
    </row>
    <row r="2917">
      <c r="A2917" s="36" t="n">
        <v>46178</v>
      </c>
      <c r="B2917" t="inlineStr">
        <is>
          <t>Sexta</t>
        </is>
      </c>
      <c r="C2917" t="inlineStr">
        <is>
          <t>Guindauto</t>
        </is>
      </c>
      <c r="E2917" t="inlineStr">
        <is>
          <t>Guindauto</t>
        </is>
      </c>
      <c r="F2917" t="inlineStr">
        <is>
          <t>Luiz - Apoio as equipes</t>
        </is>
      </c>
      <c r="J2917" t="inlineStr">
        <is>
          <t>Atividade</t>
        </is>
      </c>
      <c r="K2917" t="inlineStr">
        <is>
          <t>Apoio</t>
        </is>
      </c>
      <c r="L2917" t="inlineStr">
        <is>
          <t>PDS-Junho.docx</t>
        </is>
      </c>
      <c r="M2917">
        <f>IF($A2917="","",TEXT($A2917,"mmmm/yyyy"))</f>
        <v/>
      </c>
      <c r="P2917">
        <f>IFERROR(XLOOKUP($N2917,Base_Enderecos!$A:$A,Base_Enderecos!$B:$B,""),"")</f>
        <v/>
      </c>
      <c r="Q2917">
        <f>IFERROR(XLOOKUP($N2917,Base_Enderecos!$A:$A,Base_Enderecos!$C:$C,""),"")</f>
        <v/>
      </c>
      <c r="R2917">
        <f>IF(ISNUMBER(SEARCH("HDD",$F2917)),"HDD",IF(ISNUMBER(SEARCH("VCA",$F2917)),"VCA","MND"))</f>
        <v/>
      </c>
      <c r="T2917">
        <f>TEXT($A2917,"yyyy-mm")&amp;"|"&amp;$C2917&amp;"|"&amp;$I2917</f>
        <v/>
      </c>
    </row>
    <row r="2918">
      <c r="A2918" s="36" t="n">
        <v>46178</v>
      </c>
      <c r="B2918" t="inlineStr">
        <is>
          <t>Sexta</t>
        </is>
      </c>
      <c r="C2918" t="inlineStr">
        <is>
          <t>CTS Lourdes Complementar</t>
        </is>
      </c>
      <c r="D2918" t="inlineStr">
        <is>
          <t>Robson</t>
        </is>
      </c>
      <c r="E2918" t="inlineStr">
        <is>
          <t>Cidão</t>
        </is>
      </c>
      <c r="F2918" t="inlineStr">
        <is>
          <t>INTEGRA 6A</t>
        </is>
      </c>
      <c r="J2918" t="inlineStr">
        <is>
          <t>Atividade</t>
        </is>
      </c>
      <c r="K2918" t="inlineStr">
        <is>
          <t>Planejamento</t>
        </is>
      </c>
      <c r="L2918" t="inlineStr">
        <is>
          <t>PDS-Junho.docx</t>
        </is>
      </c>
      <c r="M2918">
        <f>IF($A2918="","",TEXT($A2918,"mmmm/yyyy"))</f>
        <v/>
      </c>
      <c r="P2918">
        <f>IFERROR(XLOOKUP($N2918,Base_Enderecos!$A:$A,Base_Enderecos!$B:$B,""),"")</f>
        <v/>
      </c>
      <c r="Q2918">
        <f>IFERROR(XLOOKUP($N2918,Base_Enderecos!$A:$A,Base_Enderecos!$C:$C,""),"")</f>
        <v/>
      </c>
      <c r="R2918">
        <f>IF(ISNUMBER(SEARCH("HDD",$F2918)),"HDD",IF(ISNUMBER(SEARCH("VCA",$F2918)),"VCA","MND"))</f>
        <v/>
      </c>
      <c r="T2918">
        <f>TEXT($A2918,"yyyy-mm")&amp;"|"&amp;$C2918&amp;"|"&amp;$I2918</f>
        <v/>
      </c>
    </row>
    <row r="2919">
      <c r="A2919" s="36" t="n">
        <v>46179</v>
      </c>
      <c r="B2919" t="inlineStr">
        <is>
          <t>Sábado</t>
        </is>
      </c>
      <c r="C2919" t="inlineStr">
        <is>
          <t>CT João Canzi</t>
        </is>
      </c>
      <c r="D2919" t="inlineStr">
        <is>
          <t>Valmir</t>
        </is>
      </c>
      <c r="E2919" t="inlineStr">
        <is>
          <t>Goiânia Drill</t>
        </is>
      </c>
      <c r="F2919" t="inlineStr">
        <is>
          <t>Complemento Puxe PV 10.1 ao PV 10</t>
        </is>
      </c>
      <c r="G2919" t="inlineStr">
        <is>
          <t>10.1</t>
        </is>
      </c>
      <c r="H2919" t="inlineStr">
        <is>
          <t>10</t>
        </is>
      </c>
      <c r="I2919" t="inlineStr">
        <is>
          <t>10.1 ao 10</t>
        </is>
      </c>
      <c r="J2919" t="inlineStr">
        <is>
          <t>HDD</t>
        </is>
      </c>
      <c r="K2919" t="inlineStr">
        <is>
          <t>Planejamento</t>
        </is>
      </c>
      <c r="L2919" t="inlineStr">
        <is>
          <t>PDS-Junho.docx</t>
        </is>
      </c>
      <c r="M2919">
        <f>IF($A2919="","",TEXT($A2919,"mmmm/yyyy"))</f>
        <v/>
      </c>
      <c r="P2919">
        <f>IFERROR(XLOOKUP($N2919,Base_Enderecos!$A:$A,Base_Enderecos!$B:$B,""),"")</f>
        <v/>
      </c>
      <c r="Q2919">
        <f>IFERROR(XLOOKUP($N2919,Base_Enderecos!$A:$A,Base_Enderecos!$C:$C,""),"")</f>
        <v/>
      </c>
      <c r="R2919">
        <f>IF(ISNUMBER(SEARCH("HDD",$F2919)),"HDD",IF(ISNUMBER(SEARCH("VCA",$F2919)),"VCA","MND"))</f>
        <v/>
      </c>
      <c r="T2919">
        <f>TEXT($A2919,"yyyy-mm")&amp;"|"&amp;$C2919&amp;"|"&amp;$I2919</f>
        <v/>
      </c>
    </row>
    <row r="2920">
      <c r="A2920" s="36" t="n">
        <v>46179</v>
      </c>
      <c r="B2920" t="inlineStr">
        <is>
          <t>Sábado</t>
        </is>
      </c>
      <c r="C2920" t="inlineStr">
        <is>
          <t>CT João Canzi</t>
        </is>
      </c>
      <c r="D2920" t="inlineStr">
        <is>
          <t>Valmir</t>
        </is>
      </c>
      <c r="E2920" t="inlineStr">
        <is>
          <t>Bruno</t>
        </is>
      </c>
      <c r="F2920" t="inlineStr">
        <is>
          <t>Apoio ao HDD</t>
        </is>
      </c>
      <c r="J2920" t="inlineStr">
        <is>
          <t>HDD</t>
        </is>
      </c>
      <c r="K2920" t="inlineStr">
        <is>
          <t>Planejamento</t>
        </is>
      </c>
      <c r="L2920" t="inlineStr">
        <is>
          <t>PDS-Junho.docx</t>
        </is>
      </c>
      <c r="M2920">
        <f>IF($A2920="","",TEXT($A2920,"mmmm/yyyy"))</f>
        <v/>
      </c>
      <c r="P2920">
        <f>IFERROR(XLOOKUP($N2920,Base_Enderecos!$A:$A,Base_Enderecos!$B:$B,""),"")</f>
        <v/>
      </c>
      <c r="Q2920">
        <f>IFERROR(XLOOKUP($N2920,Base_Enderecos!$A:$A,Base_Enderecos!$C:$C,""),"")</f>
        <v/>
      </c>
      <c r="R2920">
        <f>IF(ISNUMBER(SEARCH("HDD",$F2920)),"HDD",IF(ISNUMBER(SEARCH("VCA",$F2920)),"VCA","MND"))</f>
        <v/>
      </c>
      <c r="T2920">
        <f>TEXT($A2920,"yyyy-mm")&amp;"|"&amp;$C2920&amp;"|"&amp;$I2920</f>
        <v/>
      </c>
    </row>
    <row r="2921">
      <c r="A2921" s="36" t="n">
        <v>46179</v>
      </c>
      <c r="B2921" t="inlineStr">
        <is>
          <t>Sábado</t>
        </is>
      </c>
      <c r="C2921" t="inlineStr">
        <is>
          <t>CT João Canzi</t>
        </is>
      </c>
      <c r="D2921" t="inlineStr">
        <is>
          <t>Valmir</t>
        </is>
      </c>
      <c r="E2921" t="inlineStr">
        <is>
          <t>Jhonatan</t>
        </is>
      </c>
      <c r="F2921" t="inlineStr">
        <is>
          <t>Transformação PV 17</t>
        </is>
      </c>
      <c r="G2921" t="inlineStr">
        <is>
          <t>17</t>
        </is>
      </c>
      <c r="I2921" t="inlineStr">
        <is>
          <t>17</t>
        </is>
      </c>
      <c r="J2921" t="inlineStr">
        <is>
          <t>Transformação</t>
        </is>
      </c>
      <c r="K2921" t="inlineStr">
        <is>
          <t>Planejamento</t>
        </is>
      </c>
      <c r="L2921" t="inlineStr">
        <is>
          <t>PDS-Junho.docx</t>
        </is>
      </c>
      <c r="M2921">
        <f>IF($A2921="","",TEXT($A2921,"mmmm/yyyy"))</f>
        <v/>
      </c>
      <c r="P2921">
        <f>IFERROR(XLOOKUP($N2921,Base_Enderecos!$A:$A,Base_Enderecos!$B:$B,""),"")</f>
        <v/>
      </c>
      <c r="Q2921">
        <f>IFERROR(XLOOKUP($N2921,Base_Enderecos!$A:$A,Base_Enderecos!$C:$C,""),"")</f>
        <v/>
      </c>
      <c r="R2921">
        <f>IF(ISNUMBER(SEARCH("HDD",$F2921)),"HDD",IF(ISNUMBER(SEARCH("VCA",$F2921)),"VCA","MND"))</f>
        <v/>
      </c>
      <c r="T2921">
        <f>TEXT($A2921,"yyyy-mm")&amp;"|"&amp;$C2921&amp;"|"&amp;$I2921</f>
        <v/>
      </c>
    </row>
    <row r="2922">
      <c r="A2922" s="36" t="n">
        <v>46179</v>
      </c>
      <c r="B2922" t="inlineStr">
        <is>
          <t>Sábado</t>
        </is>
      </c>
      <c r="C2922" t="inlineStr">
        <is>
          <t>RCE Maria Santos Machado</t>
        </is>
      </c>
      <c r="D2922" t="inlineStr">
        <is>
          <t>Valmir</t>
        </is>
      </c>
      <c r="E2922" t="inlineStr">
        <is>
          <t>Cesar</t>
        </is>
      </c>
      <c r="F2922" t="inlineStr">
        <is>
          <t>VCA e PVP-0</t>
        </is>
      </c>
      <c r="J2922" t="inlineStr">
        <is>
          <t>VCA</t>
        </is>
      </c>
      <c r="K2922" t="inlineStr">
        <is>
          <t>Planejamento</t>
        </is>
      </c>
      <c r="L2922" t="inlineStr">
        <is>
          <t>PDS-Junho.docx</t>
        </is>
      </c>
      <c r="M2922">
        <f>IF($A2922="","",TEXT($A2922,"mmmm/yyyy"))</f>
        <v/>
      </c>
      <c r="P2922">
        <f>IFERROR(XLOOKUP($N2922,Base_Enderecos!$A:$A,Base_Enderecos!$B:$B,""),"")</f>
        <v/>
      </c>
      <c r="Q2922">
        <f>IFERROR(XLOOKUP($N2922,Base_Enderecos!$A:$A,Base_Enderecos!$C:$C,""),"")</f>
        <v/>
      </c>
      <c r="R2922">
        <f>IF(ISNUMBER(SEARCH("HDD",$F2922)),"HDD",IF(ISNUMBER(SEARCH("VCA",$F2922)),"VCA","MND"))</f>
        <v/>
      </c>
      <c r="T2922">
        <f>TEXT($A2922,"yyyy-mm")&amp;"|"&amp;$C2922&amp;"|"&amp;$I2922</f>
        <v/>
      </c>
    </row>
    <row r="2923">
      <c r="A2923" s="36" t="n">
        <v>46179</v>
      </c>
      <c r="B2923" t="inlineStr">
        <is>
          <t>Sábado</t>
        </is>
      </c>
      <c r="C2923" t="inlineStr">
        <is>
          <t>RCE Elias Sleiman / CT João Canzi</t>
        </is>
      </c>
      <c r="D2923" t="inlineStr">
        <is>
          <t>Antonio</t>
        </is>
      </c>
      <c r="E2923" t="inlineStr">
        <is>
          <t>Edvando</t>
        </is>
      </c>
      <c r="F2923" t="inlineStr">
        <is>
          <t>VCA + interl PV 21 ao PV 22</t>
        </is>
      </c>
      <c r="G2923" t="inlineStr">
        <is>
          <t>21</t>
        </is>
      </c>
      <c r="H2923" t="inlineStr">
        <is>
          <t>22</t>
        </is>
      </c>
      <c r="I2923" t="inlineStr">
        <is>
          <t>21 ao 22</t>
        </is>
      </c>
      <c r="J2923" t="inlineStr">
        <is>
          <t>VCA</t>
        </is>
      </c>
      <c r="K2923" t="inlineStr">
        <is>
          <t>Planejamento</t>
        </is>
      </c>
      <c r="L2923" t="inlineStr">
        <is>
          <t>PDS-Junho.docx</t>
        </is>
      </c>
      <c r="M2923">
        <f>IF($A2923="","",TEXT($A2923,"mmmm/yyyy"))</f>
        <v/>
      </c>
      <c r="P2923">
        <f>IFERROR(XLOOKUP($N2923,Base_Enderecos!$A:$A,Base_Enderecos!$B:$B,""),"")</f>
        <v/>
      </c>
      <c r="Q2923">
        <f>IFERROR(XLOOKUP($N2923,Base_Enderecos!$A:$A,Base_Enderecos!$C:$C,""),"")</f>
        <v/>
      </c>
      <c r="R2923">
        <f>IF(ISNUMBER(SEARCH("HDD",$F2923)),"HDD",IF(ISNUMBER(SEARCH("VCA",$F2923)),"VCA","MND"))</f>
        <v/>
      </c>
      <c r="T2923">
        <f>TEXT($A2923,"yyyy-mm")&amp;"|"&amp;$C2923&amp;"|"&amp;$I2923</f>
        <v/>
      </c>
    </row>
    <row r="2924">
      <c r="A2924" s="36" t="n">
        <v>46179</v>
      </c>
      <c r="B2924" t="inlineStr">
        <is>
          <t>Sábado</t>
        </is>
      </c>
      <c r="C2924" t="inlineStr">
        <is>
          <t>RCE Elias Sleiman / CT João Canzi</t>
        </is>
      </c>
      <c r="D2924" t="inlineStr">
        <is>
          <t>Antonio</t>
        </is>
      </c>
      <c r="E2924" t="inlineStr">
        <is>
          <t>Cidão</t>
        </is>
      </c>
      <c r="F2924" t="inlineStr">
        <is>
          <t>VCA + interl PV 25 ao PV 26</t>
        </is>
      </c>
      <c r="G2924" t="inlineStr">
        <is>
          <t>25</t>
        </is>
      </c>
      <c r="H2924" t="inlineStr">
        <is>
          <t>26</t>
        </is>
      </c>
      <c r="I2924" t="inlineStr">
        <is>
          <t>25 ao 26</t>
        </is>
      </c>
      <c r="J2924" t="inlineStr">
        <is>
          <t>VCA</t>
        </is>
      </c>
      <c r="K2924" t="inlineStr">
        <is>
          <t>Planejamento</t>
        </is>
      </c>
      <c r="L2924" t="inlineStr">
        <is>
          <t>PDS-Junho.docx</t>
        </is>
      </c>
      <c r="M2924">
        <f>IF($A2924="","",TEXT($A2924,"mmmm/yyyy"))</f>
        <v/>
      </c>
      <c r="P2924">
        <f>IFERROR(XLOOKUP($N2924,Base_Enderecos!$A:$A,Base_Enderecos!$B:$B,""),"")</f>
        <v/>
      </c>
      <c r="Q2924">
        <f>IFERROR(XLOOKUP($N2924,Base_Enderecos!$A:$A,Base_Enderecos!$C:$C,""),"")</f>
        <v/>
      </c>
      <c r="R2924">
        <f>IF(ISNUMBER(SEARCH("HDD",$F2924)),"HDD",IF(ISNUMBER(SEARCH("VCA",$F2924)),"VCA","MND"))</f>
        <v/>
      </c>
      <c r="T2924">
        <f>TEXT($A2924,"yyyy-mm")&amp;"|"&amp;$C2924&amp;"|"&amp;$I2924</f>
        <v/>
      </c>
    </row>
    <row r="2925">
      <c r="A2925" s="36" t="n">
        <v>46179</v>
      </c>
      <c r="B2925" t="inlineStr">
        <is>
          <t>Sábado</t>
        </is>
      </c>
      <c r="C2925" t="inlineStr">
        <is>
          <t>CTS Lourdes Complementar</t>
        </is>
      </c>
      <c r="D2925" t="inlineStr">
        <is>
          <t>Antonio</t>
        </is>
      </c>
      <c r="E2925" t="inlineStr">
        <is>
          <t>Marcelo</t>
        </is>
      </c>
      <c r="F2925" t="inlineStr">
        <is>
          <t>Shaft PV 05</t>
        </is>
      </c>
      <c r="G2925" t="inlineStr">
        <is>
          <t>05</t>
        </is>
      </c>
      <c r="I2925" t="inlineStr">
        <is>
          <t>05</t>
        </is>
      </c>
      <c r="J2925" t="inlineStr">
        <is>
          <t>Shaft</t>
        </is>
      </c>
      <c r="K2925" t="inlineStr">
        <is>
          <t>Planejamento</t>
        </is>
      </c>
      <c r="L2925" t="inlineStr">
        <is>
          <t>PDS-Junho.docx</t>
        </is>
      </c>
      <c r="M2925">
        <f>IF($A2925="","",TEXT($A2925,"mmmm/yyyy"))</f>
        <v/>
      </c>
      <c r="P2925">
        <f>IFERROR(XLOOKUP($N2925,Base_Enderecos!$A:$A,Base_Enderecos!$B:$B,""),"")</f>
        <v/>
      </c>
      <c r="Q2925">
        <f>IFERROR(XLOOKUP($N2925,Base_Enderecos!$A:$A,Base_Enderecos!$C:$C,""),"")</f>
        <v/>
      </c>
      <c r="R2925">
        <f>IF(ISNUMBER(SEARCH("HDD",$F2925)),"HDD",IF(ISNUMBER(SEARCH("VCA",$F2925)),"VCA","MND"))</f>
        <v/>
      </c>
      <c r="T2925">
        <f>TEXT($A2925,"yyyy-mm")&amp;"|"&amp;$C2925&amp;"|"&amp;$I2925</f>
        <v/>
      </c>
    </row>
    <row r="2926">
      <c r="A2926" s="36" t="n">
        <v>46179</v>
      </c>
      <c r="B2926" t="inlineStr">
        <is>
          <t>Sábado</t>
        </is>
      </c>
      <c r="C2926" t="inlineStr">
        <is>
          <t>RCE São Lucas</t>
        </is>
      </c>
      <c r="D2926" t="inlineStr">
        <is>
          <t>Fábio</t>
        </is>
      </c>
      <c r="E2926" t="inlineStr">
        <is>
          <t>Ricardo</t>
        </is>
      </c>
      <c r="F2926" t="inlineStr">
        <is>
          <t>VCA, PVs e Ligações; (PI 08 ao PI 09)</t>
        </is>
      </c>
      <c r="G2926" t="inlineStr">
        <is>
          <t>08</t>
        </is>
      </c>
      <c r="H2926" t="inlineStr">
        <is>
          <t>09</t>
        </is>
      </c>
      <c r="I2926" t="inlineStr">
        <is>
          <t>08 ao 09</t>
        </is>
      </c>
      <c r="J2926" t="inlineStr">
        <is>
          <t>VCA</t>
        </is>
      </c>
      <c r="K2926" t="inlineStr">
        <is>
          <t>Planejamento</t>
        </is>
      </c>
      <c r="L2926" t="inlineStr">
        <is>
          <t>PDS-Junho.docx</t>
        </is>
      </c>
      <c r="M2926">
        <f>IF($A2926="","",TEXT($A2926,"mmmm/yyyy"))</f>
        <v/>
      </c>
      <c r="P2926">
        <f>IFERROR(XLOOKUP($N2926,Base_Enderecos!$A:$A,Base_Enderecos!$B:$B,""),"")</f>
        <v/>
      </c>
      <c r="Q2926">
        <f>IFERROR(XLOOKUP($N2926,Base_Enderecos!$A:$A,Base_Enderecos!$C:$C,""),"")</f>
        <v/>
      </c>
      <c r="R2926">
        <f>IF(ISNUMBER(SEARCH("HDD",$F2926)),"HDD",IF(ISNUMBER(SEARCH("VCA",$F2926)),"VCA","MND"))</f>
        <v/>
      </c>
      <c r="T2926">
        <f>TEXT($A2926,"yyyy-mm")&amp;"|"&amp;$C2926&amp;"|"&amp;$I2926</f>
        <v/>
      </c>
    </row>
    <row r="2927">
      <c r="A2927" s="36" t="n">
        <v>46179</v>
      </c>
      <c r="B2927" t="inlineStr">
        <is>
          <t>Sábado</t>
        </is>
      </c>
      <c r="C2927" t="inlineStr">
        <is>
          <t>RCE São Lucas</t>
        </is>
      </c>
      <c r="D2927" t="inlineStr">
        <is>
          <t>Fábio</t>
        </is>
      </c>
      <c r="E2927" t="inlineStr">
        <is>
          <t>Claudinei</t>
        </is>
      </c>
      <c r="F2927" t="inlineStr">
        <is>
          <t>VCA, PVs e Ligações; (PI 37 ao PI 38)</t>
        </is>
      </c>
      <c r="G2927" t="inlineStr">
        <is>
          <t>37</t>
        </is>
      </c>
      <c r="H2927" t="inlineStr">
        <is>
          <t>38</t>
        </is>
      </c>
      <c r="I2927" t="inlineStr">
        <is>
          <t>37 ao 38</t>
        </is>
      </c>
      <c r="J2927" t="inlineStr">
        <is>
          <t>VCA</t>
        </is>
      </c>
      <c r="K2927" t="inlineStr">
        <is>
          <t>Planejamento</t>
        </is>
      </c>
      <c r="L2927" t="inlineStr">
        <is>
          <t>PDS-Junho.docx</t>
        </is>
      </c>
      <c r="M2927">
        <f>IF($A2927="","",TEXT($A2927,"mmmm/yyyy"))</f>
        <v/>
      </c>
      <c r="P2927">
        <f>IFERROR(XLOOKUP($N2927,Base_Enderecos!$A:$A,Base_Enderecos!$B:$B,""),"")</f>
        <v/>
      </c>
      <c r="Q2927">
        <f>IFERROR(XLOOKUP($N2927,Base_Enderecos!$A:$A,Base_Enderecos!$C:$C,""),"")</f>
        <v/>
      </c>
      <c r="R2927">
        <f>IF(ISNUMBER(SEARCH("HDD",$F2927)),"HDD",IF(ISNUMBER(SEARCH("VCA",$F2927)),"VCA","MND"))</f>
        <v/>
      </c>
      <c r="T2927">
        <f>TEXT($A2927,"yyyy-mm")&amp;"|"&amp;$C2927&amp;"|"&amp;$I2927</f>
        <v/>
      </c>
    </row>
    <row r="2928">
      <c r="A2928" s="36" t="n">
        <v>46179</v>
      </c>
      <c r="B2928" t="inlineStr">
        <is>
          <t>Sábado</t>
        </is>
      </c>
      <c r="C2928" t="inlineStr">
        <is>
          <t>RCE São Lucas</t>
        </is>
      </c>
      <c r="D2928" t="inlineStr">
        <is>
          <t>Fábio</t>
        </is>
      </c>
      <c r="E2928" t="inlineStr">
        <is>
          <t>Miro</t>
        </is>
      </c>
      <c r="F2928" t="inlineStr">
        <is>
          <t>VCA, PVs e Ligações; (PI 60 ao PI 61)</t>
        </is>
      </c>
      <c r="G2928" t="inlineStr">
        <is>
          <t>60</t>
        </is>
      </c>
      <c r="H2928" t="inlineStr">
        <is>
          <t>61</t>
        </is>
      </c>
      <c r="I2928" t="inlineStr">
        <is>
          <t>60 ao 61</t>
        </is>
      </c>
      <c r="J2928" t="inlineStr">
        <is>
          <t>VCA</t>
        </is>
      </c>
      <c r="K2928" t="inlineStr">
        <is>
          <t>Planejamento</t>
        </is>
      </c>
      <c r="L2928" t="inlineStr">
        <is>
          <t>PDS-Junho.docx</t>
        </is>
      </c>
      <c r="M2928">
        <f>IF($A2928="","",TEXT($A2928,"mmmm/yyyy"))</f>
        <v/>
      </c>
      <c r="P2928">
        <f>IFERROR(XLOOKUP($N2928,Base_Enderecos!$A:$A,Base_Enderecos!$B:$B,""),"")</f>
        <v/>
      </c>
      <c r="Q2928">
        <f>IFERROR(XLOOKUP($N2928,Base_Enderecos!$A:$A,Base_Enderecos!$C:$C,""),"")</f>
        <v/>
      </c>
      <c r="R2928">
        <f>IF(ISNUMBER(SEARCH("HDD",$F2928)),"HDD",IF(ISNUMBER(SEARCH("VCA",$F2928)),"VCA","MND"))</f>
        <v/>
      </c>
      <c r="T2928">
        <f>TEXT($A2928,"yyyy-mm")&amp;"|"&amp;$C2928&amp;"|"&amp;$I2928</f>
        <v/>
      </c>
    </row>
    <row r="2929">
      <c r="A2929" s="36" t="n">
        <v>46179</v>
      </c>
      <c r="B2929" t="inlineStr">
        <is>
          <t>Sábado</t>
        </is>
      </c>
      <c r="C2929" t="inlineStr">
        <is>
          <t>RCE São Lucas</t>
        </is>
      </c>
      <c r="D2929" t="inlineStr">
        <is>
          <t>Fábio</t>
        </is>
      </c>
      <c r="E2929" t="inlineStr">
        <is>
          <t>Emanuel</t>
        </is>
      </c>
      <c r="F2929" t="inlineStr">
        <is>
          <t>VCA, PVs e Ligações; (PI 25 ao PI 26)</t>
        </is>
      </c>
      <c r="G2929" t="inlineStr">
        <is>
          <t>25</t>
        </is>
      </c>
      <c r="H2929" t="inlineStr">
        <is>
          <t>26</t>
        </is>
      </c>
      <c r="I2929" t="inlineStr">
        <is>
          <t>25 ao 26</t>
        </is>
      </c>
      <c r="J2929" t="inlineStr">
        <is>
          <t>VCA</t>
        </is>
      </c>
      <c r="K2929" t="inlineStr">
        <is>
          <t>Planejamento</t>
        </is>
      </c>
      <c r="L2929" t="inlineStr">
        <is>
          <t>PDS-Junho.docx</t>
        </is>
      </c>
      <c r="M2929">
        <f>IF($A2929="","",TEXT($A2929,"mmmm/yyyy"))</f>
        <v/>
      </c>
      <c r="P2929">
        <f>IFERROR(XLOOKUP($N2929,Base_Enderecos!$A:$A,Base_Enderecos!$B:$B,""),"")</f>
        <v/>
      </c>
      <c r="Q2929">
        <f>IFERROR(XLOOKUP($N2929,Base_Enderecos!$A:$A,Base_Enderecos!$C:$C,""),"")</f>
        <v/>
      </c>
      <c r="R2929">
        <f>IF(ISNUMBER(SEARCH("HDD",$F2929)),"HDD",IF(ISNUMBER(SEARCH("VCA",$F2929)),"VCA","MND"))</f>
        <v/>
      </c>
      <c r="T2929">
        <f>TEXT($A2929,"yyyy-mm")&amp;"|"&amp;$C2929&amp;"|"&amp;$I2929</f>
        <v/>
      </c>
    </row>
    <row r="2930">
      <c r="A2930" s="36" t="n">
        <v>46179</v>
      </c>
      <c r="B2930" t="inlineStr">
        <is>
          <t>Sábado</t>
        </is>
      </c>
      <c r="C2930" t="inlineStr">
        <is>
          <t>RCE São Lucas</t>
        </is>
      </c>
      <c r="D2930" t="inlineStr">
        <is>
          <t>Fábio</t>
        </is>
      </c>
      <c r="E2930" t="inlineStr">
        <is>
          <t>Antonio</t>
        </is>
      </c>
      <c r="F2930" t="inlineStr">
        <is>
          <t>VCA, PVs e Ligações; (Inicio Ponto 04)*</t>
        </is>
      </c>
      <c r="J2930" t="inlineStr">
        <is>
          <t>VCA</t>
        </is>
      </c>
      <c r="K2930" t="inlineStr">
        <is>
          <t>Planejamento</t>
        </is>
      </c>
      <c r="L2930" t="inlineStr">
        <is>
          <t>PDS-Junho.docx</t>
        </is>
      </c>
      <c r="M2930">
        <f>IF($A2930="","",TEXT($A2930,"mmmm/yyyy"))</f>
        <v/>
      </c>
      <c r="P2930">
        <f>IFERROR(XLOOKUP($N2930,Base_Enderecos!$A:$A,Base_Enderecos!$B:$B,""),"")</f>
        <v/>
      </c>
      <c r="Q2930">
        <f>IFERROR(XLOOKUP($N2930,Base_Enderecos!$A:$A,Base_Enderecos!$C:$C,""),"")</f>
        <v/>
      </c>
      <c r="R2930">
        <f>IF(ISNUMBER(SEARCH("HDD",$F2930)),"HDD",IF(ISNUMBER(SEARCH("VCA",$F2930)),"VCA","MND"))</f>
        <v/>
      </c>
      <c r="T2930">
        <f>TEXT($A2930,"yyyy-mm")&amp;"|"&amp;$C2930&amp;"|"&amp;$I2930</f>
        <v/>
      </c>
    </row>
    <row r="2931">
      <c r="A2931" s="36" t="n">
        <v>46179</v>
      </c>
      <c r="B2931" t="inlineStr">
        <is>
          <t>Sábado</t>
        </is>
      </c>
      <c r="C2931" t="inlineStr">
        <is>
          <t>RCE São Lucas</t>
        </is>
      </c>
      <c r="D2931" t="inlineStr">
        <is>
          <t>Fábio</t>
        </is>
      </c>
      <c r="E2931" t="inlineStr">
        <is>
          <t>Antonio</t>
        </is>
      </c>
      <c r="F2931" t="inlineStr">
        <is>
          <t>SERVIÇOS REPOSIÇÃO – LEANDRO</t>
        </is>
      </c>
      <c r="J2931" t="inlineStr">
        <is>
          <t>Atividade</t>
        </is>
      </c>
      <c r="K2931" t="inlineStr">
        <is>
          <t>Planejamento</t>
        </is>
      </c>
      <c r="L2931" t="inlineStr">
        <is>
          <t>PDS-Junho.docx</t>
        </is>
      </c>
      <c r="M2931">
        <f>IF($A2931="","",TEXT($A2931,"mmmm/yyyy"))</f>
        <v/>
      </c>
      <c r="P2931">
        <f>IFERROR(XLOOKUP($N2931,Base_Enderecos!$A:$A,Base_Enderecos!$B:$B,""),"")</f>
        <v/>
      </c>
      <c r="Q2931">
        <f>IFERROR(XLOOKUP($N2931,Base_Enderecos!$A:$A,Base_Enderecos!$C:$C,""),"")</f>
        <v/>
      </c>
      <c r="R2931">
        <f>IF(ISNUMBER(SEARCH("HDD",$F2931)),"HDD",IF(ISNUMBER(SEARCH("VCA",$F2931)),"VCA","MND"))</f>
        <v/>
      </c>
      <c r="T2931">
        <f>TEXT($A2931,"yyyy-mm")&amp;"|"&amp;$C2931&amp;"|"&amp;$I2931</f>
        <v/>
      </c>
    </row>
    <row r="2932">
      <c r="A2932" s="36" t="n">
        <v>46179</v>
      </c>
      <c r="B2932" t="inlineStr">
        <is>
          <t>Sábado</t>
        </is>
      </c>
      <c r="C2932" t="inlineStr">
        <is>
          <t>RCE São Lucas</t>
        </is>
      </c>
      <c r="D2932" t="inlineStr">
        <is>
          <t>Fábio</t>
        </is>
      </c>
      <c r="E2932" t="inlineStr">
        <is>
          <t>Antonio</t>
        </is>
      </c>
      <c r="F2932" t="inlineStr">
        <is>
          <t>Reparos Gerais</t>
        </is>
      </c>
      <c r="J2932" t="inlineStr">
        <is>
          <t>Atividade</t>
        </is>
      </c>
      <c r="K2932" t="inlineStr">
        <is>
          <t>Planejamento</t>
        </is>
      </c>
      <c r="L2932" t="inlineStr">
        <is>
          <t>PDS-Junho.docx</t>
        </is>
      </c>
      <c r="M2932">
        <f>IF($A2932="","",TEXT($A2932,"mmmm/yyyy"))</f>
        <v/>
      </c>
      <c r="P2932">
        <f>IFERROR(XLOOKUP($N2932,Base_Enderecos!$A:$A,Base_Enderecos!$B:$B,""),"")</f>
        <v/>
      </c>
      <c r="Q2932">
        <f>IFERROR(XLOOKUP($N2932,Base_Enderecos!$A:$A,Base_Enderecos!$C:$C,""),"")</f>
        <v/>
      </c>
      <c r="R2932">
        <f>IF(ISNUMBER(SEARCH("HDD",$F2932)),"HDD",IF(ISNUMBER(SEARCH("VCA",$F2932)),"VCA","MND"))</f>
        <v/>
      </c>
      <c r="T2932">
        <f>TEXT($A2932,"yyyy-mm")&amp;"|"&amp;$C2932&amp;"|"&amp;$I2932</f>
        <v/>
      </c>
    </row>
    <row r="2933">
      <c r="A2933" s="36" t="n">
        <v>46179</v>
      </c>
      <c r="B2933" t="inlineStr">
        <is>
          <t>Sábado</t>
        </is>
      </c>
      <c r="C2933" t="inlineStr">
        <is>
          <t>João Canzi</t>
        </is>
      </c>
      <c r="E2933" t="inlineStr">
        <is>
          <t>Vacal</t>
        </is>
      </c>
      <c r="F2933" t="inlineStr">
        <is>
          <t>João Canzi – Henko (Wellington/Thiago)</t>
        </is>
      </c>
      <c r="J2933" t="inlineStr">
        <is>
          <t>Atividade</t>
        </is>
      </c>
      <c r="K2933" t="inlineStr">
        <is>
          <t>Apoio</t>
        </is>
      </c>
      <c r="L2933" t="inlineStr">
        <is>
          <t>PDS-Junho.docx</t>
        </is>
      </c>
      <c r="M2933">
        <f>IF($A2933="","",TEXT($A2933,"mmmm/yyyy"))</f>
        <v/>
      </c>
      <c r="P2933">
        <f>IFERROR(XLOOKUP($N2933,Base_Enderecos!$A:$A,Base_Enderecos!$B:$B,""),"")</f>
        <v/>
      </c>
      <c r="Q2933">
        <f>IFERROR(XLOOKUP($N2933,Base_Enderecos!$A:$A,Base_Enderecos!$C:$C,""),"")</f>
        <v/>
      </c>
      <c r="R2933">
        <f>IF(ISNUMBER(SEARCH("HDD",$F2933)),"HDD",IF(ISNUMBER(SEARCH("VCA",$F2933)),"VCA","MND"))</f>
        <v/>
      </c>
      <c r="T2933">
        <f>TEXT($A2933,"yyyy-mm")&amp;"|"&amp;$C2933&amp;"|"&amp;$I2933</f>
        <v/>
      </c>
    </row>
    <row r="2934">
      <c r="A2934" s="36" t="n">
        <v>46179</v>
      </c>
      <c r="B2934" t="inlineStr">
        <is>
          <t>Sábado</t>
        </is>
      </c>
      <c r="C2934" t="inlineStr">
        <is>
          <t>João Canzi</t>
        </is>
      </c>
      <c r="E2934" t="inlineStr">
        <is>
          <t>Vacal</t>
        </is>
      </c>
      <c r="F2934" t="inlineStr">
        <is>
          <t>João Canzi – Henko (Marcio)</t>
        </is>
      </c>
      <c r="J2934" t="inlineStr">
        <is>
          <t>Atividade</t>
        </is>
      </c>
      <c r="K2934" t="inlineStr">
        <is>
          <t>Apoio</t>
        </is>
      </c>
      <c r="L2934" t="inlineStr">
        <is>
          <t>PDS-Junho.docx</t>
        </is>
      </c>
      <c r="M2934">
        <f>IF($A2934="","",TEXT($A2934,"mmmm/yyyy"))</f>
        <v/>
      </c>
      <c r="P2934">
        <f>IFERROR(XLOOKUP($N2934,Base_Enderecos!$A:$A,Base_Enderecos!$B:$B,""),"")</f>
        <v/>
      </c>
      <c r="Q2934">
        <f>IFERROR(XLOOKUP($N2934,Base_Enderecos!$A:$A,Base_Enderecos!$C:$C,""),"")</f>
        <v/>
      </c>
      <c r="R2934">
        <f>IF(ISNUMBER(SEARCH("HDD",$F2934)),"HDD",IF(ISNUMBER(SEARCH("VCA",$F2934)),"VCA","MND"))</f>
        <v/>
      </c>
      <c r="T2934">
        <f>TEXT($A2934,"yyyy-mm")&amp;"|"&amp;$C2934&amp;"|"&amp;$I2934</f>
        <v/>
      </c>
    </row>
    <row r="2935">
      <c r="A2935" s="36" t="n">
        <v>46179</v>
      </c>
      <c r="B2935" t="inlineStr">
        <is>
          <t>Sábado</t>
        </is>
      </c>
      <c r="C2935" t="inlineStr">
        <is>
          <t>Iti 15</t>
        </is>
      </c>
      <c r="E2935" t="inlineStr">
        <is>
          <t>Vacal</t>
        </is>
      </c>
      <c r="F2935" t="inlineStr">
        <is>
          <t>ITI 15 – Henko (Osmar)</t>
        </is>
      </c>
      <c r="J2935" t="inlineStr">
        <is>
          <t>Atividade</t>
        </is>
      </c>
      <c r="K2935" t="inlineStr">
        <is>
          <t>Apoio</t>
        </is>
      </c>
      <c r="L2935" t="inlineStr">
        <is>
          <t>PDS-Junho.docx</t>
        </is>
      </c>
      <c r="M2935">
        <f>IF($A2935="","",TEXT($A2935,"mmmm/yyyy"))</f>
        <v/>
      </c>
      <c r="P2935">
        <f>IFERROR(XLOOKUP($N2935,Base_Enderecos!$A:$A,Base_Enderecos!$B:$B,""),"")</f>
        <v/>
      </c>
      <c r="Q2935">
        <f>IFERROR(XLOOKUP($N2935,Base_Enderecos!$A:$A,Base_Enderecos!$C:$C,""),"")</f>
        <v/>
      </c>
      <c r="R2935">
        <f>IF(ISNUMBER(SEARCH("HDD",$F2935)),"HDD",IF(ISNUMBER(SEARCH("VCA",$F2935)),"VCA","MND"))</f>
        <v/>
      </c>
      <c r="T2935">
        <f>TEXT($A2935,"yyyy-mm")&amp;"|"&amp;$C2935&amp;"|"&amp;$I2935</f>
        <v/>
      </c>
    </row>
    <row r="2936">
      <c r="A2936" s="36" t="n">
        <v>46179</v>
      </c>
      <c r="B2936" t="inlineStr">
        <is>
          <t>Sábado</t>
        </is>
      </c>
      <c r="C2936" t="inlineStr">
        <is>
          <t>Guindauto</t>
        </is>
      </c>
      <c r="E2936" t="inlineStr">
        <is>
          <t>Guindauto</t>
        </is>
      </c>
      <c r="F2936" t="inlineStr">
        <is>
          <t>Luiz - Apoio as equipes</t>
        </is>
      </c>
      <c r="J2936" t="inlineStr">
        <is>
          <t>Atividade</t>
        </is>
      </c>
      <c r="K2936" t="inlineStr">
        <is>
          <t>Apoio</t>
        </is>
      </c>
      <c r="L2936" t="inlineStr">
        <is>
          <t>PDS-Junho.docx</t>
        </is>
      </c>
      <c r="M2936">
        <f>IF($A2936="","",TEXT($A2936,"mmmm/yyyy"))</f>
        <v/>
      </c>
      <c r="P2936">
        <f>IFERROR(XLOOKUP($N2936,Base_Enderecos!$A:$A,Base_Enderecos!$B:$B,""),"")</f>
        <v/>
      </c>
      <c r="Q2936">
        <f>IFERROR(XLOOKUP($N2936,Base_Enderecos!$A:$A,Base_Enderecos!$C:$C,""),"")</f>
        <v/>
      </c>
      <c r="R2936">
        <f>IF(ISNUMBER(SEARCH("HDD",$F2936)),"HDD",IF(ISNUMBER(SEARCH("VCA",$F2936)),"VCA","MND"))</f>
        <v/>
      </c>
      <c r="T2936">
        <f>TEXT($A2936,"yyyy-mm")&amp;"|"&amp;$C2936&amp;"|"&amp;$I2936</f>
        <v/>
      </c>
    </row>
    <row r="2937">
      <c r="A2937" s="36" t="n">
        <v>46179</v>
      </c>
      <c r="B2937" t="inlineStr">
        <is>
          <t>Sábado</t>
        </is>
      </c>
      <c r="C2937" t="inlineStr">
        <is>
          <t>RCE São Lucas</t>
        </is>
      </c>
      <c r="D2937" t="inlineStr">
        <is>
          <t>Fábio</t>
        </is>
      </c>
      <c r="E2937" t="inlineStr">
        <is>
          <t>Antonio</t>
        </is>
      </c>
      <c r="F2937" t="inlineStr">
        <is>
          <t>INTEGRA 6A</t>
        </is>
      </c>
      <c r="J2937" t="inlineStr">
        <is>
          <t>Atividade</t>
        </is>
      </c>
      <c r="K2937" t="inlineStr">
        <is>
          <t>Planejamento</t>
        </is>
      </c>
      <c r="L2937" t="inlineStr">
        <is>
          <t>PDS-Junho.docx</t>
        </is>
      </c>
      <c r="M2937">
        <f>IF($A2937="","",TEXT($A2937,"mmmm/yyyy"))</f>
        <v/>
      </c>
      <c r="P2937">
        <f>IFERROR(XLOOKUP($N2937,Base_Enderecos!$A:$A,Base_Enderecos!$B:$B,""),"")</f>
        <v/>
      </c>
      <c r="Q2937">
        <f>IFERROR(XLOOKUP($N2937,Base_Enderecos!$A:$A,Base_Enderecos!$C:$C,""),"")</f>
        <v/>
      </c>
      <c r="R2937">
        <f>IF(ISNUMBER(SEARCH("HDD",$F2937)),"HDD",IF(ISNUMBER(SEARCH("VCA",$F2937)),"VCA","MND"))</f>
        <v/>
      </c>
      <c r="T2937">
        <f>TEXT($A2937,"yyyy-mm")&amp;"|"&amp;$C2937&amp;"|"&amp;$I2937</f>
        <v/>
      </c>
    </row>
    <row r="2938">
      <c r="A2938" s="36" t="n">
        <v>46181</v>
      </c>
      <c r="B2938" t="inlineStr">
        <is>
          <t>Segunda</t>
        </is>
      </c>
      <c r="C2938" t="inlineStr">
        <is>
          <t>CT João Canzi</t>
        </is>
      </c>
      <c r="D2938" t="inlineStr">
        <is>
          <t>Valmir</t>
        </is>
      </c>
      <c r="E2938" t="inlineStr">
        <is>
          <t>Goiânia Drill</t>
        </is>
      </c>
      <c r="F2938" t="inlineStr">
        <is>
          <t>Puxe do PV-18 ao PV-19</t>
        </is>
      </c>
      <c r="G2938" t="inlineStr">
        <is>
          <t>18</t>
        </is>
      </c>
      <c r="H2938" t="inlineStr">
        <is>
          <t>19</t>
        </is>
      </c>
      <c r="I2938" t="inlineStr">
        <is>
          <t>18 ao 19</t>
        </is>
      </c>
      <c r="J2938" t="inlineStr">
        <is>
          <t>HDD</t>
        </is>
      </c>
      <c r="K2938" t="inlineStr">
        <is>
          <t>Planejamento</t>
        </is>
      </c>
      <c r="L2938" t="inlineStr">
        <is>
          <t>PDS-Junho.docx</t>
        </is>
      </c>
      <c r="M2938">
        <f>IF($A2938="","",TEXT($A2938,"mmmm/yyyy"))</f>
        <v/>
      </c>
      <c r="P2938">
        <f>IFERROR(XLOOKUP($N2938,Base_Enderecos!$A:$A,Base_Enderecos!$B:$B,""),"")</f>
        <v/>
      </c>
      <c r="Q2938">
        <f>IFERROR(XLOOKUP($N2938,Base_Enderecos!$A:$A,Base_Enderecos!$C:$C,""),"")</f>
        <v/>
      </c>
      <c r="R2938">
        <f>IF(ISNUMBER(SEARCH("HDD",$F2938)),"HDD",IF(ISNUMBER(SEARCH("VCA",$F2938)),"VCA","MND"))</f>
        <v/>
      </c>
      <c r="T2938">
        <f>TEXT($A2938,"yyyy-mm")&amp;"|"&amp;$C2938&amp;"|"&amp;$I2938</f>
        <v/>
      </c>
    </row>
    <row r="2939">
      <c r="A2939" s="36" t="n">
        <v>46181</v>
      </c>
      <c r="B2939" t="inlineStr">
        <is>
          <t>Segunda</t>
        </is>
      </c>
      <c r="C2939" t="inlineStr">
        <is>
          <t>CT João Canzi</t>
        </is>
      </c>
      <c r="D2939" t="inlineStr">
        <is>
          <t>Valmir</t>
        </is>
      </c>
      <c r="E2939" t="inlineStr">
        <is>
          <t>Bruno</t>
        </is>
      </c>
      <c r="F2939" t="inlineStr">
        <is>
          <t>Apoio ao HDD</t>
        </is>
      </c>
      <c r="J2939" t="inlineStr">
        <is>
          <t>HDD</t>
        </is>
      </c>
      <c r="K2939" t="inlineStr">
        <is>
          <t>Planejamento</t>
        </is>
      </c>
      <c r="L2939" t="inlineStr">
        <is>
          <t>PDS-Junho.docx</t>
        </is>
      </c>
      <c r="M2939">
        <f>IF($A2939="","",TEXT($A2939,"mmmm/yyyy"))</f>
        <v/>
      </c>
      <c r="P2939">
        <f>IFERROR(XLOOKUP($N2939,Base_Enderecos!$A:$A,Base_Enderecos!$B:$B,""),"")</f>
        <v/>
      </c>
      <c r="Q2939">
        <f>IFERROR(XLOOKUP($N2939,Base_Enderecos!$A:$A,Base_Enderecos!$C:$C,""),"")</f>
        <v/>
      </c>
      <c r="R2939">
        <f>IF(ISNUMBER(SEARCH("HDD",$F2939)),"HDD",IF(ISNUMBER(SEARCH("VCA",$F2939)),"VCA","MND"))</f>
        <v/>
      </c>
      <c r="T2939">
        <f>TEXT($A2939,"yyyy-mm")&amp;"|"&amp;$C2939&amp;"|"&amp;$I2939</f>
        <v/>
      </c>
    </row>
    <row r="2940">
      <c r="A2940" s="36" t="n">
        <v>46181</v>
      </c>
      <c r="B2940" t="inlineStr">
        <is>
          <t>Segunda</t>
        </is>
      </c>
      <c r="C2940" t="inlineStr">
        <is>
          <t>CT João Canzi</t>
        </is>
      </c>
      <c r="D2940" t="inlineStr">
        <is>
          <t>Valmir</t>
        </is>
      </c>
      <c r="E2940" t="inlineStr">
        <is>
          <t>Medeiros</t>
        </is>
      </c>
      <c r="F2940" t="inlineStr">
        <is>
          <t>Reaterro Shaft PV 10.1</t>
        </is>
      </c>
      <c r="G2940" t="inlineStr">
        <is>
          <t>10.1</t>
        </is>
      </c>
      <c r="I2940" t="inlineStr">
        <is>
          <t>10.1</t>
        </is>
      </c>
      <c r="J2940" t="inlineStr">
        <is>
          <t>Shaft</t>
        </is>
      </c>
      <c r="K2940" t="inlineStr">
        <is>
          <t>Planejamento</t>
        </is>
      </c>
      <c r="L2940" t="inlineStr">
        <is>
          <t>PDS-Junho.docx</t>
        </is>
      </c>
      <c r="M2940">
        <f>IF($A2940="","",TEXT($A2940,"mmmm/yyyy"))</f>
        <v/>
      </c>
      <c r="P2940">
        <f>IFERROR(XLOOKUP($N2940,Base_Enderecos!$A:$A,Base_Enderecos!$B:$B,""),"")</f>
        <v/>
      </c>
      <c r="Q2940">
        <f>IFERROR(XLOOKUP($N2940,Base_Enderecos!$A:$A,Base_Enderecos!$C:$C,""),"")</f>
        <v/>
      </c>
      <c r="R2940">
        <f>IF(ISNUMBER(SEARCH("HDD",$F2940)),"HDD",IF(ISNUMBER(SEARCH("VCA",$F2940)),"VCA","MND"))</f>
        <v/>
      </c>
      <c r="T2940">
        <f>TEXT($A2940,"yyyy-mm")&amp;"|"&amp;$C2940&amp;"|"&amp;$I2940</f>
        <v/>
      </c>
    </row>
    <row r="2941">
      <c r="A2941" s="36" t="n">
        <v>46181</v>
      </c>
      <c r="B2941" t="inlineStr">
        <is>
          <t>Segunda</t>
        </is>
      </c>
      <c r="C2941" t="inlineStr">
        <is>
          <t>CT João Canzi</t>
        </is>
      </c>
      <c r="D2941" t="inlineStr">
        <is>
          <t>Valmir</t>
        </is>
      </c>
      <c r="E2941" t="inlineStr">
        <is>
          <t>Márcio</t>
        </is>
      </c>
      <c r="F2941" t="inlineStr">
        <is>
          <t>Transformação PV 10</t>
        </is>
      </c>
      <c r="G2941" t="inlineStr">
        <is>
          <t>10</t>
        </is>
      </c>
      <c r="I2941" t="inlineStr">
        <is>
          <t>10</t>
        </is>
      </c>
      <c r="J2941" t="inlineStr">
        <is>
          <t>Transformação</t>
        </is>
      </c>
      <c r="K2941" t="inlineStr">
        <is>
          <t>Planejamento</t>
        </is>
      </c>
      <c r="L2941" t="inlineStr">
        <is>
          <t>PDS-Junho.docx</t>
        </is>
      </c>
      <c r="M2941">
        <f>IF($A2941="","",TEXT($A2941,"mmmm/yyyy"))</f>
        <v/>
      </c>
      <c r="P2941">
        <f>IFERROR(XLOOKUP($N2941,Base_Enderecos!$A:$A,Base_Enderecos!$B:$B,""),"")</f>
        <v/>
      </c>
      <c r="Q2941">
        <f>IFERROR(XLOOKUP($N2941,Base_Enderecos!$A:$A,Base_Enderecos!$C:$C,""),"")</f>
        <v/>
      </c>
      <c r="R2941">
        <f>IF(ISNUMBER(SEARCH("HDD",$F2941)),"HDD",IF(ISNUMBER(SEARCH("VCA",$F2941)),"VCA","MND"))</f>
        <v/>
      </c>
      <c r="T2941">
        <f>TEXT($A2941,"yyyy-mm")&amp;"|"&amp;$C2941&amp;"|"&amp;$I2941</f>
        <v/>
      </c>
    </row>
    <row r="2942">
      <c r="A2942" s="36" t="n">
        <v>46181</v>
      </c>
      <c r="B2942" t="inlineStr">
        <is>
          <t>Segunda</t>
        </is>
      </c>
      <c r="C2942" t="inlineStr">
        <is>
          <t>RCE Elvira</t>
        </is>
      </c>
      <c r="D2942" t="inlineStr">
        <is>
          <t>Silvestre</t>
        </is>
      </c>
      <c r="E2942" t="inlineStr">
        <is>
          <t>Valter</t>
        </is>
      </c>
      <c r="F2942" t="inlineStr">
        <is>
          <t>VCA, PVs e Ligações</t>
        </is>
      </c>
      <c r="J2942" t="inlineStr">
        <is>
          <t>VCA</t>
        </is>
      </c>
      <c r="K2942" t="inlineStr">
        <is>
          <t>Planejamento</t>
        </is>
      </c>
      <c r="L2942" t="inlineStr">
        <is>
          <t>PDS-Junho.docx</t>
        </is>
      </c>
      <c r="M2942">
        <f>IF($A2942="","",TEXT($A2942,"mmmm/yyyy"))</f>
        <v/>
      </c>
      <c r="P2942">
        <f>IFERROR(XLOOKUP($N2942,Base_Enderecos!$A:$A,Base_Enderecos!$B:$B,""),"")</f>
        <v/>
      </c>
      <c r="Q2942">
        <f>IFERROR(XLOOKUP($N2942,Base_Enderecos!$A:$A,Base_Enderecos!$C:$C,""),"")</f>
        <v/>
      </c>
      <c r="R2942">
        <f>IF(ISNUMBER(SEARCH("HDD",$F2942)),"HDD",IF(ISNUMBER(SEARCH("VCA",$F2942)),"VCA","MND"))</f>
        <v/>
      </c>
      <c r="T2942">
        <f>TEXT($A2942,"yyyy-mm")&amp;"|"&amp;$C2942&amp;"|"&amp;$I2942</f>
        <v/>
      </c>
    </row>
    <row r="2943">
      <c r="A2943" s="36" t="n">
        <v>46181</v>
      </c>
      <c r="B2943" t="inlineStr">
        <is>
          <t>Segunda</t>
        </is>
      </c>
      <c r="C2943" t="inlineStr">
        <is>
          <t>RCE Elias Sleiman</t>
        </is>
      </c>
      <c r="D2943" t="inlineStr">
        <is>
          <t>Silvestre</t>
        </is>
      </c>
      <c r="E2943" t="inlineStr">
        <is>
          <t>Edvando</t>
        </is>
      </c>
      <c r="F2943" t="inlineStr">
        <is>
          <t>VCA PV 22 ao PV 23</t>
        </is>
      </c>
      <c r="G2943" t="inlineStr">
        <is>
          <t>22</t>
        </is>
      </c>
      <c r="H2943" t="inlineStr">
        <is>
          <t>23</t>
        </is>
      </c>
      <c r="I2943" t="inlineStr">
        <is>
          <t>22 ao 23</t>
        </is>
      </c>
      <c r="J2943" t="inlineStr">
        <is>
          <t>VCA</t>
        </is>
      </c>
      <c r="K2943" t="inlineStr">
        <is>
          <t>Planejamento</t>
        </is>
      </c>
      <c r="L2943" t="inlineStr">
        <is>
          <t>PDS-Junho.docx</t>
        </is>
      </c>
      <c r="M2943">
        <f>IF($A2943="","",TEXT($A2943,"mmmm/yyyy"))</f>
        <v/>
      </c>
      <c r="P2943">
        <f>IFERROR(XLOOKUP($N2943,Base_Enderecos!$A:$A,Base_Enderecos!$B:$B,""),"")</f>
        <v/>
      </c>
      <c r="Q2943">
        <f>IFERROR(XLOOKUP($N2943,Base_Enderecos!$A:$A,Base_Enderecos!$C:$C,""),"")</f>
        <v/>
      </c>
      <c r="R2943">
        <f>IF(ISNUMBER(SEARCH("HDD",$F2943)),"HDD",IF(ISNUMBER(SEARCH("VCA",$F2943)),"VCA","MND"))</f>
        <v/>
      </c>
      <c r="T2943">
        <f>TEXT($A2943,"yyyy-mm")&amp;"|"&amp;$C2943&amp;"|"&amp;$I2943</f>
        <v/>
      </c>
    </row>
    <row r="2944">
      <c r="A2944" s="36" t="n">
        <v>46181</v>
      </c>
      <c r="B2944" t="inlineStr">
        <is>
          <t>Segunda</t>
        </is>
      </c>
      <c r="C2944" t="inlineStr">
        <is>
          <t>RCE Conj. União</t>
        </is>
      </c>
      <c r="D2944" t="inlineStr">
        <is>
          <t>Caroline</t>
        </is>
      </c>
      <c r="E2944" t="inlineStr">
        <is>
          <t>Jhonatan</t>
        </is>
      </c>
      <c r="F2944" t="inlineStr">
        <is>
          <t>VCA, PVs e Ligações</t>
        </is>
      </c>
      <c r="J2944" t="inlineStr">
        <is>
          <t>VCA</t>
        </is>
      </c>
      <c r="K2944" t="inlineStr">
        <is>
          <t>Planejamento</t>
        </is>
      </c>
      <c r="L2944" t="inlineStr">
        <is>
          <t>PDS-Junho.docx</t>
        </is>
      </c>
      <c r="M2944">
        <f>IF($A2944="","",TEXT($A2944,"mmmm/yyyy"))</f>
        <v/>
      </c>
      <c r="P2944">
        <f>IFERROR(XLOOKUP($N2944,Base_Enderecos!$A:$A,Base_Enderecos!$B:$B,""),"")</f>
        <v/>
      </c>
      <c r="Q2944">
        <f>IFERROR(XLOOKUP($N2944,Base_Enderecos!$A:$A,Base_Enderecos!$C:$C,""),"")</f>
        <v/>
      </c>
      <c r="R2944">
        <f>IF(ISNUMBER(SEARCH("HDD",$F2944)),"HDD",IF(ISNUMBER(SEARCH("VCA",$F2944)),"VCA","MND"))</f>
        <v/>
      </c>
      <c r="T2944">
        <f>TEXT($A2944,"yyyy-mm")&amp;"|"&amp;$C2944&amp;"|"&amp;$I2944</f>
        <v/>
      </c>
    </row>
    <row r="2945">
      <c r="A2945" s="36" t="n">
        <v>46181</v>
      </c>
      <c r="B2945" t="inlineStr">
        <is>
          <t>Segunda</t>
        </is>
      </c>
      <c r="C2945" t="inlineStr">
        <is>
          <t>RCE Américo Machado/elis Regina</t>
        </is>
      </c>
      <c r="D2945" t="inlineStr">
        <is>
          <t>Caroline</t>
        </is>
      </c>
      <c r="E2945" t="inlineStr">
        <is>
          <t>Cesar</t>
        </is>
      </c>
      <c r="F2945" t="inlineStr">
        <is>
          <t>VCA, PVs e Ligações</t>
        </is>
      </c>
      <c r="J2945" t="inlineStr">
        <is>
          <t>VCA</t>
        </is>
      </c>
      <c r="K2945" t="inlineStr">
        <is>
          <t>Planejamento</t>
        </is>
      </c>
      <c r="L2945" t="inlineStr">
        <is>
          <t>PDS-Junho.docx</t>
        </is>
      </c>
      <c r="M2945">
        <f>IF($A2945="","",TEXT($A2945,"mmmm/yyyy"))</f>
        <v/>
      </c>
      <c r="P2945">
        <f>IFERROR(XLOOKUP($N2945,Base_Enderecos!$A:$A,Base_Enderecos!$B:$B,""),"")</f>
        <v/>
      </c>
      <c r="Q2945">
        <f>IFERROR(XLOOKUP($N2945,Base_Enderecos!$A:$A,Base_Enderecos!$C:$C,""),"")</f>
        <v/>
      </c>
      <c r="R2945">
        <f>IF(ISNUMBER(SEARCH("HDD",$F2945)),"HDD",IF(ISNUMBER(SEARCH("VCA",$F2945)),"VCA","MND"))</f>
        <v/>
      </c>
      <c r="T2945">
        <f>TEXT($A2945,"yyyy-mm")&amp;"|"&amp;$C2945&amp;"|"&amp;$I2945</f>
        <v/>
      </c>
    </row>
    <row r="2946">
      <c r="A2946" s="36" t="n">
        <v>46181</v>
      </c>
      <c r="B2946" t="inlineStr">
        <is>
          <t>Segunda</t>
        </is>
      </c>
      <c r="C2946" t="inlineStr">
        <is>
          <t>CTS Lourdes Complementar</t>
        </is>
      </c>
      <c r="D2946" t="inlineStr">
        <is>
          <t>Robson</t>
        </is>
      </c>
      <c r="E2946" t="inlineStr">
        <is>
          <t>Marcelo</t>
        </is>
      </c>
      <c r="F2946" t="inlineStr">
        <is>
          <t>Transformação PV 05 + Interligação</t>
        </is>
      </c>
      <c r="G2946" t="inlineStr">
        <is>
          <t>05</t>
        </is>
      </c>
      <c r="I2946" t="inlineStr">
        <is>
          <t>05</t>
        </is>
      </c>
      <c r="J2946" t="inlineStr">
        <is>
          <t>Transformação</t>
        </is>
      </c>
      <c r="K2946" t="inlineStr">
        <is>
          <t>Planejamento</t>
        </is>
      </c>
      <c r="L2946" t="inlineStr">
        <is>
          <t>PDS-Junho.docx</t>
        </is>
      </c>
      <c r="M2946">
        <f>IF($A2946="","",TEXT($A2946,"mmmm/yyyy"))</f>
        <v/>
      </c>
      <c r="P2946">
        <f>IFERROR(XLOOKUP($N2946,Base_Enderecos!$A:$A,Base_Enderecos!$B:$B,""),"")</f>
        <v/>
      </c>
      <c r="Q2946">
        <f>IFERROR(XLOOKUP($N2946,Base_Enderecos!$A:$A,Base_Enderecos!$C:$C,""),"")</f>
        <v/>
      </c>
      <c r="R2946">
        <f>IF(ISNUMBER(SEARCH("HDD",$F2946)),"HDD",IF(ISNUMBER(SEARCH("VCA",$F2946)),"VCA","MND"))</f>
        <v/>
      </c>
      <c r="T2946">
        <f>TEXT($A2946,"yyyy-mm")&amp;"|"&amp;$C2946&amp;"|"&amp;$I2946</f>
        <v/>
      </c>
    </row>
    <row r="2947">
      <c r="A2947" s="36" t="n">
        <v>46181</v>
      </c>
      <c r="B2947" t="inlineStr">
        <is>
          <t>Segunda</t>
        </is>
      </c>
      <c r="C2947" t="inlineStr">
        <is>
          <t>RCE São Lucas</t>
        </is>
      </c>
      <c r="D2947" t="inlineStr">
        <is>
          <t>Fábio</t>
        </is>
      </c>
      <c r="E2947" t="inlineStr">
        <is>
          <t>Ricardo</t>
        </is>
      </c>
      <c r="F2947" t="inlineStr">
        <is>
          <t>VCA, PVs e Ligações</t>
        </is>
      </c>
      <c r="J2947" t="inlineStr">
        <is>
          <t>VCA</t>
        </is>
      </c>
      <c r="K2947" t="inlineStr">
        <is>
          <t>Planejamento</t>
        </is>
      </c>
      <c r="L2947" t="inlineStr">
        <is>
          <t>PDS-Junho.docx</t>
        </is>
      </c>
      <c r="M2947">
        <f>IF($A2947="","",TEXT($A2947,"mmmm/yyyy"))</f>
        <v/>
      </c>
      <c r="P2947">
        <f>IFERROR(XLOOKUP($N2947,Base_Enderecos!$A:$A,Base_Enderecos!$B:$B,""),"")</f>
        <v/>
      </c>
      <c r="Q2947">
        <f>IFERROR(XLOOKUP($N2947,Base_Enderecos!$A:$A,Base_Enderecos!$C:$C,""),"")</f>
        <v/>
      </c>
      <c r="R2947">
        <f>IF(ISNUMBER(SEARCH("HDD",$F2947)),"HDD",IF(ISNUMBER(SEARCH("VCA",$F2947)),"VCA","MND"))</f>
        <v/>
      </c>
      <c r="T2947">
        <f>TEXT($A2947,"yyyy-mm")&amp;"|"&amp;$C2947&amp;"|"&amp;$I2947</f>
        <v/>
      </c>
    </row>
    <row r="2948">
      <c r="A2948" s="36" t="n">
        <v>46181</v>
      </c>
      <c r="B2948" t="inlineStr">
        <is>
          <t>Segunda</t>
        </is>
      </c>
      <c r="C2948" t="inlineStr">
        <is>
          <t>RCE São Lucas</t>
        </is>
      </c>
      <c r="D2948" t="inlineStr">
        <is>
          <t>Fábio</t>
        </is>
      </c>
      <c r="E2948" t="inlineStr">
        <is>
          <t>Claudinei</t>
        </is>
      </c>
      <c r="F2948" t="inlineStr">
        <is>
          <t>VCA, PVs e Ligações</t>
        </is>
      </c>
      <c r="J2948" t="inlineStr">
        <is>
          <t>VCA</t>
        </is>
      </c>
      <c r="K2948" t="inlineStr">
        <is>
          <t>Planejamento</t>
        </is>
      </c>
      <c r="L2948" t="inlineStr">
        <is>
          <t>PDS-Junho.docx</t>
        </is>
      </c>
      <c r="M2948">
        <f>IF($A2948="","",TEXT($A2948,"mmmm/yyyy"))</f>
        <v/>
      </c>
      <c r="P2948">
        <f>IFERROR(XLOOKUP($N2948,Base_Enderecos!$A:$A,Base_Enderecos!$B:$B,""),"")</f>
        <v/>
      </c>
      <c r="Q2948">
        <f>IFERROR(XLOOKUP($N2948,Base_Enderecos!$A:$A,Base_Enderecos!$C:$C,""),"")</f>
        <v/>
      </c>
      <c r="R2948">
        <f>IF(ISNUMBER(SEARCH("HDD",$F2948)),"HDD",IF(ISNUMBER(SEARCH("VCA",$F2948)),"VCA","MND"))</f>
        <v/>
      </c>
      <c r="T2948">
        <f>TEXT($A2948,"yyyy-mm")&amp;"|"&amp;$C2948&amp;"|"&amp;$I2948</f>
        <v/>
      </c>
    </row>
    <row r="2949">
      <c r="A2949" s="36" t="n">
        <v>46181</v>
      </c>
      <c r="B2949" t="inlineStr">
        <is>
          <t>Segunda</t>
        </is>
      </c>
      <c r="C2949" t="inlineStr">
        <is>
          <t>RCE São Lucas</t>
        </is>
      </c>
      <c r="D2949" t="inlineStr">
        <is>
          <t>Fábio</t>
        </is>
      </c>
      <c r="E2949" t="inlineStr">
        <is>
          <t>Miro</t>
        </is>
      </c>
      <c r="F2949" t="inlineStr">
        <is>
          <t>VCA, PVs e Ligações</t>
        </is>
      </c>
      <c r="J2949" t="inlineStr">
        <is>
          <t>VCA</t>
        </is>
      </c>
      <c r="K2949" t="inlineStr">
        <is>
          <t>Planejamento</t>
        </is>
      </c>
      <c r="L2949" t="inlineStr">
        <is>
          <t>PDS-Junho.docx</t>
        </is>
      </c>
      <c r="M2949">
        <f>IF($A2949="","",TEXT($A2949,"mmmm/yyyy"))</f>
        <v/>
      </c>
      <c r="P2949">
        <f>IFERROR(XLOOKUP($N2949,Base_Enderecos!$A:$A,Base_Enderecos!$B:$B,""),"")</f>
        <v/>
      </c>
      <c r="Q2949">
        <f>IFERROR(XLOOKUP($N2949,Base_Enderecos!$A:$A,Base_Enderecos!$C:$C,""),"")</f>
        <v/>
      </c>
      <c r="R2949">
        <f>IF(ISNUMBER(SEARCH("HDD",$F2949)),"HDD",IF(ISNUMBER(SEARCH("VCA",$F2949)),"VCA","MND"))</f>
        <v/>
      </c>
      <c r="T2949">
        <f>TEXT($A2949,"yyyy-mm")&amp;"|"&amp;$C2949&amp;"|"&amp;$I2949</f>
        <v/>
      </c>
    </row>
    <row r="2950">
      <c r="A2950" s="36" t="n">
        <v>46181</v>
      </c>
      <c r="B2950" t="inlineStr">
        <is>
          <t>Segunda</t>
        </is>
      </c>
      <c r="C2950" t="inlineStr">
        <is>
          <t>RCE São Lucas</t>
        </is>
      </c>
      <c r="D2950" t="inlineStr">
        <is>
          <t>Fábio</t>
        </is>
      </c>
      <c r="E2950" t="inlineStr">
        <is>
          <t>Emanuel</t>
        </is>
      </c>
      <c r="F2950" t="inlineStr">
        <is>
          <t>VCA, PVs e Ligações</t>
        </is>
      </c>
      <c r="J2950" t="inlineStr">
        <is>
          <t>VCA</t>
        </is>
      </c>
      <c r="K2950" t="inlineStr">
        <is>
          <t>Planejamento</t>
        </is>
      </c>
      <c r="L2950" t="inlineStr">
        <is>
          <t>PDS-Junho.docx</t>
        </is>
      </c>
      <c r="M2950">
        <f>IF($A2950="","",TEXT($A2950,"mmmm/yyyy"))</f>
        <v/>
      </c>
      <c r="P2950">
        <f>IFERROR(XLOOKUP($N2950,Base_Enderecos!$A:$A,Base_Enderecos!$B:$B,""),"")</f>
        <v/>
      </c>
      <c r="Q2950">
        <f>IFERROR(XLOOKUP($N2950,Base_Enderecos!$A:$A,Base_Enderecos!$C:$C,""),"")</f>
        <v/>
      </c>
      <c r="R2950">
        <f>IF(ISNUMBER(SEARCH("HDD",$F2950)),"HDD",IF(ISNUMBER(SEARCH("VCA",$F2950)),"VCA","MND"))</f>
        <v/>
      </c>
      <c r="T2950">
        <f>TEXT($A2950,"yyyy-mm")&amp;"|"&amp;$C2950&amp;"|"&amp;$I2950</f>
        <v/>
      </c>
    </row>
    <row r="2951">
      <c r="A2951" s="36" t="n">
        <v>46181</v>
      </c>
      <c r="B2951" t="inlineStr">
        <is>
          <t>Segunda</t>
        </is>
      </c>
      <c r="C2951" t="inlineStr">
        <is>
          <t>RCE São Lucas</t>
        </is>
      </c>
      <c r="D2951" t="inlineStr">
        <is>
          <t>Fábio</t>
        </is>
      </c>
      <c r="E2951" t="inlineStr">
        <is>
          <t>Antonio</t>
        </is>
      </c>
      <c r="F2951" t="inlineStr">
        <is>
          <t>VCA, PVs e Ligações</t>
        </is>
      </c>
      <c r="J2951" t="inlineStr">
        <is>
          <t>VCA</t>
        </is>
      </c>
      <c r="K2951" t="inlineStr">
        <is>
          <t>Planejamento</t>
        </is>
      </c>
      <c r="L2951" t="inlineStr">
        <is>
          <t>PDS-Junho.docx</t>
        </is>
      </c>
      <c r="M2951">
        <f>IF($A2951="","",TEXT($A2951,"mmmm/yyyy"))</f>
        <v/>
      </c>
      <c r="P2951">
        <f>IFERROR(XLOOKUP($N2951,Base_Enderecos!$A:$A,Base_Enderecos!$B:$B,""),"")</f>
        <v/>
      </c>
      <c r="Q2951">
        <f>IFERROR(XLOOKUP($N2951,Base_Enderecos!$A:$A,Base_Enderecos!$C:$C,""),"")</f>
        <v/>
      </c>
      <c r="R2951">
        <f>IF(ISNUMBER(SEARCH("HDD",$F2951)),"HDD",IF(ISNUMBER(SEARCH("VCA",$F2951)),"VCA","MND"))</f>
        <v/>
      </c>
      <c r="T2951">
        <f>TEXT($A2951,"yyyy-mm")&amp;"|"&amp;$C2951&amp;"|"&amp;$I2951</f>
        <v/>
      </c>
    </row>
    <row r="2952">
      <c r="A2952" s="36" t="n">
        <v>46181</v>
      </c>
      <c r="B2952" t="inlineStr">
        <is>
          <t>Segunda</t>
        </is>
      </c>
      <c r="C2952" t="inlineStr">
        <is>
          <t>RCE São Lucas</t>
        </is>
      </c>
      <c r="D2952" t="inlineStr">
        <is>
          <t>Fábio</t>
        </is>
      </c>
      <c r="E2952" t="inlineStr">
        <is>
          <t>Antonio</t>
        </is>
      </c>
      <c r="F2952" t="inlineStr">
        <is>
          <t>SERVIÇOS REPOSIÇÃO – LEANDRO</t>
        </is>
      </c>
      <c r="J2952" t="inlineStr">
        <is>
          <t>Atividade</t>
        </is>
      </c>
      <c r="K2952" t="inlineStr">
        <is>
          <t>Planejamento</t>
        </is>
      </c>
      <c r="L2952" t="inlineStr">
        <is>
          <t>PDS-Junho.docx</t>
        </is>
      </c>
      <c r="M2952">
        <f>IF($A2952="","",TEXT($A2952,"mmmm/yyyy"))</f>
        <v/>
      </c>
      <c r="P2952">
        <f>IFERROR(XLOOKUP($N2952,Base_Enderecos!$A:$A,Base_Enderecos!$B:$B,""),"")</f>
        <v/>
      </c>
      <c r="Q2952">
        <f>IFERROR(XLOOKUP($N2952,Base_Enderecos!$A:$A,Base_Enderecos!$C:$C,""),"")</f>
        <v/>
      </c>
      <c r="R2952">
        <f>IF(ISNUMBER(SEARCH("HDD",$F2952)),"HDD",IF(ISNUMBER(SEARCH("VCA",$F2952)),"VCA","MND"))</f>
        <v/>
      </c>
      <c r="T2952">
        <f>TEXT($A2952,"yyyy-mm")&amp;"|"&amp;$C2952&amp;"|"&amp;$I2952</f>
        <v/>
      </c>
    </row>
    <row r="2953">
      <c r="A2953" s="36" t="n">
        <v>46181</v>
      </c>
      <c r="B2953" t="inlineStr">
        <is>
          <t>Segunda</t>
        </is>
      </c>
      <c r="C2953" t="inlineStr">
        <is>
          <t>RCE São Lucas</t>
        </is>
      </c>
      <c r="D2953" t="inlineStr">
        <is>
          <t>Fábio</t>
        </is>
      </c>
      <c r="E2953" t="inlineStr">
        <is>
          <t>Antonio</t>
        </is>
      </c>
      <c r="F2953" t="inlineStr">
        <is>
          <t>Reparos Gerais</t>
        </is>
      </c>
      <c r="J2953" t="inlineStr">
        <is>
          <t>Atividade</t>
        </is>
      </c>
      <c r="K2953" t="inlineStr">
        <is>
          <t>Planejamento</t>
        </is>
      </c>
      <c r="L2953" t="inlineStr">
        <is>
          <t>PDS-Junho.docx</t>
        </is>
      </c>
      <c r="M2953">
        <f>IF($A2953="","",TEXT($A2953,"mmmm/yyyy"))</f>
        <v/>
      </c>
      <c r="P2953">
        <f>IFERROR(XLOOKUP($N2953,Base_Enderecos!$A:$A,Base_Enderecos!$B:$B,""),"")</f>
        <v/>
      </c>
      <c r="Q2953">
        <f>IFERROR(XLOOKUP($N2953,Base_Enderecos!$A:$A,Base_Enderecos!$C:$C,""),"")</f>
        <v/>
      </c>
      <c r="R2953">
        <f>IF(ISNUMBER(SEARCH("HDD",$F2953)),"HDD",IF(ISNUMBER(SEARCH("VCA",$F2953)),"VCA","MND"))</f>
        <v/>
      </c>
      <c r="T2953">
        <f>TEXT($A2953,"yyyy-mm")&amp;"|"&amp;$C2953&amp;"|"&amp;$I2953</f>
        <v/>
      </c>
    </row>
    <row r="2954">
      <c r="A2954" s="36" t="n">
        <v>46181</v>
      </c>
      <c r="B2954" t="inlineStr">
        <is>
          <t>Segunda</t>
        </is>
      </c>
      <c r="C2954" t="inlineStr">
        <is>
          <t>CTS Lageado</t>
        </is>
      </c>
      <c r="D2954" t="inlineStr">
        <is>
          <t>Gabriel</t>
        </is>
      </c>
      <c r="E2954" t="inlineStr">
        <is>
          <t>Cidão</t>
        </is>
      </c>
      <c r="F2954" t="inlineStr">
        <is>
          <t>Acabamentos gerais</t>
        </is>
      </c>
      <c r="J2954" t="inlineStr">
        <is>
          <t>Acabamento</t>
        </is>
      </c>
      <c r="K2954" t="inlineStr">
        <is>
          <t>Planejamento</t>
        </is>
      </c>
      <c r="L2954" t="inlineStr">
        <is>
          <t>PDS-Junho.docx</t>
        </is>
      </c>
      <c r="M2954">
        <f>IF($A2954="","",TEXT($A2954,"mmmm/yyyy"))</f>
        <v/>
      </c>
      <c r="P2954">
        <f>IFERROR(XLOOKUP($N2954,Base_Enderecos!$A:$A,Base_Enderecos!$B:$B,""),"")</f>
        <v/>
      </c>
      <c r="Q2954">
        <f>IFERROR(XLOOKUP($N2954,Base_Enderecos!$A:$A,Base_Enderecos!$C:$C,""),"")</f>
        <v/>
      </c>
      <c r="R2954">
        <f>IF(ISNUMBER(SEARCH("HDD",$F2954)),"HDD",IF(ISNUMBER(SEARCH("VCA",$F2954)),"VCA","MND"))</f>
        <v/>
      </c>
      <c r="T2954">
        <f>TEXT($A2954,"yyyy-mm")&amp;"|"&amp;$C2954&amp;"|"&amp;$I2954</f>
        <v/>
      </c>
    </row>
    <row r="2955">
      <c r="A2955" s="36" t="n">
        <v>46181</v>
      </c>
      <c r="B2955" t="inlineStr">
        <is>
          <t>Segunda</t>
        </is>
      </c>
      <c r="C2955" t="inlineStr">
        <is>
          <t>João Canzi</t>
        </is>
      </c>
      <c r="E2955" t="inlineStr">
        <is>
          <t>Vacal</t>
        </is>
      </c>
      <c r="F2955" t="inlineStr">
        <is>
          <t>João Canzi – Henko (Wellington/Thiago)</t>
        </is>
      </c>
      <c r="J2955" t="inlineStr">
        <is>
          <t>Atividade</t>
        </is>
      </c>
      <c r="K2955" t="inlineStr">
        <is>
          <t>Apoio</t>
        </is>
      </c>
      <c r="L2955" t="inlineStr">
        <is>
          <t>PDS-Junho.docx</t>
        </is>
      </c>
      <c r="M2955">
        <f>IF($A2955="","",TEXT($A2955,"mmmm/yyyy"))</f>
        <v/>
      </c>
      <c r="P2955">
        <f>IFERROR(XLOOKUP($N2955,Base_Enderecos!$A:$A,Base_Enderecos!$B:$B,""),"")</f>
        <v/>
      </c>
      <c r="Q2955">
        <f>IFERROR(XLOOKUP($N2955,Base_Enderecos!$A:$A,Base_Enderecos!$C:$C,""),"")</f>
        <v/>
      </c>
      <c r="R2955">
        <f>IF(ISNUMBER(SEARCH("HDD",$F2955)),"HDD",IF(ISNUMBER(SEARCH("VCA",$F2955)),"VCA","MND"))</f>
        <v/>
      </c>
      <c r="T2955">
        <f>TEXT($A2955,"yyyy-mm")&amp;"|"&amp;$C2955&amp;"|"&amp;$I2955</f>
        <v/>
      </c>
    </row>
    <row r="2956">
      <c r="A2956" s="36" t="n">
        <v>46181</v>
      </c>
      <c r="B2956" t="inlineStr">
        <is>
          <t>Segunda</t>
        </is>
      </c>
      <c r="C2956" t="inlineStr">
        <is>
          <t>João Canzi</t>
        </is>
      </c>
      <c r="E2956" t="inlineStr">
        <is>
          <t>Vacal</t>
        </is>
      </c>
      <c r="F2956" t="inlineStr">
        <is>
          <t>João Canzi – Henko (Marcio)</t>
        </is>
      </c>
      <c r="J2956" t="inlineStr">
        <is>
          <t>Atividade</t>
        </is>
      </c>
      <c r="K2956" t="inlineStr">
        <is>
          <t>Apoio</t>
        </is>
      </c>
      <c r="L2956" t="inlineStr">
        <is>
          <t>PDS-Junho.docx</t>
        </is>
      </c>
      <c r="M2956">
        <f>IF($A2956="","",TEXT($A2956,"mmmm/yyyy"))</f>
        <v/>
      </c>
      <c r="P2956">
        <f>IFERROR(XLOOKUP($N2956,Base_Enderecos!$A:$A,Base_Enderecos!$B:$B,""),"")</f>
        <v/>
      </c>
      <c r="Q2956">
        <f>IFERROR(XLOOKUP($N2956,Base_Enderecos!$A:$A,Base_Enderecos!$C:$C,""),"")</f>
        <v/>
      </c>
      <c r="R2956">
        <f>IF(ISNUMBER(SEARCH("HDD",$F2956)),"HDD",IF(ISNUMBER(SEARCH("VCA",$F2956)),"VCA","MND"))</f>
        <v/>
      </c>
      <c r="T2956">
        <f>TEXT($A2956,"yyyy-mm")&amp;"|"&amp;$C2956&amp;"|"&amp;$I2956</f>
        <v/>
      </c>
    </row>
    <row r="2957">
      <c r="A2957" s="36" t="n">
        <v>46181</v>
      </c>
      <c r="B2957" t="inlineStr">
        <is>
          <t>Segunda</t>
        </is>
      </c>
      <c r="C2957" t="inlineStr">
        <is>
          <t>Iti 15</t>
        </is>
      </c>
      <c r="E2957" t="inlineStr">
        <is>
          <t>Vacal</t>
        </is>
      </c>
      <c r="F2957" t="inlineStr">
        <is>
          <t>ITI 15 – Henko (Osmar)</t>
        </is>
      </c>
      <c r="J2957" t="inlineStr">
        <is>
          <t>Atividade</t>
        </is>
      </c>
      <c r="K2957" t="inlineStr">
        <is>
          <t>Apoio</t>
        </is>
      </c>
      <c r="L2957" t="inlineStr">
        <is>
          <t>PDS-Junho.docx</t>
        </is>
      </c>
      <c r="M2957">
        <f>IF($A2957="","",TEXT($A2957,"mmmm/yyyy"))</f>
        <v/>
      </c>
      <c r="P2957">
        <f>IFERROR(XLOOKUP($N2957,Base_Enderecos!$A:$A,Base_Enderecos!$B:$B,""),"")</f>
        <v/>
      </c>
      <c r="Q2957">
        <f>IFERROR(XLOOKUP($N2957,Base_Enderecos!$A:$A,Base_Enderecos!$C:$C,""),"")</f>
        <v/>
      </c>
      <c r="R2957">
        <f>IF(ISNUMBER(SEARCH("HDD",$F2957)),"HDD",IF(ISNUMBER(SEARCH("VCA",$F2957)),"VCA","MND"))</f>
        <v/>
      </c>
      <c r="T2957">
        <f>TEXT($A2957,"yyyy-mm")&amp;"|"&amp;$C2957&amp;"|"&amp;$I2957</f>
        <v/>
      </c>
    </row>
    <row r="2958">
      <c r="A2958" s="36" t="n">
        <v>46181</v>
      </c>
      <c r="B2958" t="inlineStr">
        <is>
          <t>Segunda</t>
        </is>
      </c>
      <c r="C2958" t="inlineStr">
        <is>
          <t>Guindauto</t>
        </is>
      </c>
      <c r="E2958" t="inlineStr">
        <is>
          <t>Guindauto</t>
        </is>
      </c>
      <c r="F2958" t="inlineStr">
        <is>
          <t>Marcio - Apoio as equipes</t>
        </is>
      </c>
      <c r="J2958" t="inlineStr">
        <is>
          <t>Atividade</t>
        </is>
      </c>
      <c r="K2958" t="inlineStr">
        <is>
          <t>Apoio</t>
        </is>
      </c>
      <c r="L2958" t="inlineStr">
        <is>
          <t>PDS-Junho.docx</t>
        </is>
      </c>
      <c r="M2958">
        <f>IF($A2958="","",TEXT($A2958,"mmmm/yyyy"))</f>
        <v/>
      </c>
      <c r="P2958">
        <f>IFERROR(XLOOKUP($N2958,Base_Enderecos!$A:$A,Base_Enderecos!$B:$B,""),"")</f>
        <v/>
      </c>
      <c r="Q2958">
        <f>IFERROR(XLOOKUP($N2958,Base_Enderecos!$A:$A,Base_Enderecos!$C:$C,""),"")</f>
        <v/>
      </c>
      <c r="R2958">
        <f>IF(ISNUMBER(SEARCH("HDD",$F2958)),"HDD",IF(ISNUMBER(SEARCH("VCA",$F2958)),"VCA","MND"))</f>
        <v/>
      </c>
      <c r="T2958">
        <f>TEXT($A2958,"yyyy-mm")&amp;"|"&amp;$C2958&amp;"|"&amp;$I2958</f>
        <v/>
      </c>
    </row>
    <row r="2959">
      <c r="A2959" s="36" t="n">
        <v>46181</v>
      </c>
      <c r="B2959" t="inlineStr">
        <is>
          <t>Segunda</t>
        </is>
      </c>
      <c r="C2959" t="inlineStr">
        <is>
          <t>Guindauto</t>
        </is>
      </c>
      <c r="E2959" t="inlineStr">
        <is>
          <t>Guindauto</t>
        </is>
      </c>
      <c r="F2959" t="inlineStr">
        <is>
          <t>Luiz - Apoio as equipes</t>
        </is>
      </c>
      <c r="J2959" t="inlineStr">
        <is>
          <t>Atividade</t>
        </is>
      </c>
      <c r="K2959" t="inlineStr">
        <is>
          <t>Apoio</t>
        </is>
      </c>
      <c r="L2959" t="inlineStr">
        <is>
          <t>PDS-Junho.docx</t>
        </is>
      </c>
      <c r="M2959">
        <f>IF($A2959="","",TEXT($A2959,"mmmm/yyyy"))</f>
        <v/>
      </c>
      <c r="P2959">
        <f>IFERROR(XLOOKUP($N2959,Base_Enderecos!$A:$A,Base_Enderecos!$B:$B,""),"")</f>
        <v/>
      </c>
      <c r="Q2959">
        <f>IFERROR(XLOOKUP($N2959,Base_Enderecos!$A:$A,Base_Enderecos!$C:$C,""),"")</f>
        <v/>
      </c>
      <c r="R2959">
        <f>IF(ISNUMBER(SEARCH("HDD",$F2959)),"HDD",IF(ISNUMBER(SEARCH("VCA",$F2959)),"VCA","MND"))</f>
        <v/>
      </c>
      <c r="T2959">
        <f>TEXT($A2959,"yyyy-mm")&amp;"|"&amp;$C2959&amp;"|"&amp;$I2959</f>
        <v/>
      </c>
    </row>
    <row r="2960">
      <c r="A2960" s="36" t="n">
        <v>46184</v>
      </c>
      <c r="B2960" t="inlineStr">
        <is>
          <t>Quinta</t>
        </is>
      </c>
      <c r="C2960" t="inlineStr">
        <is>
          <t>CT João Canzi</t>
        </is>
      </c>
      <c r="D2960" t="inlineStr">
        <is>
          <t>Robson</t>
        </is>
      </c>
      <c r="E2960" t="inlineStr">
        <is>
          <t>Márcio</t>
        </is>
      </c>
      <c r="F2960" t="inlineStr">
        <is>
          <t>Corte da cabeça de puxe PV-19</t>
        </is>
      </c>
      <c r="G2960" t="inlineStr">
        <is>
          <t>19</t>
        </is>
      </c>
      <c r="I2960" t="inlineStr">
        <is>
          <t>19</t>
        </is>
      </c>
      <c r="J2960" t="inlineStr">
        <is>
          <t>HDD</t>
        </is>
      </c>
      <c r="K2960" t="inlineStr">
        <is>
          <t>Planejamento</t>
        </is>
      </c>
      <c r="L2960" t="inlineStr">
        <is>
          <t>PDS-Junho.docx</t>
        </is>
      </c>
      <c r="M2960">
        <f>IF($A2960="","",TEXT($A2960,"mmmm/yyyy"))</f>
        <v/>
      </c>
      <c r="P2960">
        <f>IFERROR(XLOOKUP($N2960,Base_Enderecos!$A:$A,Base_Enderecos!$B:$B,""),"")</f>
        <v/>
      </c>
      <c r="Q2960">
        <f>IFERROR(XLOOKUP($N2960,Base_Enderecos!$A:$A,Base_Enderecos!$C:$C,""),"")</f>
        <v/>
      </c>
      <c r="R2960">
        <f>IF(ISNUMBER(SEARCH("HDD",$F2960)),"HDD",IF(ISNUMBER(SEARCH("VCA",$F2960)),"VCA","MND"))</f>
        <v/>
      </c>
      <c r="T2960">
        <f>TEXT($A2960,"yyyy-mm")&amp;"|"&amp;$C2960&amp;"|"&amp;$I2960</f>
        <v/>
      </c>
    </row>
    <row r="2961">
      <c r="A2961" s="36" t="n">
        <v>46184</v>
      </c>
      <c r="B2961" t="inlineStr">
        <is>
          <t>Quinta</t>
        </is>
      </c>
      <c r="C2961" t="inlineStr">
        <is>
          <t>CT João Canzi</t>
        </is>
      </c>
      <c r="D2961" t="inlineStr">
        <is>
          <t>Robson</t>
        </is>
      </c>
      <c r="E2961" t="inlineStr">
        <is>
          <t>Medeiros</t>
        </is>
      </c>
      <c r="F2961" t="inlineStr">
        <is>
          <t>Reaterro Shaft PV 10.1</t>
        </is>
      </c>
      <c r="G2961" t="inlineStr">
        <is>
          <t>10.1</t>
        </is>
      </c>
      <c r="I2961" t="inlineStr">
        <is>
          <t>10.1</t>
        </is>
      </c>
      <c r="J2961" t="inlineStr">
        <is>
          <t>Shaft</t>
        </is>
      </c>
      <c r="K2961" t="inlineStr">
        <is>
          <t>Planejamento</t>
        </is>
      </c>
      <c r="L2961" t="inlineStr">
        <is>
          <t>PDS-Junho.docx</t>
        </is>
      </c>
      <c r="M2961">
        <f>IF($A2961="","",TEXT($A2961,"mmmm/yyyy"))</f>
        <v/>
      </c>
      <c r="P2961">
        <f>IFERROR(XLOOKUP($N2961,Base_Enderecos!$A:$A,Base_Enderecos!$B:$B,""),"")</f>
        <v/>
      </c>
      <c r="Q2961">
        <f>IFERROR(XLOOKUP($N2961,Base_Enderecos!$A:$A,Base_Enderecos!$C:$C,""),"")</f>
        <v/>
      </c>
      <c r="R2961">
        <f>IF(ISNUMBER(SEARCH("HDD",$F2961)),"HDD",IF(ISNUMBER(SEARCH("VCA",$F2961)),"VCA","MND"))</f>
        <v/>
      </c>
      <c r="T2961">
        <f>TEXT($A2961,"yyyy-mm")&amp;"|"&amp;$C2961&amp;"|"&amp;$I2961</f>
        <v/>
      </c>
    </row>
    <row r="2962">
      <c r="A2962" s="36" t="n">
        <v>46184</v>
      </c>
      <c r="B2962" t="inlineStr">
        <is>
          <t>Quinta</t>
        </is>
      </c>
      <c r="C2962" t="inlineStr">
        <is>
          <t>CT João Canzi</t>
        </is>
      </c>
      <c r="D2962" t="inlineStr">
        <is>
          <t>Robson</t>
        </is>
      </c>
      <c r="E2962" t="inlineStr">
        <is>
          <t>Cidão</t>
        </is>
      </c>
      <c r="F2962" t="inlineStr">
        <is>
          <t>Transformação PV 18</t>
        </is>
      </c>
      <c r="G2962" t="inlineStr">
        <is>
          <t>18</t>
        </is>
      </c>
      <c r="I2962" t="inlineStr">
        <is>
          <t>18</t>
        </is>
      </c>
      <c r="J2962" t="inlineStr">
        <is>
          <t>Transformação</t>
        </is>
      </c>
      <c r="K2962" t="inlineStr">
        <is>
          <t>Planejamento</t>
        </is>
      </c>
      <c r="L2962" t="inlineStr">
        <is>
          <t>PDS-Junho.docx</t>
        </is>
      </c>
      <c r="M2962">
        <f>IF($A2962="","",TEXT($A2962,"mmmm/yyyy"))</f>
        <v/>
      </c>
      <c r="P2962">
        <f>IFERROR(XLOOKUP($N2962,Base_Enderecos!$A:$A,Base_Enderecos!$B:$B,""),"")</f>
        <v/>
      </c>
      <c r="Q2962">
        <f>IFERROR(XLOOKUP($N2962,Base_Enderecos!$A:$A,Base_Enderecos!$C:$C,""),"")</f>
        <v/>
      </c>
      <c r="R2962">
        <f>IF(ISNUMBER(SEARCH("HDD",$F2962)),"HDD",IF(ISNUMBER(SEARCH("VCA",$F2962)),"VCA","MND"))</f>
        <v/>
      </c>
      <c r="T2962">
        <f>TEXT($A2962,"yyyy-mm")&amp;"|"&amp;$C2962&amp;"|"&amp;$I2962</f>
        <v/>
      </c>
    </row>
    <row r="2963">
      <c r="A2963" s="36" t="n">
        <v>46184</v>
      </c>
      <c r="B2963" t="inlineStr">
        <is>
          <t>Quinta</t>
        </is>
      </c>
      <c r="C2963" t="inlineStr">
        <is>
          <t>CT João Canzi</t>
        </is>
      </c>
      <c r="D2963" t="inlineStr">
        <is>
          <t>Robson</t>
        </is>
      </c>
      <c r="E2963" t="inlineStr">
        <is>
          <t>Márcio</t>
        </is>
      </c>
      <c r="F2963" t="inlineStr">
        <is>
          <t>Shaft PV 21</t>
        </is>
      </c>
      <c r="G2963" t="inlineStr">
        <is>
          <t>21</t>
        </is>
      </c>
      <c r="I2963" t="inlineStr">
        <is>
          <t>21</t>
        </is>
      </c>
      <c r="J2963" t="inlineStr">
        <is>
          <t>Shaft</t>
        </is>
      </c>
      <c r="K2963" t="inlineStr">
        <is>
          <t>Planejamento</t>
        </is>
      </c>
      <c r="L2963" t="inlineStr">
        <is>
          <t>PDS-Junho.docx</t>
        </is>
      </c>
      <c r="M2963">
        <f>IF($A2963="","",TEXT($A2963,"mmmm/yyyy"))</f>
        <v/>
      </c>
      <c r="P2963">
        <f>IFERROR(XLOOKUP($N2963,Base_Enderecos!$A:$A,Base_Enderecos!$B:$B,""),"")</f>
        <v/>
      </c>
      <c r="Q2963">
        <f>IFERROR(XLOOKUP($N2963,Base_Enderecos!$A:$A,Base_Enderecos!$C:$C,""),"")</f>
        <v/>
      </c>
      <c r="R2963">
        <f>IF(ISNUMBER(SEARCH("HDD",$F2963)),"HDD",IF(ISNUMBER(SEARCH("VCA",$F2963)),"VCA","MND"))</f>
        <v/>
      </c>
      <c r="T2963">
        <f>TEXT($A2963,"yyyy-mm")&amp;"|"&amp;$C2963&amp;"|"&amp;$I2963</f>
        <v/>
      </c>
    </row>
    <row r="2964">
      <c r="A2964" s="36" t="n">
        <v>46184</v>
      </c>
      <c r="B2964" t="inlineStr">
        <is>
          <t>Quinta</t>
        </is>
      </c>
      <c r="C2964" t="inlineStr">
        <is>
          <t>RCE Elvira</t>
        </is>
      </c>
      <c r="D2964" t="inlineStr">
        <is>
          <t>Silvestre</t>
        </is>
      </c>
      <c r="E2964" t="inlineStr">
        <is>
          <t>Valter</t>
        </is>
      </c>
      <c r="F2964" t="inlineStr">
        <is>
          <t>VCA, PVs e Ligações</t>
        </is>
      </c>
      <c r="J2964" t="inlineStr">
        <is>
          <t>VCA</t>
        </is>
      </c>
      <c r="K2964" t="inlineStr">
        <is>
          <t>Planejamento</t>
        </is>
      </c>
      <c r="L2964" t="inlineStr">
        <is>
          <t>PDS-Junho.docx</t>
        </is>
      </c>
      <c r="M2964">
        <f>IF($A2964="","",TEXT($A2964,"mmmm/yyyy"))</f>
        <v/>
      </c>
      <c r="P2964">
        <f>IFERROR(XLOOKUP($N2964,Base_Enderecos!$A:$A,Base_Enderecos!$B:$B,""),"")</f>
        <v/>
      </c>
      <c r="Q2964">
        <f>IFERROR(XLOOKUP($N2964,Base_Enderecos!$A:$A,Base_Enderecos!$C:$C,""),"")</f>
        <v/>
      </c>
      <c r="R2964">
        <f>IF(ISNUMBER(SEARCH("HDD",$F2964)),"HDD",IF(ISNUMBER(SEARCH("VCA",$F2964)),"VCA","MND"))</f>
        <v/>
      </c>
      <c r="T2964">
        <f>TEXT($A2964,"yyyy-mm")&amp;"|"&amp;$C2964&amp;"|"&amp;$I2964</f>
        <v/>
      </c>
    </row>
    <row r="2965">
      <c r="A2965" s="36" t="n">
        <v>46184</v>
      </c>
      <c r="B2965" t="inlineStr">
        <is>
          <t>Quinta</t>
        </is>
      </c>
      <c r="C2965" t="inlineStr">
        <is>
          <t>RCE Conj. União</t>
        </is>
      </c>
      <c r="D2965" t="inlineStr">
        <is>
          <t>Caroline</t>
        </is>
      </c>
      <c r="E2965" t="inlineStr">
        <is>
          <t>Jhonatan</t>
        </is>
      </c>
      <c r="F2965" t="inlineStr">
        <is>
          <t>Shaft PV 48</t>
        </is>
      </c>
      <c r="G2965" t="inlineStr">
        <is>
          <t>48</t>
        </is>
      </c>
      <c r="I2965" t="inlineStr">
        <is>
          <t>48</t>
        </is>
      </c>
      <c r="J2965" t="inlineStr">
        <is>
          <t>Shaft</t>
        </is>
      </c>
      <c r="K2965" t="inlineStr">
        <is>
          <t>Planejamento</t>
        </is>
      </c>
      <c r="L2965" t="inlineStr">
        <is>
          <t>PDS-Junho.docx</t>
        </is>
      </c>
      <c r="M2965">
        <f>IF($A2965="","",TEXT($A2965,"mmmm/yyyy"))</f>
        <v/>
      </c>
      <c r="P2965">
        <f>IFERROR(XLOOKUP($N2965,Base_Enderecos!$A:$A,Base_Enderecos!$B:$B,""),"")</f>
        <v/>
      </c>
      <c r="Q2965">
        <f>IFERROR(XLOOKUP($N2965,Base_Enderecos!$A:$A,Base_Enderecos!$C:$C,""),"")</f>
        <v/>
      </c>
      <c r="R2965">
        <f>IF(ISNUMBER(SEARCH("HDD",$F2965)),"HDD",IF(ISNUMBER(SEARCH("VCA",$F2965)),"VCA","MND"))</f>
        <v/>
      </c>
      <c r="T2965">
        <f>TEXT($A2965,"yyyy-mm")&amp;"|"&amp;$C2965&amp;"|"&amp;$I2965</f>
        <v/>
      </c>
    </row>
    <row r="2966">
      <c r="A2966" s="36" t="n">
        <v>46184</v>
      </c>
      <c r="B2966" t="inlineStr">
        <is>
          <t>Quinta</t>
        </is>
      </c>
      <c r="C2966" t="inlineStr">
        <is>
          <t>RCE Américo Machado/elis Regina</t>
        </is>
      </c>
      <c r="D2966" t="inlineStr">
        <is>
          <t>Caroline</t>
        </is>
      </c>
      <c r="E2966" t="inlineStr">
        <is>
          <t>Cesar</t>
        </is>
      </c>
      <c r="F2966" t="inlineStr">
        <is>
          <t>Transformação PV 01</t>
        </is>
      </c>
      <c r="G2966" t="inlineStr">
        <is>
          <t>01</t>
        </is>
      </c>
      <c r="I2966" t="inlineStr">
        <is>
          <t>01</t>
        </is>
      </c>
      <c r="J2966" t="inlineStr">
        <is>
          <t>Transformação</t>
        </is>
      </c>
      <c r="K2966" t="inlineStr">
        <is>
          <t>Planejamento</t>
        </is>
      </c>
      <c r="L2966" t="inlineStr">
        <is>
          <t>PDS-Junho.docx</t>
        </is>
      </c>
      <c r="M2966">
        <f>IF($A2966="","",TEXT($A2966,"mmmm/yyyy"))</f>
        <v/>
      </c>
      <c r="P2966">
        <f>IFERROR(XLOOKUP($N2966,Base_Enderecos!$A:$A,Base_Enderecos!$B:$B,""),"")</f>
        <v/>
      </c>
      <c r="Q2966">
        <f>IFERROR(XLOOKUP($N2966,Base_Enderecos!$A:$A,Base_Enderecos!$C:$C,""),"")</f>
        <v/>
      </c>
      <c r="R2966">
        <f>IF(ISNUMBER(SEARCH("HDD",$F2966)),"HDD",IF(ISNUMBER(SEARCH("VCA",$F2966)),"VCA","MND"))</f>
        <v/>
      </c>
      <c r="T2966">
        <f>TEXT($A2966,"yyyy-mm")&amp;"|"&amp;$C2966&amp;"|"&amp;$I2966</f>
        <v/>
      </c>
    </row>
    <row r="2967">
      <c r="A2967" s="36" t="n">
        <v>46184</v>
      </c>
      <c r="B2967" t="inlineStr">
        <is>
          <t>Quinta</t>
        </is>
      </c>
      <c r="C2967" t="inlineStr">
        <is>
          <t>RCE São Lucas</t>
        </is>
      </c>
      <c r="D2967" t="inlineStr">
        <is>
          <t>Fábio</t>
        </is>
      </c>
      <c r="E2967" t="inlineStr">
        <is>
          <t>Ricardo (pi 10 Ao Pi 11)</t>
        </is>
      </c>
      <c r="F2967" t="inlineStr">
        <is>
          <t>VCA, PVs e Ligações</t>
        </is>
      </c>
      <c r="J2967" t="inlineStr">
        <is>
          <t>VCA</t>
        </is>
      </c>
      <c r="K2967" t="inlineStr">
        <is>
          <t>Planejamento</t>
        </is>
      </c>
      <c r="L2967" t="inlineStr">
        <is>
          <t>PDS-Junho.docx</t>
        </is>
      </c>
      <c r="M2967">
        <f>IF($A2967="","",TEXT($A2967,"mmmm/yyyy"))</f>
        <v/>
      </c>
      <c r="P2967">
        <f>IFERROR(XLOOKUP($N2967,Base_Enderecos!$A:$A,Base_Enderecos!$B:$B,""),"")</f>
        <v/>
      </c>
      <c r="Q2967">
        <f>IFERROR(XLOOKUP($N2967,Base_Enderecos!$A:$A,Base_Enderecos!$C:$C,""),"")</f>
        <v/>
      </c>
      <c r="R2967">
        <f>IF(ISNUMBER(SEARCH("HDD",$F2967)),"HDD",IF(ISNUMBER(SEARCH("VCA",$F2967)),"VCA","MND"))</f>
        <v/>
      </c>
      <c r="T2967">
        <f>TEXT($A2967,"yyyy-mm")&amp;"|"&amp;$C2967&amp;"|"&amp;$I2967</f>
        <v/>
      </c>
    </row>
    <row r="2968">
      <c r="A2968" s="36" t="n">
        <v>46184</v>
      </c>
      <c r="B2968" t="inlineStr">
        <is>
          <t>Quinta</t>
        </is>
      </c>
      <c r="C2968" t="inlineStr">
        <is>
          <t>RCE São Lucas</t>
        </is>
      </c>
      <c r="D2968" t="inlineStr">
        <is>
          <t>Fábio</t>
        </is>
      </c>
      <c r="E2968" t="inlineStr">
        <is>
          <t>Claudinei (pi 38 Ao Pi 81)</t>
        </is>
      </c>
      <c r="F2968" t="inlineStr">
        <is>
          <t>VCA, PVs e Ligações</t>
        </is>
      </c>
      <c r="J2968" t="inlineStr">
        <is>
          <t>VCA</t>
        </is>
      </c>
      <c r="K2968" t="inlineStr">
        <is>
          <t>Planejamento</t>
        </is>
      </c>
      <c r="L2968" t="inlineStr">
        <is>
          <t>PDS-Junho.docx</t>
        </is>
      </c>
      <c r="M2968">
        <f>IF($A2968="","",TEXT($A2968,"mmmm/yyyy"))</f>
        <v/>
      </c>
      <c r="P2968">
        <f>IFERROR(XLOOKUP($N2968,Base_Enderecos!$A:$A,Base_Enderecos!$B:$B,""),"")</f>
        <v/>
      </c>
      <c r="Q2968">
        <f>IFERROR(XLOOKUP($N2968,Base_Enderecos!$A:$A,Base_Enderecos!$C:$C,""),"")</f>
        <v/>
      </c>
      <c r="R2968">
        <f>IF(ISNUMBER(SEARCH("HDD",$F2968)),"HDD",IF(ISNUMBER(SEARCH("VCA",$F2968)),"VCA","MND"))</f>
        <v/>
      </c>
      <c r="T2968">
        <f>TEXT($A2968,"yyyy-mm")&amp;"|"&amp;$C2968&amp;"|"&amp;$I2968</f>
        <v/>
      </c>
    </row>
    <row r="2969">
      <c r="A2969" s="36" t="n">
        <v>46184</v>
      </c>
      <c r="B2969" t="inlineStr">
        <is>
          <t>Quinta</t>
        </is>
      </c>
      <c r="C2969" t="inlineStr">
        <is>
          <t>RCE São Lucas</t>
        </is>
      </c>
      <c r="D2969" t="inlineStr">
        <is>
          <t>Fábio</t>
        </is>
      </c>
      <c r="E2969" t="inlineStr">
        <is>
          <t>Miro (pi 61 Ao Pi 62)</t>
        </is>
      </c>
      <c r="F2969" t="inlineStr">
        <is>
          <t>VCA, PVs e Ligações</t>
        </is>
      </c>
      <c r="J2969" t="inlineStr">
        <is>
          <t>VCA</t>
        </is>
      </c>
      <c r="K2969" t="inlineStr">
        <is>
          <t>Planejamento</t>
        </is>
      </c>
      <c r="L2969" t="inlineStr">
        <is>
          <t>PDS-Junho.docx</t>
        </is>
      </c>
      <c r="M2969">
        <f>IF($A2969="","",TEXT($A2969,"mmmm/yyyy"))</f>
        <v/>
      </c>
      <c r="P2969">
        <f>IFERROR(XLOOKUP($N2969,Base_Enderecos!$A:$A,Base_Enderecos!$B:$B,""),"")</f>
        <v/>
      </c>
      <c r="Q2969">
        <f>IFERROR(XLOOKUP($N2969,Base_Enderecos!$A:$A,Base_Enderecos!$C:$C,""),"")</f>
        <v/>
      </c>
      <c r="R2969">
        <f>IF(ISNUMBER(SEARCH("HDD",$F2969)),"HDD",IF(ISNUMBER(SEARCH("VCA",$F2969)),"VCA","MND"))</f>
        <v/>
      </c>
      <c r="T2969">
        <f>TEXT($A2969,"yyyy-mm")&amp;"|"&amp;$C2969&amp;"|"&amp;$I2969</f>
        <v/>
      </c>
    </row>
    <row r="2970">
      <c r="A2970" s="36" t="n">
        <v>46184</v>
      </c>
      <c r="B2970" t="inlineStr">
        <is>
          <t>Quinta</t>
        </is>
      </c>
      <c r="C2970" t="inlineStr">
        <is>
          <t>RCE São Lucas</t>
        </is>
      </c>
      <c r="D2970" t="inlineStr">
        <is>
          <t>Fábio</t>
        </is>
      </c>
      <c r="E2970" t="inlineStr">
        <is>
          <t>Emanuel (pi 25 Ao Pi 26)</t>
        </is>
      </c>
      <c r="F2970" t="inlineStr">
        <is>
          <t>VCA, PVs e Ligações</t>
        </is>
      </c>
      <c r="J2970" t="inlineStr">
        <is>
          <t>VCA</t>
        </is>
      </c>
      <c r="K2970" t="inlineStr">
        <is>
          <t>Planejamento</t>
        </is>
      </c>
      <c r="L2970" t="inlineStr">
        <is>
          <t>PDS-Junho.docx</t>
        </is>
      </c>
      <c r="M2970">
        <f>IF($A2970="","",TEXT($A2970,"mmmm/yyyy"))</f>
        <v/>
      </c>
      <c r="P2970">
        <f>IFERROR(XLOOKUP($N2970,Base_Enderecos!$A:$A,Base_Enderecos!$B:$B,""),"")</f>
        <v/>
      </c>
      <c r="Q2970">
        <f>IFERROR(XLOOKUP($N2970,Base_Enderecos!$A:$A,Base_Enderecos!$C:$C,""),"")</f>
        <v/>
      </c>
      <c r="R2970">
        <f>IF(ISNUMBER(SEARCH("HDD",$F2970)),"HDD",IF(ISNUMBER(SEARCH("VCA",$F2970)),"VCA","MND"))</f>
        <v/>
      </c>
      <c r="T2970">
        <f>TEXT($A2970,"yyyy-mm")&amp;"|"&amp;$C2970&amp;"|"&amp;$I2970</f>
        <v/>
      </c>
    </row>
    <row r="2971">
      <c r="A2971" s="36" t="n">
        <v>46184</v>
      </c>
      <c r="B2971" t="inlineStr">
        <is>
          <t>Quinta</t>
        </is>
      </c>
      <c r="C2971" t="inlineStr">
        <is>
          <t>RCE São Lucas</t>
        </is>
      </c>
      <c r="D2971" t="inlineStr">
        <is>
          <t>Fábio</t>
        </is>
      </c>
      <c r="E2971" t="inlineStr">
        <is>
          <t>Antonio (pi 55 Ao Pi 56)</t>
        </is>
      </c>
      <c r="F2971" t="inlineStr">
        <is>
          <t>VCA, PVs e Ligações</t>
        </is>
      </c>
      <c r="J2971" t="inlineStr">
        <is>
          <t>VCA</t>
        </is>
      </c>
      <c r="K2971" t="inlineStr">
        <is>
          <t>Planejamento</t>
        </is>
      </c>
      <c r="L2971" t="inlineStr">
        <is>
          <t>PDS-Junho.docx</t>
        </is>
      </c>
      <c r="M2971">
        <f>IF($A2971="","",TEXT($A2971,"mmmm/yyyy"))</f>
        <v/>
      </c>
      <c r="P2971">
        <f>IFERROR(XLOOKUP($N2971,Base_Enderecos!$A:$A,Base_Enderecos!$B:$B,""),"")</f>
        <v/>
      </c>
      <c r="Q2971">
        <f>IFERROR(XLOOKUP($N2971,Base_Enderecos!$A:$A,Base_Enderecos!$C:$C,""),"")</f>
        <v/>
      </c>
      <c r="R2971">
        <f>IF(ISNUMBER(SEARCH("HDD",$F2971)),"HDD",IF(ISNUMBER(SEARCH("VCA",$F2971)),"VCA","MND"))</f>
        <v/>
      </c>
      <c r="T2971">
        <f>TEXT($A2971,"yyyy-mm")&amp;"|"&amp;$C2971&amp;"|"&amp;$I2971</f>
        <v/>
      </c>
    </row>
    <row r="2972">
      <c r="A2972" s="36" t="n">
        <v>46184</v>
      </c>
      <c r="B2972" t="inlineStr">
        <is>
          <t>Quinta</t>
        </is>
      </c>
      <c r="C2972" t="inlineStr">
        <is>
          <t>RCE São Lucas</t>
        </is>
      </c>
      <c r="D2972" t="inlineStr">
        <is>
          <t>Fábio</t>
        </is>
      </c>
      <c r="E2972" t="inlineStr">
        <is>
          <t>Antonio (pi 55 Ao Pi 56)</t>
        </is>
      </c>
      <c r="F2972" t="inlineStr">
        <is>
          <t>SERVIÇOS REPOSIÇÃO – LEANDRO</t>
        </is>
      </c>
      <c r="J2972" t="inlineStr">
        <is>
          <t>Atividade</t>
        </is>
      </c>
      <c r="K2972" t="inlineStr">
        <is>
          <t>Planejamento</t>
        </is>
      </c>
      <c r="L2972" t="inlineStr">
        <is>
          <t>PDS-Junho.docx</t>
        </is>
      </c>
      <c r="M2972">
        <f>IF($A2972="","",TEXT($A2972,"mmmm/yyyy"))</f>
        <v/>
      </c>
      <c r="P2972">
        <f>IFERROR(XLOOKUP($N2972,Base_Enderecos!$A:$A,Base_Enderecos!$B:$B,""),"")</f>
        <v/>
      </c>
      <c r="Q2972">
        <f>IFERROR(XLOOKUP($N2972,Base_Enderecos!$A:$A,Base_Enderecos!$C:$C,""),"")</f>
        <v/>
      </c>
      <c r="R2972">
        <f>IF(ISNUMBER(SEARCH("HDD",$F2972)),"HDD",IF(ISNUMBER(SEARCH("VCA",$F2972)),"VCA","MND"))</f>
        <v/>
      </c>
      <c r="T2972">
        <f>TEXT($A2972,"yyyy-mm")&amp;"|"&amp;$C2972&amp;"|"&amp;$I2972</f>
        <v/>
      </c>
    </row>
    <row r="2973">
      <c r="A2973" s="36" t="n">
        <v>46184</v>
      </c>
      <c r="B2973" t="inlineStr">
        <is>
          <t>Quinta</t>
        </is>
      </c>
      <c r="C2973" t="inlineStr">
        <is>
          <t>RCE São Lucas</t>
        </is>
      </c>
      <c r="D2973" t="inlineStr">
        <is>
          <t>Fábio</t>
        </is>
      </c>
      <c r="E2973" t="inlineStr">
        <is>
          <t>Antonio (pi 55 Ao Pi 56)</t>
        </is>
      </c>
      <c r="F2973" t="inlineStr">
        <is>
          <t>Reparos Gerais</t>
        </is>
      </c>
      <c r="J2973" t="inlineStr">
        <is>
          <t>Atividade</t>
        </is>
      </c>
      <c r="K2973" t="inlineStr">
        <is>
          <t>Planejamento</t>
        </is>
      </c>
      <c r="L2973" t="inlineStr">
        <is>
          <t>PDS-Junho.docx</t>
        </is>
      </c>
      <c r="M2973">
        <f>IF($A2973="","",TEXT($A2973,"mmmm/yyyy"))</f>
        <v/>
      </c>
      <c r="P2973">
        <f>IFERROR(XLOOKUP($N2973,Base_Enderecos!$A:$A,Base_Enderecos!$B:$B,""),"")</f>
        <v/>
      </c>
      <c r="Q2973">
        <f>IFERROR(XLOOKUP($N2973,Base_Enderecos!$A:$A,Base_Enderecos!$C:$C,""),"")</f>
        <v/>
      </c>
      <c r="R2973">
        <f>IF(ISNUMBER(SEARCH("HDD",$F2973)),"HDD",IF(ISNUMBER(SEARCH("VCA",$F2973)),"VCA","MND"))</f>
        <v/>
      </c>
      <c r="T2973">
        <f>TEXT($A2973,"yyyy-mm")&amp;"|"&amp;$C2973&amp;"|"&amp;$I2973</f>
        <v/>
      </c>
    </row>
    <row r="2974">
      <c r="A2974" s="36" t="n">
        <v>46184</v>
      </c>
      <c r="B2974" t="inlineStr">
        <is>
          <t>Quinta</t>
        </is>
      </c>
      <c r="C2974" t="inlineStr">
        <is>
          <t>João Canzi</t>
        </is>
      </c>
      <c r="E2974" t="inlineStr">
        <is>
          <t>Vacal</t>
        </is>
      </c>
      <c r="F2974" t="inlineStr">
        <is>
          <t>João Canzi - Henko</t>
        </is>
      </c>
      <c r="J2974" t="inlineStr">
        <is>
          <t>Atividade</t>
        </is>
      </c>
      <c r="K2974" t="inlineStr">
        <is>
          <t>Apoio</t>
        </is>
      </c>
      <c r="L2974" t="inlineStr">
        <is>
          <t>PDS-Junho.docx</t>
        </is>
      </c>
      <c r="M2974">
        <f>IF($A2974="","",TEXT($A2974,"mmmm/yyyy"))</f>
        <v/>
      </c>
      <c r="P2974">
        <f>IFERROR(XLOOKUP($N2974,Base_Enderecos!$A:$A,Base_Enderecos!$B:$B,""),"")</f>
        <v/>
      </c>
      <c r="Q2974">
        <f>IFERROR(XLOOKUP($N2974,Base_Enderecos!$A:$A,Base_Enderecos!$C:$C,""),"")</f>
        <v/>
      </c>
      <c r="R2974">
        <f>IF(ISNUMBER(SEARCH("HDD",$F2974)),"HDD",IF(ISNUMBER(SEARCH("VCA",$F2974)),"VCA","MND"))</f>
        <v/>
      </c>
      <c r="T2974">
        <f>TEXT($A2974,"yyyy-mm")&amp;"|"&amp;$C2974&amp;"|"&amp;$I2974</f>
        <v/>
      </c>
    </row>
    <row r="2975">
      <c r="A2975" s="36" t="n">
        <v>46184</v>
      </c>
      <c r="B2975" t="inlineStr">
        <is>
          <t>Quinta</t>
        </is>
      </c>
      <c r="C2975" t="inlineStr">
        <is>
          <t>João Canzi</t>
        </is>
      </c>
      <c r="E2975" t="inlineStr">
        <is>
          <t>Vacal</t>
        </is>
      </c>
      <c r="F2975" t="inlineStr">
        <is>
          <t>João Canzi – Henko</t>
        </is>
      </c>
      <c r="J2975" t="inlineStr">
        <is>
          <t>Atividade</t>
        </is>
      </c>
      <c r="K2975" t="inlineStr">
        <is>
          <t>Apoio</t>
        </is>
      </c>
      <c r="L2975" t="inlineStr">
        <is>
          <t>PDS-Junho.docx</t>
        </is>
      </c>
      <c r="M2975">
        <f>IF($A2975="","",TEXT($A2975,"mmmm/yyyy"))</f>
        <v/>
      </c>
      <c r="P2975">
        <f>IFERROR(XLOOKUP($N2975,Base_Enderecos!$A:$A,Base_Enderecos!$B:$B,""),"")</f>
        <v/>
      </c>
      <c r="Q2975">
        <f>IFERROR(XLOOKUP($N2975,Base_Enderecos!$A:$A,Base_Enderecos!$C:$C,""),"")</f>
        <v/>
      </c>
      <c r="R2975">
        <f>IF(ISNUMBER(SEARCH("HDD",$F2975)),"HDD",IF(ISNUMBER(SEARCH("VCA",$F2975)),"VCA","MND"))</f>
        <v/>
      </c>
      <c r="T2975">
        <f>TEXT($A2975,"yyyy-mm")&amp;"|"&amp;$C2975&amp;"|"&amp;$I2975</f>
        <v/>
      </c>
    </row>
    <row r="2976">
      <c r="A2976" s="36" t="n">
        <v>46184</v>
      </c>
      <c r="B2976" t="inlineStr">
        <is>
          <t>Quinta</t>
        </is>
      </c>
      <c r="C2976" t="inlineStr">
        <is>
          <t>Iti 15</t>
        </is>
      </c>
      <c r="E2976" t="inlineStr">
        <is>
          <t>Vacal</t>
        </is>
      </c>
      <c r="F2976" t="inlineStr">
        <is>
          <t>ITI 15 – Henko (Osmar)</t>
        </is>
      </c>
      <c r="J2976" t="inlineStr">
        <is>
          <t>Atividade</t>
        </is>
      </c>
      <c r="K2976" t="inlineStr">
        <is>
          <t>Apoio</t>
        </is>
      </c>
      <c r="L2976" t="inlineStr">
        <is>
          <t>PDS-Junho.docx</t>
        </is>
      </c>
      <c r="M2976">
        <f>IF($A2976="","",TEXT($A2976,"mmmm/yyyy"))</f>
        <v/>
      </c>
      <c r="P2976">
        <f>IFERROR(XLOOKUP($N2976,Base_Enderecos!$A:$A,Base_Enderecos!$B:$B,""),"")</f>
        <v/>
      </c>
      <c r="Q2976">
        <f>IFERROR(XLOOKUP($N2976,Base_Enderecos!$A:$A,Base_Enderecos!$C:$C,""),"")</f>
        <v/>
      </c>
      <c r="R2976">
        <f>IF(ISNUMBER(SEARCH("HDD",$F2976)),"HDD",IF(ISNUMBER(SEARCH("VCA",$F2976)),"VCA","MND"))</f>
        <v/>
      </c>
      <c r="T2976">
        <f>TEXT($A2976,"yyyy-mm")&amp;"|"&amp;$C2976&amp;"|"&amp;$I2976</f>
        <v/>
      </c>
    </row>
    <row r="2977">
      <c r="A2977" s="36" t="n">
        <v>46184</v>
      </c>
      <c r="B2977" t="inlineStr">
        <is>
          <t>Quinta</t>
        </is>
      </c>
      <c r="C2977" t="inlineStr">
        <is>
          <t>Guindauto</t>
        </is>
      </c>
      <c r="E2977" t="inlineStr">
        <is>
          <t>Guindauto</t>
        </is>
      </c>
      <c r="F2977" t="inlineStr">
        <is>
          <t>Marcio - Apoio as equipes</t>
        </is>
      </c>
      <c r="J2977" t="inlineStr">
        <is>
          <t>Atividade</t>
        </is>
      </c>
      <c r="K2977" t="inlineStr">
        <is>
          <t>Apoio</t>
        </is>
      </c>
      <c r="L2977" t="inlineStr">
        <is>
          <t>PDS-Junho.docx</t>
        </is>
      </c>
      <c r="M2977">
        <f>IF($A2977="","",TEXT($A2977,"mmmm/yyyy"))</f>
        <v/>
      </c>
      <c r="P2977">
        <f>IFERROR(XLOOKUP($N2977,Base_Enderecos!$A:$A,Base_Enderecos!$B:$B,""),"")</f>
        <v/>
      </c>
      <c r="Q2977">
        <f>IFERROR(XLOOKUP($N2977,Base_Enderecos!$A:$A,Base_Enderecos!$C:$C,""),"")</f>
        <v/>
      </c>
      <c r="R2977">
        <f>IF(ISNUMBER(SEARCH("HDD",$F2977)),"HDD",IF(ISNUMBER(SEARCH("VCA",$F2977)),"VCA","MND"))</f>
        <v/>
      </c>
      <c r="T2977">
        <f>TEXT($A2977,"yyyy-mm")&amp;"|"&amp;$C2977&amp;"|"&amp;$I2977</f>
        <v/>
      </c>
    </row>
    <row r="2978">
      <c r="A2978" s="36" t="n">
        <v>46184</v>
      </c>
      <c r="B2978" t="inlineStr">
        <is>
          <t>Quinta</t>
        </is>
      </c>
      <c r="C2978" t="inlineStr">
        <is>
          <t>Guindauto</t>
        </is>
      </c>
      <c r="E2978" t="inlineStr">
        <is>
          <t>Guindauto</t>
        </is>
      </c>
      <c r="F2978" t="inlineStr">
        <is>
          <t>Luiz - Apoio as equipes</t>
        </is>
      </c>
      <c r="J2978" t="inlineStr">
        <is>
          <t>Atividade</t>
        </is>
      </c>
      <c r="K2978" t="inlineStr">
        <is>
          <t>Apoio</t>
        </is>
      </c>
      <c r="L2978" t="inlineStr">
        <is>
          <t>PDS-Junho.docx</t>
        </is>
      </c>
      <c r="M2978">
        <f>IF($A2978="","",TEXT($A2978,"mmmm/yyyy"))</f>
        <v/>
      </c>
      <c r="P2978">
        <f>IFERROR(XLOOKUP($N2978,Base_Enderecos!$A:$A,Base_Enderecos!$B:$B,""),"")</f>
        <v/>
      </c>
      <c r="Q2978">
        <f>IFERROR(XLOOKUP($N2978,Base_Enderecos!$A:$A,Base_Enderecos!$C:$C,""),"")</f>
        <v/>
      </c>
      <c r="R2978">
        <f>IF(ISNUMBER(SEARCH("HDD",$F2978)),"HDD",IF(ISNUMBER(SEARCH("VCA",$F2978)),"VCA","MND"))</f>
        <v/>
      </c>
      <c r="T2978">
        <f>TEXT($A2978,"yyyy-mm")&amp;"|"&amp;$C2978&amp;"|"&amp;$I2978</f>
        <v/>
      </c>
    </row>
    <row r="2979">
      <c r="A2979" s="36" t="n">
        <v>46184</v>
      </c>
      <c r="B2979" t="inlineStr">
        <is>
          <t>Quinta</t>
        </is>
      </c>
      <c r="C2979" t="inlineStr">
        <is>
          <t>RCE São Lucas</t>
        </is>
      </c>
      <c r="D2979" t="inlineStr">
        <is>
          <t>Fábio</t>
        </is>
      </c>
      <c r="E2979" t="inlineStr">
        <is>
          <t>Antonio (pi 55 Ao Pi 56)</t>
        </is>
      </c>
      <c r="F2979" t="inlineStr">
        <is>
          <t>PDS - Programação Diária de Serviços:</t>
        </is>
      </c>
      <c r="J2979" t="inlineStr">
        <is>
          <t>Atividade</t>
        </is>
      </c>
      <c r="K2979" t="inlineStr">
        <is>
          <t>Planejamento</t>
        </is>
      </c>
      <c r="L2979" t="inlineStr">
        <is>
          <t>PDS-Junho.docx</t>
        </is>
      </c>
      <c r="M2979">
        <f>IF($A2979="","",TEXT($A2979,"mmmm/yyyy"))</f>
        <v/>
      </c>
      <c r="P2979">
        <f>IFERROR(XLOOKUP($N2979,Base_Enderecos!$A:$A,Base_Enderecos!$B:$B,""),"")</f>
        <v/>
      </c>
      <c r="Q2979">
        <f>IFERROR(XLOOKUP($N2979,Base_Enderecos!$A:$A,Base_Enderecos!$C:$C,""),"")</f>
        <v/>
      </c>
      <c r="R2979">
        <f>IF(ISNUMBER(SEARCH("HDD",$F2979)),"HDD",IF(ISNUMBER(SEARCH("VCA",$F2979)),"VCA","MND"))</f>
        <v/>
      </c>
      <c r="T2979">
        <f>TEXT($A2979,"yyyy-mm")&amp;"|"&amp;$C2979&amp;"|"&amp;$I2979</f>
        <v/>
      </c>
    </row>
    <row r="2980">
      <c r="A2980" s="36" t="n">
        <v>46184</v>
      </c>
      <c r="B2980" t="inlineStr">
        <is>
          <t>Quinta</t>
        </is>
      </c>
      <c r="C2980" t="inlineStr">
        <is>
          <t>RCE São Lucas</t>
        </is>
      </c>
      <c r="D2980" t="inlineStr">
        <is>
          <t>Fábio</t>
        </is>
      </c>
      <c r="E2980" t="inlineStr">
        <is>
          <t>Antonio (pi 55 Ao Pi 56)</t>
        </is>
      </c>
      <c r="F2980" t="inlineStr">
        <is>
          <t>INTEGRA 6A</t>
        </is>
      </c>
      <c r="J2980" t="inlineStr">
        <is>
          <t>Atividade</t>
        </is>
      </c>
      <c r="K2980" t="inlineStr">
        <is>
          <t>Planejamento</t>
        </is>
      </c>
      <c r="L2980" t="inlineStr">
        <is>
          <t>PDS-Junho.docx</t>
        </is>
      </c>
      <c r="M2980">
        <f>IF($A2980="","",TEXT($A2980,"mmmm/yyyy"))</f>
        <v/>
      </c>
      <c r="P2980">
        <f>IFERROR(XLOOKUP($N2980,Base_Enderecos!$A:$A,Base_Enderecos!$B:$B,""),"")</f>
        <v/>
      </c>
      <c r="Q2980">
        <f>IFERROR(XLOOKUP($N2980,Base_Enderecos!$A:$A,Base_Enderecos!$C:$C,""),"")</f>
        <v/>
      </c>
      <c r="R2980">
        <f>IF(ISNUMBER(SEARCH("HDD",$F2980)),"HDD",IF(ISNUMBER(SEARCH("VCA",$F2980)),"VCA","MND"))</f>
        <v/>
      </c>
      <c r="T2980">
        <f>TEXT($A2980,"yyyy-mm")&amp;"|"&amp;$C2980&amp;"|"&amp;$I2980</f>
        <v/>
      </c>
    </row>
    <row r="2981">
      <c r="A2981" t="inlineStr">
        <is>
          <t>2026-06-17</t>
        </is>
      </c>
      <c r="B2981" t="inlineStr">
        <is>
          <t>Quarta</t>
        </is>
      </c>
      <c r="C2981" t="inlineStr">
        <is>
          <t>CTS JOÃO CANZI</t>
        </is>
      </c>
      <c r="E2981" t="inlineStr">
        <is>
          <t>Cesar</t>
        </is>
      </c>
      <c r="F2981" t="inlineStr">
        <is>
          <t>Transformação PV 11</t>
        </is>
      </c>
      <c r="G2981" t="inlineStr">
        <is>
          <t>11</t>
        </is>
      </c>
      <c r="I2981" t="inlineStr">
        <is>
          <t>11</t>
        </is>
      </c>
      <c r="J2981" t="inlineStr">
        <is>
          <t>Atividade</t>
        </is>
      </c>
      <c r="K2981" t="inlineStr">
        <is>
          <t>Planejamento</t>
        </is>
      </c>
      <c r="L2981" t="inlineStr">
        <is>
          <t>PDS informada no Codex</t>
        </is>
      </c>
    </row>
    <row r="2982">
      <c r="A2982" t="inlineStr">
        <is>
          <t>2026-06-17</t>
        </is>
      </c>
      <c r="B2982" t="inlineStr">
        <is>
          <t>Quarta</t>
        </is>
      </c>
      <c r="C2982" t="inlineStr">
        <is>
          <t>RCE ELVIRA</t>
        </is>
      </c>
      <c r="E2982" t="inlineStr">
        <is>
          <t>Valter</t>
        </is>
      </c>
      <c r="F2982" t="inlineStr">
        <is>
          <t>VCA, PVs e Ligações</t>
        </is>
      </c>
      <c r="J2982" t="inlineStr">
        <is>
          <t>VCA</t>
        </is>
      </c>
      <c r="K2982" t="inlineStr">
        <is>
          <t>Planejamento</t>
        </is>
      </c>
      <c r="L2982" t="inlineStr">
        <is>
          <t>PDS informada no Codex</t>
        </is>
      </c>
    </row>
    <row r="2983">
      <c r="A2983" t="inlineStr">
        <is>
          <t>2026-06-17</t>
        </is>
      </c>
      <c r="B2983" t="inlineStr">
        <is>
          <t>Quarta</t>
        </is>
      </c>
      <c r="C2983" t="inlineStr">
        <is>
          <t>RCE CONJ. UNIÃO</t>
        </is>
      </c>
      <c r="E2983" t="inlineStr">
        <is>
          <t>Jhonatan</t>
        </is>
      </c>
      <c r="F2983" t="inlineStr">
        <is>
          <t>VCA PV 48 ao PV 49</t>
        </is>
      </c>
      <c r="G2983" t="inlineStr">
        <is>
          <t>48</t>
        </is>
      </c>
      <c r="H2983" t="inlineStr">
        <is>
          <t>49</t>
        </is>
      </c>
      <c r="I2983" t="inlineStr">
        <is>
          <t>48 ao 49</t>
        </is>
      </c>
      <c r="J2983" t="inlineStr">
        <is>
          <t>VCA</t>
        </is>
      </c>
      <c r="K2983" t="inlineStr">
        <is>
          <t>Planejamento</t>
        </is>
      </c>
      <c r="L2983" t="inlineStr">
        <is>
          <t>PDS informada no Codex</t>
        </is>
      </c>
    </row>
    <row r="2984">
      <c r="A2984" t="inlineStr">
        <is>
          <t>2026-06-17</t>
        </is>
      </c>
      <c r="B2984" t="inlineStr">
        <is>
          <t>Quarta</t>
        </is>
      </c>
      <c r="C2984" t="inlineStr">
        <is>
          <t>RCE ELIAS SLEIMAN</t>
        </is>
      </c>
      <c r="E2984" t="inlineStr">
        <is>
          <t>Edvando</t>
        </is>
      </c>
      <c r="F2984" t="inlineStr">
        <is>
          <t>VCA PV 27 ao PV 28</t>
        </is>
      </c>
      <c r="G2984" t="inlineStr">
        <is>
          <t>27</t>
        </is>
      </c>
      <c r="H2984" t="inlineStr">
        <is>
          <t>28</t>
        </is>
      </c>
      <c r="I2984" t="inlineStr">
        <is>
          <t>27 ao 28</t>
        </is>
      </c>
      <c r="J2984" t="inlineStr">
        <is>
          <t>VCA</t>
        </is>
      </c>
      <c r="K2984" t="inlineStr">
        <is>
          <t>Planejamento</t>
        </is>
      </c>
      <c r="L2984" t="inlineStr">
        <is>
          <t>PDS informada no Codex</t>
        </is>
      </c>
    </row>
    <row r="2985">
      <c r="A2985" t="inlineStr">
        <is>
          <t>2026-06-17</t>
        </is>
      </c>
      <c r="B2985" t="inlineStr">
        <is>
          <t>Quarta</t>
        </is>
      </c>
      <c r="C2985" t="inlineStr">
        <is>
          <t>RCE MARIA DOS SANTOS MACHADO</t>
        </is>
      </c>
      <c r="E2985" t="inlineStr">
        <is>
          <t>Marcio</t>
        </is>
      </c>
      <c r="F2985" t="inlineStr">
        <is>
          <t>VCA PVP-0 ao PV-1</t>
        </is>
      </c>
      <c r="G2985" t="inlineStr">
        <is>
          <t>0</t>
        </is>
      </c>
      <c r="H2985" t="inlineStr">
        <is>
          <t>1</t>
        </is>
      </c>
      <c r="I2985" t="inlineStr">
        <is>
          <t>0 ao 1</t>
        </is>
      </c>
      <c r="J2985" t="inlineStr">
        <is>
          <t>VCA</t>
        </is>
      </c>
      <c r="K2985" t="inlineStr">
        <is>
          <t>Planejamento</t>
        </is>
      </c>
      <c r="L2985" t="inlineStr">
        <is>
          <t>PDS informada no Codex</t>
        </is>
      </c>
    </row>
    <row r="2986">
      <c r="A2986" t="inlineStr">
        <is>
          <t>2026-06-17</t>
        </is>
      </c>
      <c r="B2986" t="inlineStr">
        <is>
          <t>Quarta</t>
        </is>
      </c>
      <c r="C2986" t="inlineStr">
        <is>
          <t>RCE RAULZITO</t>
        </is>
      </c>
      <c r="E2986" t="inlineStr">
        <is>
          <t>Bruno</t>
        </is>
      </c>
      <c r="F2986" t="inlineStr">
        <is>
          <t>VCA, PVs e Ligações</t>
        </is>
      </c>
      <c r="J2986" t="inlineStr">
        <is>
          <t>VCA</t>
        </is>
      </c>
      <c r="K2986" t="inlineStr">
        <is>
          <t>Planejamento</t>
        </is>
      </c>
      <c r="L2986" t="inlineStr">
        <is>
          <t>PDS informada no Codex</t>
        </is>
      </c>
    </row>
    <row r="2987">
      <c r="A2987" t="inlineStr">
        <is>
          <t>2026-06-17</t>
        </is>
      </c>
      <c r="B2987" t="inlineStr">
        <is>
          <t>Quarta</t>
        </is>
      </c>
      <c r="C2987" t="inlineStr">
        <is>
          <t>RCE RAULZITO</t>
        </is>
      </c>
      <c r="E2987" t="inlineStr">
        <is>
          <t>Medeiros</t>
        </is>
      </c>
      <c r="F2987" t="inlineStr">
        <is>
          <t>VCA, PVs e Ligações</t>
        </is>
      </c>
      <c r="J2987" t="inlineStr">
        <is>
          <t>VCA</t>
        </is>
      </c>
      <c r="K2987" t="inlineStr">
        <is>
          <t>Planejamento</t>
        </is>
      </c>
      <c r="L2987" t="inlineStr">
        <is>
          <t>PDS informada no Codex</t>
        </is>
      </c>
    </row>
    <row r="2988">
      <c r="A2988" t="inlineStr">
        <is>
          <t>2026-06-17</t>
        </is>
      </c>
      <c r="B2988" t="inlineStr">
        <is>
          <t>Quarta</t>
        </is>
      </c>
      <c r="C2988" t="inlineStr">
        <is>
          <t>RCE RAULZITO</t>
        </is>
      </c>
      <c r="E2988" t="inlineStr">
        <is>
          <t>Marcelo</t>
        </is>
      </c>
      <c r="F2988" t="inlineStr">
        <is>
          <t>VCA, PVs e Ligações</t>
        </is>
      </c>
      <c r="J2988" t="inlineStr">
        <is>
          <t>VCA</t>
        </is>
      </c>
      <c r="K2988" t="inlineStr">
        <is>
          <t>Planejamento</t>
        </is>
      </c>
      <c r="L2988" t="inlineStr">
        <is>
          <t>PDS informada no Codex</t>
        </is>
      </c>
    </row>
    <row r="2989">
      <c r="A2989" t="inlineStr">
        <is>
          <t>2026-06-17</t>
        </is>
      </c>
      <c r="B2989" t="inlineStr">
        <is>
          <t>Quarta</t>
        </is>
      </c>
      <c r="C2989" t="inlineStr">
        <is>
          <t>RCE RAULZITO</t>
        </is>
      </c>
      <c r="E2989" t="inlineStr">
        <is>
          <t>Cidão</t>
        </is>
      </c>
      <c r="F2989" t="inlineStr">
        <is>
          <t>VCA, PVs e Ligações</t>
        </is>
      </c>
      <c r="J2989" t="inlineStr">
        <is>
          <t>VCA</t>
        </is>
      </c>
      <c r="K2989" t="inlineStr">
        <is>
          <t>Planejamento</t>
        </is>
      </c>
      <c r="L2989" t="inlineStr">
        <is>
          <t>PDS informada no Codex</t>
        </is>
      </c>
    </row>
    <row r="2990">
      <c r="A2990" t="inlineStr">
        <is>
          <t>2026-06-17</t>
        </is>
      </c>
      <c r="B2990" t="inlineStr">
        <is>
          <t>Quarta</t>
        </is>
      </c>
      <c r="C2990" t="inlineStr">
        <is>
          <t>RCE SÃO LUCAS</t>
        </is>
      </c>
      <c r="E2990" t="inlineStr">
        <is>
          <t>Ricardo (PI 13 ao PI 14)</t>
        </is>
      </c>
      <c r="F2990" t="inlineStr">
        <is>
          <t>VCA, PVs e Ligações</t>
        </is>
      </c>
      <c r="J2990" t="inlineStr">
        <is>
          <t>VCA</t>
        </is>
      </c>
      <c r="K2990" t="inlineStr">
        <is>
          <t>Planejamento</t>
        </is>
      </c>
      <c r="L2990" t="inlineStr">
        <is>
          <t>PDS informada no Codex</t>
        </is>
      </c>
    </row>
    <row r="2991">
      <c r="A2991" t="inlineStr">
        <is>
          <t>2026-06-17</t>
        </is>
      </c>
      <c r="B2991" t="inlineStr">
        <is>
          <t>Quarta</t>
        </is>
      </c>
      <c r="C2991" t="inlineStr">
        <is>
          <t>RCE SÃO LUCAS</t>
        </is>
      </c>
      <c r="E2991" t="inlineStr">
        <is>
          <t>Claudinei (PI 81 ao PI 64)</t>
        </is>
      </c>
      <c r="F2991" t="inlineStr">
        <is>
          <t>VCA, PVs e Ligações</t>
        </is>
      </c>
      <c r="J2991" t="inlineStr">
        <is>
          <t>VCA</t>
        </is>
      </c>
      <c r="K2991" t="inlineStr">
        <is>
          <t>Planejamento</t>
        </is>
      </c>
      <c r="L2991" t="inlineStr">
        <is>
          <t>PDS informada no Codex</t>
        </is>
      </c>
    </row>
    <row r="2992">
      <c r="A2992" t="inlineStr">
        <is>
          <t>2026-06-17</t>
        </is>
      </c>
      <c r="B2992" t="inlineStr">
        <is>
          <t>Quarta</t>
        </is>
      </c>
      <c r="C2992" t="inlineStr">
        <is>
          <t>RCE SÃO LUCAS</t>
        </is>
      </c>
      <c r="E2992" t="inlineStr">
        <is>
          <t>Miro (PI 61 ao PI 62)</t>
        </is>
      </c>
      <c r="F2992" t="inlineStr">
        <is>
          <t>VCA, PVs e Ligações</t>
        </is>
      </c>
      <c r="J2992" t="inlineStr">
        <is>
          <t>VCA</t>
        </is>
      </c>
      <c r="K2992" t="inlineStr">
        <is>
          <t>Planejamento</t>
        </is>
      </c>
      <c r="L2992" t="inlineStr">
        <is>
          <t>PDS informada no Codex</t>
        </is>
      </c>
    </row>
    <row r="2993">
      <c r="A2993" t="inlineStr">
        <is>
          <t>2026-06-17</t>
        </is>
      </c>
      <c r="B2993" t="inlineStr">
        <is>
          <t>Quarta</t>
        </is>
      </c>
      <c r="C2993" t="inlineStr">
        <is>
          <t>RCE SÃO LUCAS</t>
        </is>
      </c>
      <c r="E2993" t="inlineStr">
        <is>
          <t>Emanuel (PI 11 ao PI 46)</t>
        </is>
      </c>
      <c r="F2993" t="inlineStr">
        <is>
          <t>VCA, PVs e Ligações</t>
        </is>
      </c>
      <c r="J2993" t="inlineStr">
        <is>
          <t>VCA</t>
        </is>
      </c>
      <c r="K2993" t="inlineStr">
        <is>
          <t>Planejamento</t>
        </is>
      </c>
      <c r="L2993" t="inlineStr">
        <is>
          <t>PDS informada no Codex</t>
        </is>
      </c>
    </row>
    <row r="2994">
      <c r="A2994" t="inlineStr">
        <is>
          <t>2026-06-17</t>
        </is>
      </c>
      <c r="B2994" t="inlineStr">
        <is>
          <t>Quarta</t>
        </is>
      </c>
      <c r="C2994" t="inlineStr">
        <is>
          <t>RCE SÃO LUCAS</t>
        </is>
      </c>
      <c r="E2994" t="inlineStr">
        <is>
          <t>Antonio (PI 18 ao PI 17)</t>
        </is>
      </c>
      <c r="F2994" t="inlineStr">
        <is>
          <t>VCA, PVs e Ligações</t>
        </is>
      </c>
      <c r="J2994" t="inlineStr">
        <is>
          <t>VCA</t>
        </is>
      </c>
      <c r="K2994" t="inlineStr">
        <is>
          <t>Planejamento</t>
        </is>
      </c>
      <c r="L2994" t="inlineStr">
        <is>
          <t>PDS informada no Codex</t>
        </is>
      </c>
    </row>
    <row r="2995">
      <c r="A2995" t="inlineStr">
        <is>
          <t>2026-06-17</t>
        </is>
      </c>
      <c r="B2995" t="inlineStr">
        <is>
          <t>Quarta</t>
        </is>
      </c>
      <c r="C2995" t="inlineStr">
        <is>
          <t>SERVIÇOS REPOSIÇÃO</t>
        </is>
      </c>
      <c r="E2995" t="inlineStr">
        <is>
          <t>Leandro</t>
        </is>
      </c>
      <c r="F2995" t="inlineStr">
        <is>
          <t>Reparos Gerais</t>
        </is>
      </c>
      <c r="J2995" t="inlineStr">
        <is>
          <t>Atividade</t>
        </is>
      </c>
      <c r="K2995" t="inlineStr">
        <is>
          <t>Planejamento</t>
        </is>
      </c>
      <c r="L2995" t="inlineStr">
        <is>
          <t>PDS informada no Codex</t>
        </is>
      </c>
    </row>
    <row r="2996">
      <c r="A2996" t="inlineStr">
        <is>
          <t>2026-06-17</t>
        </is>
      </c>
      <c r="B2996" t="inlineStr">
        <is>
          <t>Quarta</t>
        </is>
      </c>
      <c r="C2996" t="inlineStr">
        <is>
          <t>Vacal: João Canzi</t>
        </is>
      </c>
      <c r="E2996" t="inlineStr">
        <is>
          <t>Henko</t>
        </is>
      </c>
      <c r="F2996" t="inlineStr">
        <is>
          <t>Apoio às equipes</t>
        </is>
      </c>
      <c r="J2996" t="inlineStr">
        <is>
          <t>Apoio</t>
        </is>
      </c>
      <c r="K2996" t="inlineStr">
        <is>
          <t>Planejamento</t>
        </is>
      </c>
      <c r="L2996" t="inlineStr">
        <is>
          <t>PDS informada no Codex</t>
        </is>
      </c>
    </row>
    <row r="2997">
      <c r="A2997" t="inlineStr">
        <is>
          <t>2026-06-17</t>
        </is>
      </c>
      <c r="B2997" t="inlineStr">
        <is>
          <t>Quarta</t>
        </is>
      </c>
      <c r="C2997" t="inlineStr">
        <is>
          <t>Vacal: João Canzi</t>
        </is>
      </c>
      <c r="E2997" t="inlineStr">
        <is>
          <t>Henko</t>
        </is>
      </c>
      <c r="F2997" t="inlineStr">
        <is>
          <t>Apoio às equipes</t>
        </is>
      </c>
      <c r="J2997" t="inlineStr">
        <is>
          <t>Apoio</t>
        </is>
      </c>
      <c r="K2997" t="inlineStr">
        <is>
          <t>Planejamento</t>
        </is>
      </c>
      <c r="L2997" t="inlineStr">
        <is>
          <t>PDS informada no Codex</t>
        </is>
      </c>
    </row>
    <row r="2998">
      <c r="A2998" t="inlineStr">
        <is>
          <t>2026-06-17</t>
        </is>
      </c>
      <c r="B2998" t="inlineStr">
        <is>
          <t>Quarta</t>
        </is>
      </c>
      <c r="C2998" t="inlineStr">
        <is>
          <t>Vacal: ITI 15</t>
        </is>
      </c>
      <c r="E2998" t="inlineStr">
        <is>
          <t>Henko</t>
        </is>
      </c>
      <c r="F2998" t="inlineStr">
        <is>
          <t>Apoio às equipes</t>
        </is>
      </c>
      <c r="J2998" t="inlineStr">
        <is>
          <t>Apoio</t>
        </is>
      </c>
      <c r="K2998" t="inlineStr">
        <is>
          <t>Planejamento</t>
        </is>
      </c>
      <c r="L2998" t="inlineStr">
        <is>
          <t>PDS informada no Codex</t>
        </is>
      </c>
    </row>
    <row r="2999">
      <c r="A2999" t="inlineStr">
        <is>
          <t>2026-06-17</t>
        </is>
      </c>
      <c r="B2999" t="inlineStr">
        <is>
          <t>Quarta</t>
        </is>
      </c>
      <c r="C2999" t="inlineStr">
        <is>
          <t>Guindauto</t>
        </is>
      </c>
      <c r="E2999" t="inlineStr">
        <is>
          <t>Marcio</t>
        </is>
      </c>
      <c r="F2999" t="inlineStr">
        <is>
          <t>Apoio as equipes</t>
        </is>
      </c>
      <c r="J2999" t="inlineStr">
        <is>
          <t>Apoio</t>
        </is>
      </c>
      <c r="K2999" t="inlineStr">
        <is>
          <t>Planejamento</t>
        </is>
      </c>
      <c r="L2999" t="inlineStr">
        <is>
          <t>PDS informada no Codex</t>
        </is>
      </c>
    </row>
    <row r="3000">
      <c r="A3000" t="inlineStr">
        <is>
          <t>2026-06-17</t>
        </is>
      </c>
      <c r="B3000" t="inlineStr">
        <is>
          <t>Quarta</t>
        </is>
      </c>
      <c r="C3000" t="inlineStr">
        <is>
          <t>Guindauto</t>
        </is>
      </c>
      <c r="E3000" t="inlineStr">
        <is>
          <t>Luiz</t>
        </is>
      </c>
      <c r="F3000" t="inlineStr">
        <is>
          <t>Apoio as equipes</t>
        </is>
      </c>
      <c r="J3000" t="inlineStr">
        <is>
          <t>Apoio</t>
        </is>
      </c>
      <c r="K3000" t="inlineStr">
        <is>
          <t>Planejamento</t>
        </is>
      </c>
      <c r="L3000" t="inlineStr">
        <is>
          <t>PDS informada no Codex</t>
        </is>
      </c>
    </row>
    <row r="3001">
      <c r="A3001" s="36" t="n">
        <v>46192</v>
      </c>
      <c r="B3001" t="inlineStr">
        <is>
          <t>Sexta</t>
        </is>
      </c>
      <c r="C3001" t="inlineStr">
        <is>
          <t>CTS João Canzi</t>
        </is>
      </c>
      <c r="D3001" t="inlineStr">
        <is>
          <t>Valmir</t>
        </is>
      </c>
      <c r="E3001" t="inlineStr">
        <is>
          <t>Cesar</t>
        </is>
      </c>
      <c r="F3001" t="inlineStr">
        <is>
          <t>Transformação PV 19</t>
        </is>
      </c>
      <c r="G3001" t="inlineStr">
        <is>
          <t>19</t>
        </is>
      </c>
      <c r="I3001" t="inlineStr">
        <is>
          <t>19</t>
        </is>
      </c>
      <c r="J3001" t="inlineStr">
        <is>
          <t>Transformação</t>
        </is>
      </c>
      <c r="K3001" t="inlineStr">
        <is>
          <t>Planejamento</t>
        </is>
      </c>
      <c r="L3001" t="inlineStr">
        <is>
          <t>PDS texto Codex 2026-06-19 2026-06-22</t>
        </is>
      </c>
      <c r="M3001">
        <f>IF($A3001="","",TEXT($A3001,"mmmm/yyyy"))</f>
        <v/>
      </c>
      <c r="R3001">
        <f>IF(ISNUMBER(SEARCH("HDD",$F3001)),"HDD",IF(ISNUMBER(SEARCH("VCA",$F3001)),"VCA","MND"))</f>
        <v/>
      </c>
      <c r="T3001">
        <f>TEXT($A3001,"yyyy-mm")&amp;"|"&amp;$C3001&amp;"|"&amp;$I3001</f>
        <v/>
      </c>
    </row>
    <row r="3002">
      <c r="A3002" s="36" t="n">
        <v>46192</v>
      </c>
      <c r="B3002" t="inlineStr">
        <is>
          <t>Sexta</t>
        </is>
      </c>
      <c r="C3002" t="inlineStr">
        <is>
          <t>RCE Elvira</t>
        </is>
      </c>
      <c r="D3002" t="inlineStr">
        <is>
          <t>Valmir</t>
        </is>
      </c>
      <c r="E3002" t="inlineStr">
        <is>
          <t>Valter</t>
        </is>
      </c>
      <c r="F3002" t="inlineStr">
        <is>
          <t>VCA, PVs e Ligações</t>
        </is>
      </c>
      <c r="J3002" t="inlineStr">
        <is>
          <t>VCA</t>
        </is>
      </c>
      <c r="K3002" t="inlineStr">
        <is>
          <t>Planejamento</t>
        </is>
      </c>
      <c r="L3002" t="inlineStr">
        <is>
          <t>PDS texto Codex 2026-06-19 2026-06-22</t>
        </is>
      </c>
      <c r="M3002">
        <f>IF($A3002="","",TEXT($A3002,"mmmm/yyyy"))</f>
        <v/>
      </c>
      <c r="R3002">
        <f>IF(ISNUMBER(SEARCH("HDD",$F3002)),"HDD",IF(ISNUMBER(SEARCH("VCA",$F3002)),"VCA","MND"))</f>
        <v/>
      </c>
      <c r="T3002">
        <f>TEXT($A3002,"yyyy-mm")&amp;"|"&amp;$C3002&amp;"|"&amp;$I3002</f>
        <v/>
      </c>
    </row>
    <row r="3003">
      <c r="A3003" s="36" t="n">
        <v>46192</v>
      </c>
      <c r="B3003" t="inlineStr">
        <is>
          <t>Sexta</t>
        </is>
      </c>
      <c r="C3003" t="inlineStr">
        <is>
          <t>RCE Maria Dos Santos Machado</t>
        </is>
      </c>
      <c r="D3003" t="inlineStr">
        <is>
          <t>Valmir</t>
        </is>
      </c>
      <c r="E3003" t="inlineStr">
        <is>
          <t>Marcio</t>
        </is>
      </c>
      <c r="F3003" t="inlineStr">
        <is>
          <t>VCA PVP-0 ao PV-1</t>
        </is>
      </c>
      <c r="G3003" t="inlineStr">
        <is>
          <t>0</t>
        </is>
      </c>
      <c r="H3003" t="inlineStr">
        <is>
          <t>1</t>
        </is>
      </c>
      <c r="I3003" t="inlineStr">
        <is>
          <t>0 ao 1</t>
        </is>
      </c>
      <c r="J3003" t="inlineStr">
        <is>
          <t>VCA</t>
        </is>
      </c>
      <c r="K3003" t="inlineStr">
        <is>
          <t>Planejamento</t>
        </is>
      </c>
      <c r="L3003" t="inlineStr">
        <is>
          <t>PDS texto Codex 2026-06-19 2026-06-22</t>
        </is>
      </c>
      <c r="M3003">
        <f>IF($A3003="","",TEXT($A3003,"mmmm/yyyy"))</f>
        <v/>
      </c>
      <c r="R3003">
        <f>IF(ISNUMBER(SEARCH("HDD",$F3003)),"HDD",IF(ISNUMBER(SEARCH("VCA",$F3003)),"VCA","MND"))</f>
        <v/>
      </c>
      <c r="T3003">
        <f>TEXT($A3003,"yyyy-mm")&amp;"|"&amp;$C3003&amp;"|"&amp;$I3003</f>
        <v/>
      </c>
    </row>
    <row r="3004">
      <c r="A3004" s="36" t="n">
        <v>46192</v>
      </c>
      <c r="B3004" t="inlineStr">
        <is>
          <t>Sexta</t>
        </is>
      </c>
      <c r="C3004" t="inlineStr">
        <is>
          <t>RCE Conj. União</t>
        </is>
      </c>
      <c r="D3004" t="inlineStr">
        <is>
          <t>Silvestre</t>
        </is>
      </c>
      <c r="E3004" t="inlineStr">
        <is>
          <t>Jhonatan</t>
        </is>
      </c>
      <c r="F3004" t="inlineStr">
        <is>
          <t>VCA PV 48 ao PV 49</t>
        </is>
      </c>
      <c r="G3004" t="inlineStr">
        <is>
          <t>48</t>
        </is>
      </c>
      <c r="H3004" t="inlineStr">
        <is>
          <t>49</t>
        </is>
      </c>
      <c r="I3004" t="inlineStr">
        <is>
          <t>48 ao 49</t>
        </is>
      </c>
      <c r="J3004" t="inlineStr">
        <is>
          <t>VCA</t>
        </is>
      </c>
      <c r="K3004" t="inlineStr">
        <is>
          <t>Planejamento</t>
        </is>
      </c>
      <c r="L3004" t="inlineStr">
        <is>
          <t>PDS texto Codex 2026-06-19 2026-06-22</t>
        </is>
      </c>
      <c r="M3004">
        <f>IF($A3004="","",TEXT($A3004,"mmmm/yyyy"))</f>
        <v/>
      </c>
      <c r="R3004">
        <f>IF(ISNUMBER(SEARCH("HDD",$F3004)),"HDD",IF(ISNUMBER(SEARCH("VCA",$F3004)),"VCA","MND"))</f>
        <v/>
      </c>
      <c r="T3004">
        <f>TEXT($A3004,"yyyy-mm")&amp;"|"&amp;$C3004&amp;"|"&amp;$I3004</f>
        <v/>
      </c>
    </row>
    <row r="3005">
      <c r="A3005" s="36" t="n">
        <v>46192</v>
      </c>
      <c r="B3005" t="inlineStr">
        <is>
          <t>Sexta</t>
        </is>
      </c>
      <c r="C3005" t="inlineStr">
        <is>
          <t>RCE Elias Sleiman</t>
        </is>
      </c>
      <c r="D3005" t="inlineStr">
        <is>
          <t>Silvestre</t>
        </is>
      </c>
      <c r="E3005" t="inlineStr">
        <is>
          <t>Edvando</t>
        </is>
      </c>
      <c r="F3005" t="inlineStr">
        <is>
          <t>VCA PV 28 ao PV 29</t>
        </is>
      </c>
      <c r="G3005" t="inlineStr">
        <is>
          <t>28</t>
        </is>
      </c>
      <c r="H3005" t="inlineStr">
        <is>
          <t>29</t>
        </is>
      </c>
      <c r="I3005" t="inlineStr">
        <is>
          <t>28 ao 29</t>
        </is>
      </c>
      <c r="J3005" t="inlineStr">
        <is>
          <t>VCA</t>
        </is>
      </c>
      <c r="K3005" t="inlineStr">
        <is>
          <t>Planejamento</t>
        </is>
      </c>
      <c r="L3005" t="inlineStr">
        <is>
          <t>PDS texto Codex 2026-06-19 2026-06-22</t>
        </is>
      </c>
      <c r="M3005">
        <f>IF($A3005="","",TEXT($A3005,"mmmm/yyyy"))</f>
        <v/>
      </c>
      <c r="R3005">
        <f>IF(ISNUMBER(SEARCH("HDD",$F3005)),"HDD",IF(ISNUMBER(SEARCH("VCA",$F3005)),"VCA","MND"))</f>
        <v/>
      </c>
      <c r="T3005">
        <f>TEXT($A3005,"yyyy-mm")&amp;"|"&amp;$C3005&amp;"|"&amp;$I3005</f>
        <v/>
      </c>
    </row>
    <row r="3006">
      <c r="A3006" s="36" t="n">
        <v>46192</v>
      </c>
      <c r="B3006" t="inlineStr">
        <is>
          <t>Sexta</t>
        </is>
      </c>
      <c r="C3006" t="inlineStr">
        <is>
          <t>RCE Raulzito</t>
        </is>
      </c>
      <c r="D3006" t="inlineStr">
        <is>
          <t>Robson</t>
        </is>
      </c>
      <c r="E3006" t="inlineStr">
        <is>
          <t>Bruno</t>
        </is>
      </c>
      <c r="F3006" t="inlineStr">
        <is>
          <t>VCA, PVs e Ligações</t>
        </is>
      </c>
      <c r="J3006" t="inlineStr">
        <is>
          <t>VCA</t>
        </is>
      </c>
      <c r="K3006" t="inlineStr">
        <is>
          <t>Planejamento</t>
        </is>
      </c>
      <c r="L3006" t="inlineStr">
        <is>
          <t>PDS texto Codex 2026-06-19 2026-06-22</t>
        </is>
      </c>
      <c r="M3006">
        <f>IF($A3006="","",TEXT($A3006,"mmmm/yyyy"))</f>
        <v/>
      </c>
      <c r="R3006">
        <f>IF(ISNUMBER(SEARCH("HDD",$F3006)),"HDD",IF(ISNUMBER(SEARCH("VCA",$F3006)),"VCA","MND"))</f>
        <v/>
      </c>
      <c r="T3006">
        <f>TEXT($A3006,"yyyy-mm")&amp;"|"&amp;$C3006&amp;"|"&amp;$I3006</f>
        <v/>
      </c>
    </row>
    <row r="3007">
      <c r="A3007" s="36" t="n">
        <v>46192</v>
      </c>
      <c r="B3007" t="inlineStr">
        <is>
          <t>Sexta</t>
        </is>
      </c>
      <c r="C3007" t="inlineStr">
        <is>
          <t>RCE Raulzito</t>
        </is>
      </c>
      <c r="D3007" t="inlineStr">
        <is>
          <t>Robson</t>
        </is>
      </c>
      <c r="E3007" t="inlineStr">
        <is>
          <t>Medeiros</t>
        </is>
      </c>
      <c r="F3007" t="inlineStr">
        <is>
          <t>VCA, PVs e Ligações</t>
        </is>
      </c>
      <c r="J3007" t="inlineStr">
        <is>
          <t>VCA</t>
        </is>
      </c>
      <c r="K3007" t="inlineStr">
        <is>
          <t>Planejamento</t>
        </is>
      </c>
      <c r="L3007" t="inlineStr">
        <is>
          <t>PDS texto Codex 2026-06-19 2026-06-22</t>
        </is>
      </c>
      <c r="M3007">
        <f>IF($A3007="","",TEXT($A3007,"mmmm/yyyy"))</f>
        <v/>
      </c>
      <c r="R3007">
        <f>IF(ISNUMBER(SEARCH("HDD",$F3007)),"HDD",IF(ISNUMBER(SEARCH("VCA",$F3007)),"VCA","MND"))</f>
        <v/>
      </c>
      <c r="T3007">
        <f>TEXT($A3007,"yyyy-mm")&amp;"|"&amp;$C3007&amp;"|"&amp;$I3007</f>
        <v/>
      </c>
    </row>
    <row r="3008">
      <c r="A3008" s="36" t="n">
        <v>46192</v>
      </c>
      <c r="B3008" t="inlineStr">
        <is>
          <t>Sexta</t>
        </is>
      </c>
      <c r="C3008" t="inlineStr">
        <is>
          <t>RCE Raulzito</t>
        </is>
      </c>
      <c r="D3008" t="inlineStr">
        <is>
          <t>Robson</t>
        </is>
      </c>
      <c r="E3008" t="inlineStr">
        <is>
          <t>Marcelo</t>
        </is>
      </c>
      <c r="F3008" t="inlineStr">
        <is>
          <t>VCA, PVs e Ligações</t>
        </is>
      </c>
      <c r="J3008" t="inlineStr">
        <is>
          <t>VCA</t>
        </is>
      </c>
      <c r="K3008" t="inlineStr">
        <is>
          <t>Planejamento</t>
        </is>
      </c>
      <c r="L3008" t="inlineStr">
        <is>
          <t>PDS texto Codex 2026-06-19 2026-06-22</t>
        </is>
      </c>
      <c r="M3008">
        <f>IF($A3008="","",TEXT($A3008,"mmmm/yyyy"))</f>
        <v/>
      </c>
      <c r="R3008">
        <f>IF(ISNUMBER(SEARCH("HDD",$F3008)),"HDD",IF(ISNUMBER(SEARCH("VCA",$F3008)),"VCA","MND"))</f>
        <v/>
      </c>
      <c r="T3008">
        <f>TEXT($A3008,"yyyy-mm")&amp;"|"&amp;$C3008&amp;"|"&amp;$I3008</f>
        <v/>
      </c>
    </row>
    <row r="3009">
      <c r="A3009" s="36" t="n">
        <v>46192</v>
      </c>
      <c r="B3009" t="inlineStr">
        <is>
          <t>Sexta</t>
        </is>
      </c>
      <c r="C3009" t="inlineStr">
        <is>
          <t>RCE Raulzito</t>
        </is>
      </c>
      <c r="D3009" t="inlineStr">
        <is>
          <t>Robson</t>
        </is>
      </c>
      <c r="E3009" t="inlineStr">
        <is>
          <t>Cidão</t>
        </is>
      </c>
      <c r="F3009" t="inlineStr">
        <is>
          <t>VCA, PVs e Ligações</t>
        </is>
      </c>
      <c r="J3009" t="inlineStr">
        <is>
          <t>VCA</t>
        </is>
      </c>
      <c r="K3009" t="inlineStr">
        <is>
          <t>Planejamento</t>
        </is>
      </c>
      <c r="L3009" t="inlineStr">
        <is>
          <t>PDS texto Codex 2026-06-19 2026-06-22</t>
        </is>
      </c>
      <c r="M3009">
        <f>IF($A3009="","",TEXT($A3009,"mmmm/yyyy"))</f>
        <v/>
      </c>
      <c r="R3009">
        <f>IF(ISNUMBER(SEARCH("HDD",$F3009)),"HDD",IF(ISNUMBER(SEARCH("VCA",$F3009)),"VCA","MND"))</f>
        <v/>
      </c>
      <c r="T3009">
        <f>TEXT($A3009,"yyyy-mm")&amp;"|"&amp;$C3009&amp;"|"&amp;$I3009</f>
        <v/>
      </c>
    </row>
    <row r="3010">
      <c r="A3010" s="36" t="n">
        <v>46192</v>
      </c>
      <c r="B3010" t="inlineStr">
        <is>
          <t>Sexta</t>
        </is>
      </c>
      <c r="C3010" t="inlineStr">
        <is>
          <t>RCE São Lucas</t>
        </is>
      </c>
      <c r="D3010" t="inlineStr">
        <is>
          <t>Fábio</t>
        </is>
      </c>
      <c r="E3010" t="inlineStr">
        <is>
          <t>Ricardo (PI 13 ao PI 14)</t>
        </is>
      </c>
      <c r="F3010" t="inlineStr">
        <is>
          <t>VCA, PVs e Ligações</t>
        </is>
      </c>
      <c r="G3010" t="inlineStr">
        <is>
          <t>13</t>
        </is>
      </c>
      <c r="H3010" t="inlineStr">
        <is>
          <t>14</t>
        </is>
      </c>
      <c r="I3010" t="inlineStr">
        <is>
          <t>13 ao 14</t>
        </is>
      </c>
      <c r="J3010" t="inlineStr">
        <is>
          <t>VCA</t>
        </is>
      </c>
      <c r="K3010" t="inlineStr">
        <is>
          <t>Planejamento</t>
        </is>
      </c>
      <c r="L3010" t="inlineStr">
        <is>
          <t>PDS texto Codex 2026-06-19 2026-06-22</t>
        </is>
      </c>
      <c r="M3010">
        <f>IF($A3010="","",TEXT($A3010,"mmmm/yyyy"))</f>
        <v/>
      </c>
      <c r="R3010">
        <f>IF(ISNUMBER(SEARCH("HDD",$F3010)),"HDD",IF(ISNUMBER(SEARCH("VCA",$F3010)),"VCA","MND"))</f>
        <v/>
      </c>
      <c r="T3010">
        <f>TEXT($A3010,"yyyy-mm")&amp;"|"&amp;$C3010&amp;"|"&amp;$I3010</f>
        <v/>
      </c>
    </row>
    <row r="3011">
      <c r="A3011" s="36" t="n">
        <v>46192</v>
      </c>
      <c r="B3011" t="inlineStr">
        <is>
          <t>Sexta</t>
        </is>
      </c>
      <c r="C3011" t="inlineStr">
        <is>
          <t>RCE São Lucas</t>
        </is>
      </c>
      <c r="D3011" t="inlineStr">
        <is>
          <t>Fábio</t>
        </is>
      </c>
      <c r="E3011" t="inlineStr">
        <is>
          <t>Claudinei (PI 65 ao PI 66)</t>
        </is>
      </c>
      <c r="F3011" t="inlineStr">
        <is>
          <t>VCA, PVs e Ligações</t>
        </is>
      </c>
      <c r="G3011" t="inlineStr">
        <is>
          <t>65</t>
        </is>
      </c>
      <c r="H3011" t="inlineStr">
        <is>
          <t>66</t>
        </is>
      </c>
      <c r="I3011" t="inlineStr">
        <is>
          <t>65 ao 66</t>
        </is>
      </c>
      <c r="J3011" t="inlineStr">
        <is>
          <t>VCA</t>
        </is>
      </c>
      <c r="K3011" t="inlineStr">
        <is>
          <t>Planejamento</t>
        </is>
      </c>
      <c r="L3011" t="inlineStr">
        <is>
          <t>PDS texto Codex 2026-06-19 2026-06-22</t>
        </is>
      </c>
      <c r="M3011">
        <f>IF($A3011="","",TEXT($A3011,"mmmm/yyyy"))</f>
        <v/>
      </c>
      <c r="R3011">
        <f>IF(ISNUMBER(SEARCH("HDD",$F3011)),"HDD",IF(ISNUMBER(SEARCH("VCA",$F3011)),"VCA","MND"))</f>
        <v/>
      </c>
      <c r="T3011">
        <f>TEXT($A3011,"yyyy-mm")&amp;"|"&amp;$C3011&amp;"|"&amp;$I3011</f>
        <v/>
      </c>
    </row>
    <row r="3012">
      <c r="A3012" s="36" t="n">
        <v>46192</v>
      </c>
      <c r="B3012" t="inlineStr">
        <is>
          <t>Sexta</t>
        </is>
      </c>
      <c r="C3012" t="inlineStr">
        <is>
          <t>RCE São Lucas</t>
        </is>
      </c>
      <c r="D3012" t="inlineStr">
        <is>
          <t>Fábio</t>
        </is>
      </c>
      <c r="E3012" t="inlineStr">
        <is>
          <t>Miro (PI 61 ao PI 62)</t>
        </is>
      </c>
      <c r="F3012" t="inlineStr">
        <is>
          <t>VCA, PVs e Ligações</t>
        </is>
      </c>
      <c r="G3012" t="inlineStr">
        <is>
          <t>61</t>
        </is>
      </c>
      <c r="H3012" t="inlineStr">
        <is>
          <t>62</t>
        </is>
      </c>
      <c r="I3012" t="inlineStr">
        <is>
          <t>61 ao 62</t>
        </is>
      </c>
      <c r="J3012" t="inlineStr">
        <is>
          <t>VCA</t>
        </is>
      </c>
      <c r="K3012" t="inlineStr">
        <is>
          <t>Planejamento</t>
        </is>
      </c>
      <c r="L3012" t="inlineStr">
        <is>
          <t>PDS texto Codex 2026-06-19 2026-06-22</t>
        </is>
      </c>
      <c r="M3012">
        <f>IF($A3012="","",TEXT($A3012,"mmmm/yyyy"))</f>
        <v/>
      </c>
      <c r="R3012">
        <f>IF(ISNUMBER(SEARCH("HDD",$F3012)),"HDD",IF(ISNUMBER(SEARCH("VCA",$F3012)),"VCA","MND"))</f>
        <v/>
      </c>
      <c r="T3012">
        <f>TEXT($A3012,"yyyy-mm")&amp;"|"&amp;$C3012&amp;"|"&amp;$I3012</f>
        <v/>
      </c>
    </row>
    <row r="3013">
      <c r="A3013" s="36" t="n">
        <v>46192</v>
      </c>
      <c r="B3013" t="inlineStr">
        <is>
          <t>Sexta</t>
        </is>
      </c>
      <c r="C3013" t="inlineStr">
        <is>
          <t>RCE São Lucas</t>
        </is>
      </c>
      <c r="D3013" t="inlineStr">
        <is>
          <t>Fábio</t>
        </is>
      </c>
      <c r="E3013" t="inlineStr">
        <is>
          <t>Emanuel (PI 11 ao PI 46)</t>
        </is>
      </c>
      <c r="F3013" t="inlineStr">
        <is>
          <t>VCA, PVs e Ligações</t>
        </is>
      </c>
      <c r="G3013" t="inlineStr">
        <is>
          <t>11</t>
        </is>
      </c>
      <c r="H3013" t="inlineStr">
        <is>
          <t>46</t>
        </is>
      </c>
      <c r="I3013" t="inlineStr">
        <is>
          <t>11 ao 46</t>
        </is>
      </c>
      <c r="J3013" t="inlineStr">
        <is>
          <t>VCA</t>
        </is>
      </c>
      <c r="K3013" t="inlineStr">
        <is>
          <t>Planejamento</t>
        </is>
      </c>
      <c r="L3013" t="inlineStr">
        <is>
          <t>PDS texto Codex 2026-06-19 2026-06-22</t>
        </is>
      </c>
      <c r="M3013">
        <f>IF($A3013="","",TEXT($A3013,"mmmm/yyyy"))</f>
        <v/>
      </c>
      <c r="R3013">
        <f>IF(ISNUMBER(SEARCH("HDD",$F3013)),"HDD",IF(ISNUMBER(SEARCH("VCA",$F3013)),"VCA","MND"))</f>
        <v/>
      </c>
      <c r="T3013">
        <f>TEXT($A3013,"yyyy-mm")&amp;"|"&amp;$C3013&amp;"|"&amp;$I3013</f>
        <v/>
      </c>
    </row>
    <row r="3014">
      <c r="A3014" s="36" t="n">
        <v>46192</v>
      </c>
      <c r="B3014" t="inlineStr">
        <is>
          <t>Sexta</t>
        </is>
      </c>
      <c r="C3014" t="inlineStr">
        <is>
          <t>RCE São Lucas</t>
        </is>
      </c>
      <c r="D3014" t="inlineStr">
        <is>
          <t>Fábio</t>
        </is>
      </c>
      <c r="E3014" t="inlineStr">
        <is>
          <t>Antônio (PI 18 ao PI 17)</t>
        </is>
      </c>
      <c r="F3014" t="inlineStr">
        <is>
          <t>VCA, PVs e Ligações</t>
        </is>
      </c>
      <c r="G3014" t="inlineStr">
        <is>
          <t>18</t>
        </is>
      </c>
      <c r="H3014" t="inlineStr">
        <is>
          <t>17</t>
        </is>
      </c>
      <c r="I3014" t="inlineStr">
        <is>
          <t>18 ao 17</t>
        </is>
      </c>
      <c r="J3014" t="inlineStr">
        <is>
          <t>VCA</t>
        </is>
      </c>
      <c r="K3014" t="inlineStr">
        <is>
          <t>Planejamento</t>
        </is>
      </c>
      <c r="L3014" t="inlineStr">
        <is>
          <t>PDS texto Codex 2026-06-19 2026-06-22</t>
        </is>
      </c>
      <c r="M3014">
        <f>IF($A3014="","",TEXT($A3014,"mmmm/yyyy"))</f>
        <v/>
      </c>
      <c r="R3014">
        <f>IF(ISNUMBER(SEARCH("HDD",$F3014)),"HDD",IF(ISNUMBER(SEARCH("VCA",$F3014)),"VCA","MND"))</f>
        <v/>
      </c>
      <c r="T3014">
        <f>TEXT($A3014,"yyyy-mm")&amp;"|"&amp;$C3014&amp;"|"&amp;$I3014</f>
        <v/>
      </c>
    </row>
    <row r="3015">
      <c r="A3015" s="36" t="n">
        <v>46192</v>
      </c>
      <c r="B3015" t="inlineStr">
        <is>
          <t>Sexta</t>
        </is>
      </c>
      <c r="C3015" t="inlineStr">
        <is>
          <t>Serviços Reposição</t>
        </is>
      </c>
      <c r="D3015" t="inlineStr">
        <is>
          <t>Leandro</t>
        </is>
      </c>
      <c r="E3015" t="inlineStr">
        <is>
          <t>Leandro</t>
        </is>
      </c>
      <c r="F3015" t="inlineStr">
        <is>
          <t>Reparos Gerais</t>
        </is>
      </c>
      <c r="J3015" t="inlineStr">
        <is>
          <t>Reposição</t>
        </is>
      </c>
      <c r="K3015" t="inlineStr">
        <is>
          <t>Planejamento</t>
        </is>
      </c>
      <c r="L3015" t="inlineStr">
        <is>
          <t>PDS texto Codex 2026-06-19 2026-06-22</t>
        </is>
      </c>
      <c r="M3015">
        <f>IF($A3015="","",TEXT($A3015,"mmmm/yyyy"))</f>
        <v/>
      </c>
      <c r="R3015">
        <f>IF(ISNUMBER(SEARCH("HDD",$F3015)),"HDD",IF(ISNUMBER(SEARCH("VCA",$F3015)),"VCA","MND"))</f>
        <v/>
      </c>
      <c r="T3015">
        <f>TEXT($A3015,"yyyy-mm")&amp;"|"&amp;$C3015&amp;"|"&amp;$I3015</f>
        <v/>
      </c>
    </row>
    <row r="3016">
      <c r="A3016" s="36" t="n">
        <v>46192</v>
      </c>
      <c r="B3016" t="inlineStr">
        <is>
          <t>Sexta</t>
        </is>
      </c>
      <c r="C3016" t="inlineStr">
        <is>
          <t>João Canzi</t>
        </is>
      </c>
      <c r="E3016" t="inlineStr">
        <is>
          <t>Vacal</t>
        </is>
      </c>
      <c r="F3016" t="inlineStr">
        <is>
          <t>João Canzi - Henko</t>
        </is>
      </c>
      <c r="J3016" t="inlineStr">
        <is>
          <t>Atividade</t>
        </is>
      </c>
      <c r="K3016" t="inlineStr">
        <is>
          <t>Apoio</t>
        </is>
      </c>
      <c r="L3016" t="inlineStr">
        <is>
          <t>PDS texto Codex 2026-06-19 2026-06-22</t>
        </is>
      </c>
      <c r="M3016">
        <f>IF($A3016="","",TEXT($A3016,"mmmm/yyyy"))</f>
        <v/>
      </c>
      <c r="R3016">
        <f>IF(ISNUMBER(SEARCH("HDD",$F3016)),"HDD",IF(ISNUMBER(SEARCH("VCA",$F3016)),"VCA","MND"))</f>
        <v/>
      </c>
      <c r="T3016">
        <f>TEXT($A3016,"yyyy-mm")&amp;"|"&amp;$C3016&amp;"|"&amp;$I3016</f>
        <v/>
      </c>
    </row>
    <row r="3017">
      <c r="A3017" s="36" t="n">
        <v>46192</v>
      </c>
      <c r="B3017" t="inlineStr">
        <is>
          <t>Sexta</t>
        </is>
      </c>
      <c r="C3017" t="inlineStr">
        <is>
          <t>João Canzi</t>
        </is>
      </c>
      <c r="E3017" t="inlineStr">
        <is>
          <t>Vacal</t>
        </is>
      </c>
      <c r="F3017" t="inlineStr">
        <is>
          <t>João Canzi - Henko</t>
        </is>
      </c>
      <c r="J3017" t="inlineStr">
        <is>
          <t>Atividade</t>
        </is>
      </c>
      <c r="K3017" t="inlineStr">
        <is>
          <t>Apoio</t>
        </is>
      </c>
      <c r="L3017" t="inlineStr">
        <is>
          <t>PDS texto Codex 2026-06-19 2026-06-22</t>
        </is>
      </c>
      <c r="M3017">
        <f>IF($A3017="","",TEXT($A3017,"mmmm/yyyy"))</f>
        <v/>
      </c>
      <c r="R3017">
        <f>IF(ISNUMBER(SEARCH("HDD",$F3017)),"HDD",IF(ISNUMBER(SEARCH("VCA",$F3017)),"VCA","MND"))</f>
        <v/>
      </c>
      <c r="T3017">
        <f>TEXT($A3017,"yyyy-mm")&amp;"|"&amp;$C3017&amp;"|"&amp;$I3017</f>
        <v/>
      </c>
    </row>
    <row r="3018">
      <c r="A3018" s="36" t="n">
        <v>46192</v>
      </c>
      <c r="B3018" t="inlineStr">
        <is>
          <t>Sexta</t>
        </is>
      </c>
      <c r="C3018" t="inlineStr">
        <is>
          <t>ITI 15</t>
        </is>
      </c>
      <c r="E3018" t="inlineStr">
        <is>
          <t>Vacal</t>
        </is>
      </c>
      <c r="F3018" t="inlineStr">
        <is>
          <t>ITI 15 - Henko</t>
        </is>
      </c>
      <c r="J3018" t="inlineStr">
        <is>
          <t>Atividade</t>
        </is>
      </c>
      <c r="K3018" t="inlineStr">
        <is>
          <t>Apoio</t>
        </is>
      </c>
      <c r="L3018" t="inlineStr">
        <is>
          <t>PDS texto Codex 2026-06-19 2026-06-22</t>
        </is>
      </c>
      <c r="M3018">
        <f>IF($A3018="","",TEXT($A3018,"mmmm/yyyy"))</f>
        <v/>
      </c>
      <c r="R3018">
        <f>IF(ISNUMBER(SEARCH("HDD",$F3018)),"HDD",IF(ISNUMBER(SEARCH("VCA",$F3018)),"VCA","MND"))</f>
        <v/>
      </c>
      <c r="T3018">
        <f>TEXT($A3018,"yyyy-mm")&amp;"|"&amp;$C3018&amp;"|"&amp;$I3018</f>
        <v/>
      </c>
    </row>
    <row r="3019">
      <c r="A3019" s="36" t="n">
        <v>46192</v>
      </c>
      <c r="B3019" t="inlineStr">
        <is>
          <t>Sexta</t>
        </is>
      </c>
      <c r="C3019" t="inlineStr">
        <is>
          <t>Guindauto</t>
        </is>
      </c>
      <c r="E3019" t="inlineStr">
        <is>
          <t>Marcio</t>
        </is>
      </c>
      <c r="F3019" t="inlineStr">
        <is>
          <t>Marcio - Apoio as equipes</t>
        </is>
      </c>
      <c r="J3019" t="inlineStr">
        <is>
          <t>Atividade</t>
        </is>
      </c>
      <c r="K3019" t="inlineStr">
        <is>
          <t>Apoio</t>
        </is>
      </c>
      <c r="L3019" t="inlineStr">
        <is>
          <t>PDS texto Codex 2026-06-19 2026-06-22</t>
        </is>
      </c>
      <c r="M3019">
        <f>IF($A3019="","",TEXT($A3019,"mmmm/yyyy"))</f>
        <v/>
      </c>
      <c r="R3019">
        <f>IF(ISNUMBER(SEARCH("HDD",$F3019)),"HDD",IF(ISNUMBER(SEARCH("VCA",$F3019)),"VCA","MND"))</f>
        <v/>
      </c>
      <c r="T3019">
        <f>TEXT($A3019,"yyyy-mm")&amp;"|"&amp;$C3019&amp;"|"&amp;$I3019</f>
        <v/>
      </c>
    </row>
    <row r="3020">
      <c r="A3020" s="36" t="n">
        <v>46192</v>
      </c>
      <c r="B3020" t="inlineStr">
        <is>
          <t>Sexta</t>
        </is>
      </c>
      <c r="C3020" t="inlineStr">
        <is>
          <t>Guindauto</t>
        </is>
      </c>
      <c r="E3020" t="inlineStr">
        <is>
          <t>Luiz</t>
        </is>
      </c>
      <c r="F3020" t="inlineStr">
        <is>
          <t>Luiz - Apoio as equipes</t>
        </is>
      </c>
      <c r="J3020" t="inlineStr">
        <is>
          <t>Atividade</t>
        </is>
      </c>
      <c r="K3020" t="inlineStr">
        <is>
          <t>Apoio</t>
        </is>
      </c>
      <c r="L3020" t="inlineStr">
        <is>
          <t>PDS texto Codex 2026-06-19 2026-06-22</t>
        </is>
      </c>
      <c r="M3020">
        <f>IF($A3020="","",TEXT($A3020,"mmmm/yyyy"))</f>
        <v/>
      </c>
      <c r="R3020">
        <f>IF(ISNUMBER(SEARCH("HDD",$F3020)),"HDD",IF(ISNUMBER(SEARCH("VCA",$F3020)),"VCA","MND"))</f>
        <v/>
      </c>
      <c r="T3020">
        <f>TEXT($A3020,"yyyy-mm")&amp;"|"&amp;$C3020&amp;"|"&amp;$I3020</f>
        <v/>
      </c>
    </row>
    <row r="3021">
      <c r="A3021" s="36" t="n">
        <v>46195</v>
      </c>
      <c r="B3021" t="inlineStr">
        <is>
          <t>Segunda</t>
        </is>
      </c>
      <c r="C3021" t="inlineStr">
        <is>
          <t>CT Água Vermelha ME</t>
        </is>
      </c>
      <c r="D3021" t="inlineStr">
        <is>
          <t>Valmir</t>
        </is>
      </c>
      <c r="E3021" t="inlineStr">
        <is>
          <t>Cesar</t>
        </is>
      </c>
      <c r="F3021" t="inlineStr">
        <is>
          <t>Adequação PVE 07</t>
        </is>
      </c>
      <c r="G3021" t="inlineStr">
        <is>
          <t>07</t>
        </is>
      </c>
      <c r="I3021" t="inlineStr">
        <is>
          <t>07</t>
        </is>
      </c>
      <c r="J3021" t="inlineStr">
        <is>
          <t>Adequação</t>
        </is>
      </c>
      <c r="K3021" t="inlineStr">
        <is>
          <t>Planejamento</t>
        </is>
      </c>
      <c r="L3021" t="inlineStr">
        <is>
          <t>PDS texto Codex 2026-06-19 2026-06-22</t>
        </is>
      </c>
      <c r="M3021">
        <f>IF($A3021="","",TEXT($A3021,"mmmm/yyyy"))</f>
        <v/>
      </c>
      <c r="R3021">
        <f>IF(ISNUMBER(SEARCH("HDD",$F3021)),"HDD",IF(ISNUMBER(SEARCH("VCA",$F3021)),"VCA","MND"))</f>
        <v/>
      </c>
      <c r="T3021">
        <f>TEXT($A3021,"yyyy-mm")&amp;"|"&amp;$C3021&amp;"|"&amp;$I3021</f>
        <v/>
      </c>
    </row>
    <row r="3022">
      <c r="A3022" s="36" t="n">
        <v>46195</v>
      </c>
      <c r="B3022" t="inlineStr">
        <is>
          <t>Segunda</t>
        </is>
      </c>
      <c r="C3022" t="inlineStr">
        <is>
          <t>RCE Maria Dos Santos Machado</t>
        </is>
      </c>
      <c r="D3022" t="inlineStr">
        <is>
          <t>Silvestre</t>
        </is>
      </c>
      <c r="E3022" t="inlineStr">
        <is>
          <t>Marcio</t>
        </is>
      </c>
      <c r="F3022" t="inlineStr">
        <is>
          <t>VCA PVP-0 ao PV-1</t>
        </is>
      </c>
      <c r="G3022" t="inlineStr">
        <is>
          <t>0</t>
        </is>
      </c>
      <c r="H3022" t="inlineStr">
        <is>
          <t>1</t>
        </is>
      </c>
      <c r="I3022" t="inlineStr">
        <is>
          <t>0 ao 1</t>
        </is>
      </c>
      <c r="J3022" t="inlineStr">
        <is>
          <t>VCA</t>
        </is>
      </c>
      <c r="K3022" t="inlineStr">
        <is>
          <t>Planejamento</t>
        </is>
      </c>
      <c r="L3022" t="inlineStr">
        <is>
          <t>PDS texto Codex 2026-06-19 2026-06-22</t>
        </is>
      </c>
      <c r="M3022">
        <f>IF($A3022="","",TEXT($A3022,"mmmm/yyyy"))</f>
        <v/>
      </c>
      <c r="R3022">
        <f>IF(ISNUMBER(SEARCH("HDD",$F3022)),"HDD",IF(ISNUMBER(SEARCH("VCA",$F3022)),"VCA","MND"))</f>
        <v/>
      </c>
      <c r="T3022">
        <f>TEXT($A3022,"yyyy-mm")&amp;"|"&amp;$C3022&amp;"|"&amp;$I3022</f>
        <v/>
      </c>
    </row>
    <row r="3023">
      <c r="A3023" s="36" t="n">
        <v>46195</v>
      </c>
      <c r="B3023" t="inlineStr">
        <is>
          <t>Segunda</t>
        </is>
      </c>
      <c r="C3023" t="inlineStr">
        <is>
          <t>RCE Conj. União</t>
        </is>
      </c>
      <c r="D3023" t="inlineStr">
        <is>
          <t>Silvestre</t>
        </is>
      </c>
      <c r="E3023" t="inlineStr">
        <is>
          <t>Jhonatan</t>
        </is>
      </c>
      <c r="F3023" t="inlineStr">
        <is>
          <t>VCA PV 48 ao PV 47</t>
        </is>
      </c>
      <c r="G3023" t="inlineStr">
        <is>
          <t>48</t>
        </is>
      </c>
      <c r="H3023" t="inlineStr">
        <is>
          <t>47</t>
        </is>
      </c>
      <c r="I3023" t="inlineStr">
        <is>
          <t>48 ao 47</t>
        </is>
      </c>
      <c r="J3023" t="inlineStr">
        <is>
          <t>VCA</t>
        </is>
      </c>
      <c r="K3023" t="inlineStr">
        <is>
          <t>Planejamento</t>
        </is>
      </c>
      <c r="L3023" t="inlineStr">
        <is>
          <t>PDS texto Codex 2026-06-19 2026-06-22</t>
        </is>
      </c>
      <c r="M3023">
        <f>IF($A3023="","",TEXT($A3023,"mmmm/yyyy"))</f>
        <v/>
      </c>
      <c r="R3023">
        <f>IF(ISNUMBER(SEARCH("HDD",$F3023)),"HDD",IF(ISNUMBER(SEARCH("VCA",$F3023)),"VCA","MND"))</f>
        <v/>
      </c>
      <c r="T3023">
        <f>TEXT($A3023,"yyyy-mm")&amp;"|"&amp;$C3023&amp;"|"&amp;$I3023</f>
        <v/>
      </c>
    </row>
    <row r="3024">
      <c r="A3024" s="36" t="n">
        <v>46195</v>
      </c>
      <c r="B3024" t="inlineStr">
        <is>
          <t>Segunda</t>
        </is>
      </c>
      <c r="C3024" t="inlineStr">
        <is>
          <t>RCE Elias Sleiman</t>
        </is>
      </c>
      <c r="D3024" t="inlineStr">
        <is>
          <t>Caroline</t>
        </is>
      </c>
      <c r="E3024" t="inlineStr">
        <is>
          <t>Edvando</t>
        </is>
      </c>
      <c r="F3024" t="inlineStr">
        <is>
          <t>Ligações</t>
        </is>
      </c>
      <c r="J3024" t="inlineStr">
        <is>
          <t>Ligação</t>
        </is>
      </c>
      <c r="K3024" t="inlineStr">
        <is>
          <t>Planejamento</t>
        </is>
      </c>
      <c r="L3024" t="inlineStr">
        <is>
          <t>PDS texto Codex 2026-06-19 2026-06-22</t>
        </is>
      </c>
      <c r="M3024">
        <f>IF($A3024="","",TEXT($A3024,"mmmm/yyyy"))</f>
        <v/>
      </c>
      <c r="R3024">
        <f>IF(ISNUMBER(SEARCH("HDD",$F3024)),"HDD",IF(ISNUMBER(SEARCH("VCA",$F3024)),"VCA","MND"))</f>
        <v/>
      </c>
      <c r="T3024">
        <f>TEXT($A3024,"yyyy-mm")&amp;"|"&amp;$C3024&amp;"|"&amp;$I3024</f>
        <v/>
      </c>
    </row>
    <row r="3025">
      <c r="A3025" s="36" t="n">
        <v>46195</v>
      </c>
      <c r="B3025" t="inlineStr">
        <is>
          <t>Segunda</t>
        </is>
      </c>
      <c r="C3025" t="inlineStr">
        <is>
          <t>RCE Elvira</t>
        </is>
      </c>
      <c r="D3025" t="inlineStr">
        <is>
          <t>Caroline</t>
        </is>
      </c>
      <c r="E3025" t="inlineStr">
        <is>
          <t>Valter</t>
        </is>
      </c>
      <c r="F3025" t="inlineStr">
        <is>
          <t>VCA, PVs e Ligações</t>
        </is>
      </c>
      <c r="J3025" t="inlineStr">
        <is>
          <t>VCA</t>
        </is>
      </c>
      <c r="K3025" t="inlineStr">
        <is>
          <t>Planejamento</t>
        </is>
      </c>
      <c r="L3025" t="inlineStr">
        <is>
          <t>PDS texto Codex 2026-06-19 2026-06-22</t>
        </is>
      </c>
      <c r="M3025">
        <f>IF($A3025="","",TEXT($A3025,"mmmm/yyyy"))</f>
        <v/>
      </c>
      <c r="R3025">
        <f>IF(ISNUMBER(SEARCH("HDD",$F3025)),"HDD",IF(ISNUMBER(SEARCH("VCA",$F3025)),"VCA","MND"))</f>
        <v/>
      </c>
      <c r="T3025">
        <f>TEXT($A3025,"yyyy-mm")&amp;"|"&amp;$C3025&amp;"|"&amp;$I3025</f>
        <v/>
      </c>
    </row>
    <row r="3026">
      <c r="A3026" s="36" t="n">
        <v>46195</v>
      </c>
      <c r="B3026" t="inlineStr">
        <is>
          <t>Segunda</t>
        </is>
      </c>
      <c r="C3026" t="inlineStr">
        <is>
          <t>RCE Raulzito</t>
        </is>
      </c>
      <c r="D3026" t="inlineStr">
        <is>
          <t>Robson</t>
        </is>
      </c>
      <c r="E3026" t="inlineStr">
        <is>
          <t>Bruno</t>
        </is>
      </c>
      <c r="F3026" t="inlineStr">
        <is>
          <t>VCA, PVs e Ligações</t>
        </is>
      </c>
      <c r="J3026" t="inlineStr">
        <is>
          <t>VCA</t>
        </is>
      </c>
      <c r="K3026" t="inlineStr">
        <is>
          <t>Planejamento</t>
        </is>
      </c>
      <c r="L3026" t="inlineStr">
        <is>
          <t>PDS texto Codex 2026-06-19 2026-06-22</t>
        </is>
      </c>
      <c r="M3026">
        <f>IF($A3026="","",TEXT($A3026,"mmmm/yyyy"))</f>
        <v/>
      </c>
      <c r="R3026">
        <f>IF(ISNUMBER(SEARCH("HDD",$F3026)),"HDD",IF(ISNUMBER(SEARCH("VCA",$F3026)),"VCA","MND"))</f>
        <v/>
      </c>
      <c r="T3026">
        <f>TEXT($A3026,"yyyy-mm")&amp;"|"&amp;$C3026&amp;"|"&amp;$I3026</f>
        <v/>
      </c>
    </row>
    <row r="3027">
      <c r="A3027" s="36" t="n">
        <v>46195</v>
      </c>
      <c r="B3027" t="inlineStr">
        <is>
          <t>Segunda</t>
        </is>
      </c>
      <c r="C3027" t="inlineStr">
        <is>
          <t>RCE Raulzito</t>
        </is>
      </c>
      <c r="D3027" t="inlineStr">
        <is>
          <t>Robson</t>
        </is>
      </c>
      <c r="E3027" t="inlineStr">
        <is>
          <t>Medeiros</t>
        </is>
      </c>
      <c r="F3027" t="inlineStr">
        <is>
          <t>VCA, PVs e Ligações</t>
        </is>
      </c>
      <c r="J3027" t="inlineStr">
        <is>
          <t>VCA</t>
        </is>
      </c>
      <c r="K3027" t="inlineStr">
        <is>
          <t>Planejamento</t>
        </is>
      </c>
      <c r="L3027" t="inlineStr">
        <is>
          <t>PDS texto Codex 2026-06-19 2026-06-22</t>
        </is>
      </c>
      <c r="M3027">
        <f>IF($A3027="","",TEXT($A3027,"mmmm/yyyy"))</f>
        <v/>
      </c>
      <c r="R3027">
        <f>IF(ISNUMBER(SEARCH("HDD",$F3027)),"HDD",IF(ISNUMBER(SEARCH("VCA",$F3027)),"VCA","MND"))</f>
        <v/>
      </c>
      <c r="T3027">
        <f>TEXT($A3027,"yyyy-mm")&amp;"|"&amp;$C3027&amp;"|"&amp;$I3027</f>
        <v/>
      </c>
    </row>
    <row r="3028">
      <c r="A3028" s="36" t="n">
        <v>46195</v>
      </c>
      <c r="B3028" t="inlineStr">
        <is>
          <t>Segunda</t>
        </is>
      </c>
      <c r="C3028" t="inlineStr">
        <is>
          <t>RCE Raulzito</t>
        </is>
      </c>
      <c r="D3028" t="inlineStr">
        <is>
          <t>Robson</t>
        </is>
      </c>
      <c r="E3028" t="inlineStr">
        <is>
          <t>Marcelo</t>
        </is>
      </c>
      <c r="F3028" t="inlineStr">
        <is>
          <t>VCA, PVs e Ligações</t>
        </is>
      </c>
      <c r="J3028" t="inlineStr">
        <is>
          <t>VCA</t>
        </is>
      </c>
      <c r="K3028" t="inlineStr">
        <is>
          <t>Planejamento</t>
        </is>
      </c>
      <c r="L3028" t="inlineStr">
        <is>
          <t>PDS texto Codex 2026-06-19 2026-06-22</t>
        </is>
      </c>
      <c r="M3028">
        <f>IF($A3028="","",TEXT($A3028,"mmmm/yyyy"))</f>
        <v/>
      </c>
      <c r="R3028">
        <f>IF(ISNUMBER(SEARCH("HDD",$F3028)),"HDD",IF(ISNUMBER(SEARCH("VCA",$F3028)),"VCA","MND"))</f>
        <v/>
      </c>
      <c r="T3028">
        <f>TEXT($A3028,"yyyy-mm")&amp;"|"&amp;$C3028&amp;"|"&amp;$I3028</f>
        <v/>
      </c>
    </row>
    <row r="3029">
      <c r="A3029" s="36" t="n">
        <v>46195</v>
      </c>
      <c r="B3029" t="inlineStr">
        <is>
          <t>Segunda</t>
        </is>
      </c>
      <c r="C3029" t="inlineStr">
        <is>
          <t>RCE Raulzito</t>
        </is>
      </c>
      <c r="D3029" t="inlineStr">
        <is>
          <t>Robson</t>
        </is>
      </c>
      <c r="E3029" t="inlineStr">
        <is>
          <t>Cidão</t>
        </is>
      </c>
      <c r="F3029" t="inlineStr">
        <is>
          <t>VCA, PVs e Ligações</t>
        </is>
      </c>
      <c r="J3029" t="inlineStr">
        <is>
          <t>VCA</t>
        </is>
      </c>
      <c r="K3029" t="inlineStr">
        <is>
          <t>Planejamento</t>
        </is>
      </c>
      <c r="L3029" t="inlineStr">
        <is>
          <t>PDS texto Codex 2026-06-19 2026-06-22</t>
        </is>
      </c>
      <c r="M3029">
        <f>IF($A3029="","",TEXT($A3029,"mmmm/yyyy"))</f>
        <v/>
      </c>
      <c r="R3029">
        <f>IF(ISNUMBER(SEARCH("HDD",$F3029)),"HDD",IF(ISNUMBER(SEARCH("VCA",$F3029)),"VCA","MND"))</f>
        <v/>
      </c>
      <c r="T3029">
        <f>TEXT($A3029,"yyyy-mm")&amp;"|"&amp;$C3029&amp;"|"&amp;$I3029</f>
        <v/>
      </c>
    </row>
    <row r="3030">
      <c r="A3030" s="36" t="n">
        <v>46195</v>
      </c>
      <c r="B3030" t="inlineStr">
        <is>
          <t>Segunda</t>
        </is>
      </c>
      <c r="C3030" t="inlineStr">
        <is>
          <t>RCE São Lucas</t>
        </is>
      </c>
      <c r="D3030" t="inlineStr">
        <is>
          <t>Fábio</t>
        </is>
      </c>
      <c r="E3030" t="inlineStr">
        <is>
          <t>Ricardo (PI 13 ao PI 14)</t>
        </is>
      </c>
      <c r="F3030" t="inlineStr">
        <is>
          <t>VCA, PVs e Ligações</t>
        </is>
      </c>
      <c r="G3030" t="inlineStr">
        <is>
          <t>13</t>
        </is>
      </c>
      <c r="H3030" t="inlineStr">
        <is>
          <t>14</t>
        </is>
      </c>
      <c r="I3030" t="inlineStr">
        <is>
          <t>13 ao 14</t>
        </is>
      </c>
      <c r="J3030" t="inlineStr">
        <is>
          <t>VCA</t>
        </is>
      </c>
      <c r="K3030" t="inlineStr">
        <is>
          <t>Planejamento</t>
        </is>
      </c>
      <c r="L3030" t="inlineStr">
        <is>
          <t>PDS texto Codex 2026-06-19 2026-06-22</t>
        </is>
      </c>
      <c r="M3030">
        <f>IF($A3030="","",TEXT($A3030,"mmmm/yyyy"))</f>
        <v/>
      </c>
      <c r="R3030">
        <f>IF(ISNUMBER(SEARCH("HDD",$F3030)),"HDD",IF(ISNUMBER(SEARCH("VCA",$F3030)),"VCA","MND"))</f>
        <v/>
      </c>
      <c r="T3030">
        <f>TEXT($A3030,"yyyy-mm")&amp;"|"&amp;$C3030&amp;"|"&amp;$I3030</f>
        <v/>
      </c>
    </row>
    <row r="3031">
      <c r="A3031" s="36" t="n">
        <v>46195</v>
      </c>
      <c r="B3031" t="inlineStr">
        <is>
          <t>Segunda</t>
        </is>
      </c>
      <c r="C3031" t="inlineStr">
        <is>
          <t>RCE São Lucas</t>
        </is>
      </c>
      <c r="D3031" t="inlineStr">
        <is>
          <t>Fábio</t>
        </is>
      </c>
      <c r="E3031" t="inlineStr">
        <is>
          <t>Claudinei (PI 65 ao PI 66)</t>
        </is>
      </c>
      <c r="F3031" t="inlineStr">
        <is>
          <t>VCA, PVs e Ligações</t>
        </is>
      </c>
      <c r="G3031" t="inlineStr">
        <is>
          <t>65</t>
        </is>
      </c>
      <c r="H3031" t="inlineStr">
        <is>
          <t>66</t>
        </is>
      </c>
      <c r="I3031" t="inlineStr">
        <is>
          <t>65 ao 66</t>
        </is>
      </c>
      <c r="J3031" t="inlineStr">
        <is>
          <t>VCA</t>
        </is>
      </c>
      <c r="K3031" t="inlineStr">
        <is>
          <t>Planejamento</t>
        </is>
      </c>
      <c r="L3031" t="inlineStr">
        <is>
          <t>PDS texto Codex 2026-06-19 2026-06-22</t>
        </is>
      </c>
      <c r="M3031">
        <f>IF($A3031="","",TEXT($A3031,"mmmm/yyyy"))</f>
        <v/>
      </c>
      <c r="R3031">
        <f>IF(ISNUMBER(SEARCH("HDD",$F3031)),"HDD",IF(ISNUMBER(SEARCH("VCA",$F3031)),"VCA","MND"))</f>
        <v/>
      </c>
      <c r="T3031">
        <f>TEXT($A3031,"yyyy-mm")&amp;"|"&amp;$C3031&amp;"|"&amp;$I3031</f>
        <v/>
      </c>
    </row>
    <row r="3032">
      <c r="A3032" s="36" t="n">
        <v>46195</v>
      </c>
      <c r="B3032" t="inlineStr">
        <is>
          <t>Segunda</t>
        </is>
      </c>
      <c r="C3032" t="inlineStr">
        <is>
          <t>RCE São Lucas</t>
        </is>
      </c>
      <c r="D3032" t="inlineStr">
        <is>
          <t>Fábio</t>
        </is>
      </c>
      <c r="E3032" t="inlineStr">
        <is>
          <t>Miro (PI 61 ao PI 62)</t>
        </is>
      </c>
      <c r="F3032" t="inlineStr">
        <is>
          <t>VCA, PVs e Ligações</t>
        </is>
      </c>
      <c r="G3032" t="inlineStr">
        <is>
          <t>61</t>
        </is>
      </c>
      <c r="H3032" t="inlineStr">
        <is>
          <t>62</t>
        </is>
      </c>
      <c r="I3032" t="inlineStr">
        <is>
          <t>61 ao 62</t>
        </is>
      </c>
      <c r="J3032" t="inlineStr">
        <is>
          <t>VCA</t>
        </is>
      </c>
      <c r="K3032" t="inlineStr">
        <is>
          <t>Planejamento</t>
        </is>
      </c>
      <c r="L3032" t="inlineStr">
        <is>
          <t>PDS texto Codex 2026-06-19 2026-06-22</t>
        </is>
      </c>
      <c r="M3032">
        <f>IF($A3032="","",TEXT($A3032,"mmmm/yyyy"))</f>
        <v/>
      </c>
      <c r="R3032">
        <f>IF(ISNUMBER(SEARCH("HDD",$F3032)),"HDD",IF(ISNUMBER(SEARCH("VCA",$F3032)),"VCA","MND"))</f>
        <v/>
      </c>
      <c r="T3032">
        <f>TEXT($A3032,"yyyy-mm")&amp;"|"&amp;$C3032&amp;"|"&amp;$I3032</f>
        <v/>
      </c>
    </row>
    <row r="3033">
      <c r="A3033" s="36" t="n">
        <v>46195</v>
      </c>
      <c r="B3033" t="inlineStr">
        <is>
          <t>Segunda</t>
        </is>
      </c>
      <c r="C3033" t="inlineStr">
        <is>
          <t>RCE São Lucas</t>
        </is>
      </c>
      <c r="D3033" t="inlineStr">
        <is>
          <t>Fábio</t>
        </is>
      </c>
      <c r="E3033" t="inlineStr">
        <is>
          <t>Emanuel (PI 48 ao PI 49)</t>
        </is>
      </c>
      <c r="F3033" t="inlineStr">
        <is>
          <t>VCA, PVs e Ligações</t>
        </is>
      </c>
      <c r="G3033" t="inlineStr">
        <is>
          <t>48</t>
        </is>
      </c>
      <c r="H3033" t="inlineStr">
        <is>
          <t>49</t>
        </is>
      </c>
      <c r="I3033" t="inlineStr">
        <is>
          <t>48 ao 49</t>
        </is>
      </c>
      <c r="J3033" t="inlineStr">
        <is>
          <t>VCA</t>
        </is>
      </c>
      <c r="K3033" t="inlineStr">
        <is>
          <t>Planejamento</t>
        </is>
      </c>
      <c r="L3033" t="inlineStr">
        <is>
          <t>PDS texto Codex 2026-06-19 2026-06-22</t>
        </is>
      </c>
      <c r="M3033">
        <f>IF($A3033="","",TEXT($A3033,"mmmm/yyyy"))</f>
        <v/>
      </c>
      <c r="R3033">
        <f>IF(ISNUMBER(SEARCH("HDD",$F3033)),"HDD",IF(ISNUMBER(SEARCH("VCA",$F3033)),"VCA","MND"))</f>
        <v/>
      </c>
      <c r="T3033">
        <f>TEXT($A3033,"yyyy-mm")&amp;"|"&amp;$C3033&amp;"|"&amp;$I3033</f>
        <v/>
      </c>
    </row>
    <row r="3034">
      <c r="A3034" s="36" t="n">
        <v>46195</v>
      </c>
      <c r="B3034" t="inlineStr">
        <is>
          <t>Segunda</t>
        </is>
      </c>
      <c r="C3034" t="inlineStr">
        <is>
          <t>RCE São Lucas</t>
        </is>
      </c>
      <c r="D3034" t="inlineStr">
        <is>
          <t>Fábio</t>
        </is>
      </c>
      <c r="E3034" t="inlineStr">
        <is>
          <t>Antonio (PI 18 ao PI 17)</t>
        </is>
      </c>
      <c r="F3034" t="inlineStr">
        <is>
          <t>VCA, PVs e Ligações</t>
        </is>
      </c>
      <c r="G3034" t="inlineStr">
        <is>
          <t>18</t>
        </is>
      </c>
      <c r="H3034" t="inlineStr">
        <is>
          <t>17</t>
        </is>
      </c>
      <c r="I3034" t="inlineStr">
        <is>
          <t>18 ao 17</t>
        </is>
      </c>
      <c r="J3034" t="inlineStr">
        <is>
          <t>VCA</t>
        </is>
      </c>
      <c r="K3034" t="inlineStr">
        <is>
          <t>Planejamento</t>
        </is>
      </c>
      <c r="L3034" t="inlineStr">
        <is>
          <t>PDS texto Codex 2026-06-19 2026-06-22</t>
        </is>
      </c>
      <c r="M3034">
        <f>IF($A3034="","",TEXT($A3034,"mmmm/yyyy"))</f>
        <v/>
      </c>
      <c r="R3034">
        <f>IF(ISNUMBER(SEARCH("HDD",$F3034)),"HDD",IF(ISNUMBER(SEARCH("VCA",$F3034)),"VCA","MND"))</f>
        <v/>
      </c>
      <c r="T3034">
        <f>TEXT($A3034,"yyyy-mm")&amp;"|"&amp;$C3034&amp;"|"&amp;$I3034</f>
        <v/>
      </c>
    </row>
    <row r="3035">
      <c r="A3035" s="36" t="n">
        <v>46195</v>
      </c>
      <c r="B3035" t="inlineStr">
        <is>
          <t>Segunda</t>
        </is>
      </c>
      <c r="C3035" t="inlineStr">
        <is>
          <t>Serviços Reposição</t>
        </is>
      </c>
      <c r="D3035" t="inlineStr">
        <is>
          <t>Leandro</t>
        </is>
      </c>
      <c r="E3035" t="inlineStr">
        <is>
          <t>Leandro</t>
        </is>
      </c>
      <c r="F3035" t="inlineStr">
        <is>
          <t>Reparos Gerais</t>
        </is>
      </c>
      <c r="J3035" t="inlineStr">
        <is>
          <t>Reposição</t>
        </is>
      </c>
      <c r="K3035" t="inlineStr">
        <is>
          <t>Planejamento</t>
        </is>
      </c>
      <c r="L3035" t="inlineStr">
        <is>
          <t>PDS texto Codex 2026-06-19 2026-06-22</t>
        </is>
      </c>
      <c r="M3035">
        <f>IF($A3035="","",TEXT($A3035,"mmmm/yyyy"))</f>
        <v/>
      </c>
      <c r="R3035">
        <f>IF(ISNUMBER(SEARCH("HDD",$F3035)),"HDD",IF(ISNUMBER(SEARCH("VCA",$F3035)),"VCA","MND"))</f>
        <v/>
      </c>
      <c r="T3035">
        <f>TEXT($A3035,"yyyy-mm")&amp;"|"&amp;$C3035&amp;"|"&amp;$I3035</f>
        <v/>
      </c>
    </row>
    <row r="3036">
      <c r="A3036" s="36" t="n">
        <v>46195</v>
      </c>
      <c r="B3036" t="inlineStr">
        <is>
          <t>Segunda</t>
        </is>
      </c>
      <c r="C3036" t="inlineStr">
        <is>
          <t>Água Vermelha</t>
        </is>
      </c>
      <c r="E3036" t="inlineStr">
        <is>
          <t>Vacal</t>
        </is>
      </c>
      <c r="F3036" t="inlineStr">
        <is>
          <t>Água Vermelha - Henko</t>
        </is>
      </c>
      <c r="J3036" t="inlineStr">
        <is>
          <t>Atividade</t>
        </is>
      </c>
      <c r="K3036" t="inlineStr">
        <is>
          <t>Apoio</t>
        </is>
      </c>
      <c r="L3036" t="inlineStr">
        <is>
          <t>PDS texto Codex 2026-06-19 2026-06-22</t>
        </is>
      </c>
      <c r="M3036">
        <f>IF($A3036="","",TEXT($A3036,"mmmm/yyyy"))</f>
        <v/>
      </c>
      <c r="R3036">
        <f>IF(ISNUMBER(SEARCH("HDD",$F3036)),"HDD",IF(ISNUMBER(SEARCH("VCA",$F3036)),"VCA","MND"))</f>
        <v/>
      </c>
      <c r="T3036">
        <f>TEXT($A3036,"yyyy-mm")&amp;"|"&amp;$C3036&amp;"|"&amp;$I3036</f>
        <v/>
      </c>
    </row>
    <row r="3037">
      <c r="A3037" s="36" t="n">
        <v>46195</v>
      </c>
      <c r="B3037" t="inlineStr">
        <is>
          <t>Segunda</t>
        </is>
      </c>
      <c r="C3037" t="inlineStr">
        <is>
          <t>ITI 15</t>
        </is>
      </c>
      <c r="E3037" t="inlineStr">
        <is>
          <t>Vacal</t>
        </is>
      </c>
      <c r="F3037" t="inlineStr">
        <is>
          <t>ITI 15 - Henko</t>
        </is>
      </c>
      <c r="J3037" t="inlineStr">
        <is>
          <t>Atividade</t>
        </is>
      </c>
      <c r="K3037" t="inlineStr">
        <is>
          <t>Apoio</t>
        </is>
      </c>
      <c r="L3037" t="inlineStr">
        <is>
          <t>PDS texto Codex 2026-06-19 2026-06-22</t>
        </is>
      </c>
      <c r="M3037">
        <f>IF($A3037="","",TEXT($A3037,"mmmm/yyyy"))</f>
        <v/>
      </c>
      <c r="R3037">
        <f>IF(ISNUMBER(SEARCH("HDD",$F3037)),"HDD",IF(ISNUMBER(SEARCH("VCA",$F3037)),"VCA","MND"))</f>
        <v/>
      </c>
      <c r="T3037">
        <f>TEXT($A3037,"yyyy-mm")&amp;"|"&amp;$C3037&amp;"|"&amp;$I3037</f>
        <v/>
      </c>
    </row>
    <row r="3038">
      <c r="A3038" s="36" t="n">
        <v>46195</v>
      </c>
      <c r="B3038" t="inlineStr">
        <is>
          <t>Segunda</t>
        </is>
      </c>
      <c r="C3038" t="inlineStr">
        <is>
          <t>Guindauto</t>
        </is>
      </c>
      <c r="E3038" t="inlineStr">
        <is>
          <t>Marcio</t>
        </is>
      </c>
      <c r="F3038" t="inlineStr">
        <is>
          <t>Marcio - Apoio as equipes</t>
        </is>
      </c>
      <c r="J3038" t="inlineStr">
        <is>
          <t>Atividade</t>
        </is>
      </c>
      <c r="K3038" t="inlineStr">
        <is>
          <t>Apoio</t>
        </is>
      </c>
      <c r="L3038" t="inlineStr">
        <is>
          <t>PDS texto Codex 2026-06-19 2026-06-22</t>
        </is>
      </c>
      <c r="M3038">
        <f>IF($A3038="","",TEXT($A3038,"mmmm/yyyy"))</f>
        <v/>
      </c>
      <c r="R3038">
        <f>IF(ISNUMBER(SEARCH("HDD",$F3038)),"HDD",IF(ISNUMBER(SEARCH("VCA",$F3038)),"VCA","MND"))</f>
        <v/>
      </c>
      <c r="T3038">
        <f>TEXT($A3038,"yyyy-mm")&amp;"|"&amp;$C3038&amp;"|"&amp;$I3038</f>
        <v/>
      </c>
    </row>
    <row r="3039">
      <c r="A3039" s="36" t="n">
        <v>46195</v>
      </c>
      <c r="B3039" t="inlineStr">
        <is>
          <t>Segunda</t>
        </is>
      </c>
      <c r="C3039" t="inlineStr">
        <is>
          <t>Guindauto</t>
        </is>
      </c>
      <c r="E3039" t="inlineStr">
        <is>
          <t>Luiz</t>
        </is>
      </c>
      <c r="F3039" t="inlineStr">
        <is>
          <t>Luiz - Apoio as equipes</t>
        </is>
      </c>
      <c r="J3039" t="inlineStr">
        <is>
          <t>Atividade</t>
        </is>
      </c>
      <c r="K3039" t="inlineStr">
        <is>
          <t>Apoio</t>
        </is>
      </c>
      <c r="L3039" t="inlineStr">
        <is>
          <t>PDS texto Codex 2026-06-19 2026-06-22</t>
        </is>
      </c>
      <c r="M3039">
        <f>IF($A3039="","",TEXT($A3039,"mmmm/yyyy"))</f>
        <v/>
      </c>
      <c r="R3039">
        <f>IF(ISNUMBER(SEARCH("HDD",$F3039)),"HDD",IF(ISNUMBER(SEARCH("VCA",$F3039)),"VCA","MND"))</f>
        <v/>
      </c>
      <c r="T3039">
        <f>TEXT($A3039,"yyyy-mm")&amp;"|"&amp;$C3039&amp;"|"&amp;$I3039</f>
        <v/>
      </c>
    </row>
    <row r="3040">
      <c r="A3040" s="36" t="n">
        <v>46196</v>
      </c>
      <c r="B3040" t="inlineStr">
        <is>
          <t>Terça</t>
        </is>
      </c>
      <c r="C3040" t="inlineStr">
        <is>
          <t>CT Água Vermelha ME</t>
        </is>
      </c>
      <c r="D3040" t="inlineStr">
        <is>
          <t>Valmir</t>
        </is>
      </c>
      <c r="E3040" t="inlineStr">
        <is>
          <t>Cesar</t>
        </is>
      </c>
      <c r="F3040" t="inlineStr">
        <is>
          <t>Adequação PVE 07</t>
        </is>
      </c>
      <c r="G3040" t="inlineStr">
        <is>
          <t>07</t>
        </is>
      </c>
      <c r="I3040" t="inlineStr">
        <is>
          <t>07</t>
        </is>
      </c>
      <c r="J3040" t="inlineStr">
        <is>
          <t>Adequação</t>
        </is>
      </c>
      <c r="K3040" t="inlineStr">
        <is>
          <t>Planejamento</t>
        </is>
      </c>
      <c r="L3040" t="inlineStr">
        <is>
          <t>PDS_manual_2026-06-23</t>
        </is>
      </c>
      <c r="M3040">
        <f>IF($A3040="","",TEXT($A3040,"mmmm/yyyy"))</f>
        <v/>
      </c>
      <c r="P3040">
        <f>IFERROR(XLOOKUP($N3040,Base_Enderecos!$A:$A,Base_Enderecos!$B:$B,""),"")</f>
        <v/>
      </c>
      <c r="Q3040">
        <f>IFERROR(XLOOKUP($N3040,Base_Enderecos!$A:$A,Base_Enderecos!$C:$C,""),"")</f>
        <v/>
      </c>
      <c r="R3040">
        <f>IF(ISNUMBER(SEARCH("HDD",$F3040)),"HDD",IF(ISNUMBER(SEARCH("VCA",$F3040)),"VCA","MND"))</f>
        <v/>
      </c>
      <c r="T3040">
        <f>TEXT($A3040,"yyyy-mm")&amp;"|"&amp;$C3040&amp;"|"&amp;$I3040</f>
        <v/>
      </c>
    </row>
    <row r="3041">
      <c r="A3041" s="36" t="n">
        <v>46196</v>
      </c>
      <c r="B3041" t="inlineStr">
        <is>
          <t>Terça</t>
        </is>
      </c>
      <c r="C3041" t="inlineStr">
        <is>
          <t>RCE Conj. União</t>
        </is>
      </c>
      <c r="D3041" t="inlineStr">
        <is>
          <t>Silvestre</t>
        </is>
      </c>
      <c r="E3041" t="inlineStr">
        <is>
          <t>Jhonatan</t>
        </is>
      </c>
      <c r="F3041" t="inlineStr">
        <is>
          <t>VCA PV 48 ao PV 47</t>
        </is>
      </c>
      <c r="G3041" t="inlineStr">
        <is>
          <t>48</t>
        </is>
      </c>
      <c r="H3041" t="inlineStr">
        <is>
          <t>47</t>
        </is>
      </c>
      <c r="I3041" t="inlineStr">
        <is>
          <t>48 ao 47</t>
        </is>
      </c>
      <c r="J3041" t="inlineStr">
        <is>
          <t>VCA</t>
        </is>
      </c>
      <c r="K3041" t="inlineStr">
        <is>
          <t>Planejamento</t>
        </is>
      </c>
      <c r="L3041" t="inlineStr">
        <is>
          <t>PDS_manual_2026-06-23</t>
        </is>
      </c>
      <c r="M3041">
        <f>IF($A3041="","",TEXT($A3041,"mmmm/yyyy"))</f>
        <v/>
      </c>
      <c r="P3041">
        <f>IFERROR(XLOOKUP($N3041,Base_Enderecos!$A:$A,Base_Enderecos!$B:$B,""),"")</f>
        <v/>
      </c>
      <c r="Q3041">
        <f>IFERROR(XLOOKUP($N3041,Base_Enderecos!$A:$A,Base_Enderecos!$C:$C,""),"")</f>
        <v/>
      </c>
      <c r="R3041">
        <f>IF(ISNUMBER(SEARCH("HDD",$F3041)),"HDD",IF(ISNUMBER(SEARCH("VCA",$F3041)),"VCA","MND"))</f>
        <v/>
      </c>
      <c r="T3041">
        <f>TEXT($A3041,"yyyy-mm")&amp;"|"&amp;$C3041&amp;"|"&amp;$I3041</f>
        <v/>
      </c>
    </row>
    <row r="3042">
      <c r="A3042" s="36" t="n">
        <v>46196</v>
      </c>
      <c r="B3042" t="inlineStr">
        <is>
          <t>Terça</t>
        </is>
      </c>
      <c r="C3042" t="inlineStr">
        <is>
          <t>CT Barão de Arariba</t>
        </is>
      </c>
      <c r="D3042" t="inlineStr">
        <is>
          <t>Silvestre</t>
        </is>
      </c>
      <c r="E3042" t="inlineStr">
        <is>
          <t>Edvando</t>
        </is>
      </c>
      <c r="F3042" t="inlineStr">
        <is>
          <t>Adequação PV 10</t>
        </is>
      </c>
      <c r="G3042" t="inlineStr">
        <is>
          <t>10</t>
        </is>
      </c>
      <c r="I3042" t="inlineStr">
        <is>
          <t>10</t>
        </is>
      </c>
      <c r="J3042" t="inlineStr">
        <is>
          <t>Adequação</t>
        </is>
      </c>
      <c r="K3042" t="inlineStr">
        <is>
          <t>Planejamento</t>
        </is>
      </c>
      <c r="L3042" t="inlineStr">
        <is>
          <t>PDS_manual_2026-06-23</t>
        </is>
      </c>
      <c r="M3042">
        <f>IF($A3042="","",TEXT($A3042,"mmmm/yyyy"))</f>
        <v/>
      </c>
      <c r="P3042">
        <f>IFERROR(XLOOKUP($N3042,Base_Enderecos!$A:$A,Base_Enderecos!$B:$B,""),"")</f>
        <v/>
      </c>
      <c r="Q3042">
        <f>IFERROR(XLOOKUP($N3042,Base_Enderecos!$A:$A,Base_Enderecos!$C:$C,""),"")</f>
        <v/>
      </c>
      <c r="R3042">
        <f>IF(ISNUMBER(SEARCH("HDD",$F3042)),"HDD",IF(ISNUMBER(SEARCH("VCA",$F3042)),"VCA","MND"))</f>
        <v/>
      </c>
      <c r="T3042">
        <f>TEXT($A3042,"yyyy-mm")&amp;"|"&amp;$C3042&amp;"|"&amp;$I3042</f>
        <v/>
      </c>
    </row>
    <row r="3043">
      <c r="A3043" s="36" t="n">
        <v>46196</v>
      </c>
      <c r="B3043" t="inlineStr">
        <is>
          <t>Terça</t>
        </is>
      </c>
      <c r="C3043" t="inlineStr">
        <is>
          <t>RCE Maria Dos Santos Machado</t>
        </is>
      </c>
      <c r="D3043" t="inlineStr">
        <is>
          <t>Caroline</t>
        </is>
      </c>
      <c r="E3043" t="inlineStr">
        <is>
          <t>Marcio</t>
        </is>
      </c>
      <c r="F3043" t="inlineStr">
        <is>
          <t>VCA PV 01 ao PV 02</t>
        </is>
      </c>
      <c r="G3043" t="inlineStr">
        <is>
          <t>01</t>
        </is>
      </c>
      <c r="H3043" t="inlineStr">
        <is>
          <t>02</t>
        </is>
      </c>
      <c r="I3043" t="inlineStr">
        <is>
          <t>01 ao 02</t>
        </is>
      </c>
      <c r="J3043" t="inlineStr">
        <is>
          <t>VCA</t>
        </is>
      </c>
      <c r="K3043" t="inlineStr">
        <is>
          <t>Planejamento</t>
        </is>
      </c>
      <c r="L3043" t="inlineStr">
        <is>
          <t>PDS_manual_2026-06-23</t>
        </is>
      </c>
      <c r="M3043">
        <f>IF($A3043="","",TEXT($A3043,"mmmm/yyyy"))</f>
        <v/>
      </c>
      <c r="P3043">
        <f>IFERROR(XLOOKUP($N3043,Base_Enderecos!$A:$A,Base_Enderecos!$B:$B,""),"")</f>
        <v/>
      </c>
      <c r="Q3043">
        <f>IFERROR(XLOOKUP($N3043,Base_Enderecos!$A:$A,Base_Enderecos!$C:$C,""),"")</f>
        <v/>
      </c>
      <c r="R3043">
        <f>IF(ISNUMBER(SEARCH("HDD",$F3043)),"HDD",IF(ISNUMBER(SEARCH("VCA",$F3043)),"VCA","MND"))</f>
        <v/>
      </c>
      <c r="T3043">
        <f>TEXT($A3043,"yyyy-mm")&amp;"|"&amp;$C3043&amp;"|"&amp;$I3043</f>
        <v/>
      </c>
    </row>
    <row r="3044">
      <c r="A3044" s="36" t="n">
        <v>46196</v>
      </c>
      <c r="B3044" t="inlineStr">
        <is>
          <t>Terça</t>
        </is>
      </c>
      <c r="C3044" t="inlineStr">
        <is>
          <t>RCE Elvira</t>
        </is>
      </c>
      <c r="D3044" t="inlineStr">
        <is>
          <t>Caroline</t>
        </is>
      </c>
      <c r="E3044" t="inlineStr">
        <is>
          <t>Valter</t>
        </is>
      </c>
      <c r="F3044" t="inlineStr">
        <is>
          <t>VCA, PVs e Ligações</t>
        </is>
      </c>
      <c r="J3044" t="inlineStr">
        <is>
          <t>VCA</t>
        </is>
      </c>
      <c r="K3044" t="inlineStr">
        <is>
          <t>Planejamento</t>
        </is>
      </c>
      <c r="L3044" t="inlineStr">
        <is>
          <t>PDS_manual_2026-06-23</t>
        </is>
      </c>
      <c r="M3044">
        <f>IF($A3044="","",TEXT($A3044,"mmmm/yyyy"))</f>
        <v/>
      </c>
      <c r="P3044">
        <f>IFERROR(XLOOKUP($N3044,Base_Enderecos!$A:$A,Base_Enderecos!$B:$B,""),"")</f>
        <v/>
      </c>
      <c r="Q3044">
        <f>IFERROR(XLOOKUP($N3044,Base_Enderecos!$A:$A,Base_Enderecos!$C:$C,""),"")</f>
        <v/>
      </c>
      <c r="R3044">
        <f>IF(ISNUMBER(SEARCH("HDD",$F3044)),"HDD",IF(ISNUMBER(SEARCH("VCA",$F3044)),"VCA","MND"))</f>
        <v/>
      </c>
      <c r="T3044">
        <f>TEXT($A3044,"yyyy-mm")&amp;"|"&amp;$C3044&amp;"|"&amp;$I3044</f>
        <v/>
      </c>
    </row>
    <row r="3045">
      <c r="A3045" s="36" t="n">
        <v>46196</v>
      </c>
      <c r="B3045" t="inlineStr">
        <is>
          <t>Terça</t>
        </is>
      </c>
      <c r="C3045" t="inlineStr">
        <is>
          <t>CT Bandeirantes</t>
        </is>
      </c>
      <c r="D3045" t="inlineStr">
        <is>
          <t>Caroline</t>
        </is>
      </c>
      <c r="E3045" t="inlineStr">
        <is>
          <t>Marcelo</t>
        </is>
      </c>
      <c r="F3045" t="inlineStr">
        <is>
          <t>Shaft PV 33 + Interligação</t>
        </is>
      </c>
      <c r="G3045" t="inlineStr">
        <is>
          <t>33</t>
        </is>
      </c>
      <c r="I3045" t="inlineStr">
        <is>
          <t>33</t>
        </is>
      </c>
      <c r="J3045" t="inlineStr">
        <is>
          <t>Shaft</t>
        </is>
      </c>
      <c r="K3045" t="inlineStr">
        <is>
          <t>Planejamento</t>
        </is>
      </c>
      <c r="L3045" t="inlineStr">
        <is>
          <t>PDS_manual_2026-06-23</t>
        </is>
      </c>
      <c r="M3045">
        <f>IF($A3045="","",TEXT($A3045,"mmmm/yyyy"))</f>
        <v/>
      </c>
      <c r="P3045">
        <f>IFERROR(XLOOKUP($N3045,Base_Enderecos!$A:$A,Base_Enderecos!$B:$B,""),"")</f>
        <v/>
      </c>
      <c r="Q3045">
        <f>IFERROR(XLOOKUP($N3045,Base_Enderecos!$A:$A,Base_Enderecos!$C:$C,""),"")</f>
        <v/>
      </c>
      <c r="R3045">
        <f>IF(ISNUMBER(SEARCH("HDD",$F3045)),"HDD",IF(ISNUMBER(SEARCH("VCA",$F3045)),"VCA","MND"))</f>
        <v/>
      </c>
      <c r="T3045">
        <f>TEXT($A3045,"yyyy-mm")&amp;"|"&amp;$C3045&amp;"|"&amp;$I3045</f>
        <v/>
      </c>
    </row>
    <row r="3046">
      <c r="A3046" s="36" t="n">
        <v>46196</v>
      </c>
      <c r="B3046" t="inlineStr">
        <is>
          <t>Terça</t>
        </is>
      </c>
      <c r="C3046" t="inlineStr">
        <is>
          <t>RCE Raulzito</t>
        </is>
      </c>
      <c r="D3046" t="inlineStr">
        <is>
          <t>Robson</t>
        </is>
      </c>
      <c r="E3046" t="inlineStr">
        <is>
          <t>Bruno</t>
        </is>
      </c>
      <c r="F3046" t="inlineStr">
        <is>
          <t>VCA, PVs e Ligações</t>
        </is>
      </c>
      <c r="J3046" t="inlineStr">
        <is>
          <t>VCA</t>
        </is>
      </c>
      <c r="K3046" t="inlineStr">
        <is>
          <t>Planejamento</t>
        </is>
      </c>
      <c r="L3046" t="inlineStr">
        <is>
          <t>PDS_manual_2026-06-23</t>
        </is>
      </c>
      <c r="M3046">
        <f>IF($A3046="","",TEXT($A3046,"mmmm/yyyy"))</f>
        <v/>
      </c>
      <c r="P3046">
        <f>IFERROR(XLOOKUP($N3046,Base_Enderecos!$A:$A,Base_Enderecos!$B:$B,""),"")</f>
        <v/>
      </c>
      <c r="Q3046">
        <f>IFERROR(XLOOKUP($N3046,Base_Enderecos!$A:$A,Base_Enderecos!$C:$C,""),"")</f>
        <v/>
      </c>
      <c r="R3046">
        <f>IF(ISNUMBER(SEARCH("HDD",$F3046)),"HDD",IF(ISNUMBER(SEARCH("VCA",$F3046)),"VCA","MND"))</f>
        <v/>
      </c>
      <c r="T3046">
        <f>TEXT($A3046,"yyyy-mm")&amp;"|"&amp;$C3046&amp;"|"&amp;$I3046</f>
        <v/>
      </c>
    </row>
    <row r="3047">
      <c r="A3047" s="36" t="n">
        <v>46196</v>
      </c>
      <c r="B3047" t="inlineStr">
        <is>
          <t>Terça</t>
        </is>
      </c>
      <c r="C3047" t="inlineStr">
        <is>
          <t>RCE Raulzito</t>
        </is>
      </c>
      <c r="D3047" t="inlineStr">
        <is>
          <t>Robson</t>
        </is>
      </c>
      <c r="E3047" t="inlineStr">
        <is>
          <t>Medeiros</t>
        </is>
      </c>
      <c r="F3047" t="inlineStr">
        <is>
          <t>VCA, PVs e Ligações</t>
        </is>
      </c>
      <c r="J3047" t="inlineStr">
        <is>
          <t>VCA</t>
        </is>
      </c>
      <c r="K3047" t="inlineStr">
        <is>
          <t>Planejamento</t>
        </is>
      </c>
      <c r="L3047" t="inlineStr">
        <is>
          <t>PDS_manual_2026-06-23</t>
        </is>
      </c>
      <c r="M3047">
        <f>IF($A3047="","",TEXT($A3047,"mmmm/yyyy"))</f>
        <v/>
      </c>
      <c r="P3047">
        <f>IFERROR(XLOOKUP($N3047,Base_Enderecos!$A:$A,Base_Enderecos!$B:$B,""),"")</f>
        <v/>
      </c>
      <c r="Q3047">
        <f>IFERROR(XLOOKUP($N3047,Base_Enderecos!$A:$A,Base_Enderecos!$C:$C,""),"")</f>
        <v/>
      </c>
      <c r="R3047">
        <f>IF(ISNUMBER(SEARCH("HDD",$F3047)),"HDD",IF(ISNUMBER(SEARCH("VCA",$F3047)),"VCA","MND"))</f>
        <v/>
      </c>
      <c r="T3047">
        <f>TEXT($A3047,"yyyy-mm")&amp;"|"&amp;$C3047&amp;"|"&amp;$I3047</f>
        <v/>
      </c>
    </row>
    <row r="3048">
      <c r="A3048" s="36" t="n">
        <v>46196</v>
      </c>
      <c r="B3048" t="inlineStr">
        <is>
          <t>Terça</t>
        </is>
      </c>
      <c r="C3048" t="inlineStr">
        <is>
          <t>RCE Raulzito</t>
        </is>
      </c>
      <c r="D3048" t="inlineStr">
        <is>
          <t>Robson</t>
        </is>
      </c>
      <c r="E3048" t="inlineStr">
        <is>
          <t>Cidão</t>
        </is>
      </c>
      <c r="F3048" t="inlineStr">
        <is>
          <t>VCA, PVs e Ligações</t>
        </is>
      </c>
      <c r="J3048" t="inlineStr">
        <is>
          <t>VCA</t>
        </is>
      </c>
      <c r="K3048" t="inlineStr">
        <is>
          <t>Planejamento</t>
        </is>
      </c>
      <c r="L3048" t="inlineStr">
        <is>
          <t>PDS_manual_2026-06-23</t>
        </is>
      </c>
      <c r="M3048">
        <f>IF($A3048="","",TEXT($A3048,"mmmm/yyyy"))</f>
        <v/>
      </c>
      <c r="P3048">
        <f>IFERROR(XLOOKUP($N3048,Base_Enderecos!$A:$A,Base_Enderecos!$B:$B,""),"")</f>
        <v/>
      </c>
      <c r="Q3048">
        <f>IFERROR(XLOOKUP($N3048,Base_Enderecos!$A:$A,Base_Enderecos!$C:$C,""),"")</f>
        <v/>
      </c>
      <c r="R3048">
        <f>IF(ISNUMBER(SEARCH("HDD",$F3048)),"HDD",IF(ISNUMBER(SEARCH("VCA",$F3048)),"VCA","MND"))</f>
        <v/>
      </c>
      <c r="T3048">
        <f>TEXT($A3048,"yyyy-mm")&amp;"|"&amp;$C3048&amp;"|"&amp;$I3048</f>
        <v/>
      </c>
    </row>
    <row r="3049">
      <c r="A3049" s="36" t="n">
        <v>46196</v>
      </c>
      <c r="B3049" t="inlineStr">
        <is>
          <t>Terça</t>
        </is>
      </c>
      <c r="C3049" t="inlineStr">
        <is>
          <t>RCE São Lucas</t>
        </is>
      </c>
      <c r="D3049" t="inlineStr">
        <is>
          <t>Fábio</t>
        </is>
      </c>
      <c r="E3049" t="inlineStr">
        <is>
          <t>Ricardo (PI 13 ao PI 14)</t>
        </is>
      </c>
      <c r="F3049" t="inlineStr">
        <is>
          <t>VCA, PVs e Ligações</t>
        </is>
      </c>
      <c r="G3049" t="inlineStr">
        <is>
          <t>13</t>
        </is>
      </c>
      <c r="H3049" t="inlineStr">
        <is>
          <t>14</t>
        </is>
      </c>
      <c r="I3049" t="inlineStr">
        <is>
          <t>13 ao 14</t>
        </is>
      </c>
      <c r="J3049" t="inlineStr">
        <is>
          <t>VCA</t>
        </is>
      </c>
      <c r="K3049" t="inlineStr">
        <is>
          <t>Planejamento</t>
        </is>
      </c>
      <c r="L3049" t="inlineStr">
        <is>
          <t>PDS_manual_2026-06-23</t>
        </is>
      </c>
      <c r="M3049">
        <f>IF($A3049="","",TEXT($A3049,"mmmm/yyyy"))</f>
        <v/>
      </c>
      <c r="P3049">
        <f>IFERROR(XLOOKUP($N3049,Base_Enderecos!$A:$A,Base_Enderecos!$B:$B,""),"")</f>
        <v/>
      </c>
      <c r="Q3049">
        <f>IFERROR(XLOOKUP($N3049,Base_Enderecos!$A:$A,Base_Enderecos!$C:$C,""),"")</f>
        <v/>
      </c>
      <c r="R3049">
        <f>IF(ISNUMBER(SEARCH("HDD",$F3049)),"HDD",IF(ISNUMBER(SEARCH("VCA",$F3049)),"VCA","MND"))</f>
        <v/>
      </c>
      <c r="T3049">
        <f>TEXT($A3049,"yyyy-mm")&amp;"|"&amp;$C3049&amp;"|"&amp;$I3049</f>
        <v/>
      </c>
    </row>
    <row r="3050">
      <c r="A3050" s="36" t="n">
        <v>46196</v>
      </c>
      <c r="B3050" t="inlineStr">
        <is>
          <t>Terça</t>
        </is>
      </c>
      <c r="C3050" t="inlineStr">
        <is>
          <t>RCE São Lucas</t>
        </is>
      </c>
      <c r="D3050" t="inlineStr">
        <is>
          <t>Fábio</t>
        </is>
      </c>
      <c r="E3050" t="inlineStr">
        <is>
          <t>Claudinei (PI 65 ao PI 66)</t>
        </is>
      </c>
      <c r="F3050" t="inlineStr">
        <is>
          <t>VCA, PVs e Ligações</t>
        </is>
      </c>
      <c r="G3050" t="inlineStr">
        <is>
          <t>65</t>
        </is>
      </c>
      <c r="H3050" t="inlineStr">
        <is>
          <t>66</t>
        </is>
      </c>
      <c r="I3050" t="inlineStr">
        <is>
          <t>65 ao 66</t>
        </is>
      </c>
      <c r="J3050" t="inlineStr">
        <is>
          <t>VCA</t>
        </is>
      </c>
      <c r="K3050" t="inlineStr">
        <is>
          <t>Planejamento</t>
        </is>
      </c>
      <c r="L3050" t="inlineStr">
        <is>
          <t>PDS_manual_2026-06-23</t>
        </is>
      </c>
      <c r="M3050">
        <f>IF($A3050="","",TEXT($A3050,"mmmm/yyyy"))</f>
        <v/>
      </c>
      <c r="P3050">
        <f>IFERROR(XLOOKUP($N3050,Base_Enderecos!$A:$A,Base_Enderecos!$B:$B,""),"")</f>
        <v/>
      </c>
      <c r="Q3050">
        <f>IFERROR(XLOOKUP($N3050,Base_Enderecos!$A:$A,Base_Enderecos!$C:$C,""),"")</f>
        <v/>
      </c>
      <c r="R3050">
        <f>IF(ISNUMBER(SEARCH("HDD",$F3050)),"HDD",IF(ISNUMBER(SEARCH("VCA",$F3050)),"VCA","MND"))</f>
        <v/>
      </c>
      <c r="T3050">
        <f>TEXT($A3050,"yyyy-mm")&amp;"|"&amp;$C3050&amp;"|"&amp;$I3050</f>
        <v/>
      </c>
    </row>
    <row r="3051">
      <c r="A3051" s="36" t="n">
        <v>46196</v>
      </c>
      <c r="B3051" t="inlineStr">
        <is>
          <t>Terça</t>
        </is>
      </c>
      <c r="C3051" t="inlineStr">
        <is>
          <t>RCE São Lucas</t>
        </is>
      </c>
      <c r="D3051" t="inlineStr">
        <is>
          <t>Fábio</t>
        </is>
      </c>
      <c r="E3051" t="inlineStr">
        <is>
          <t>Miro (PI 61 ao PI 62)</t>
        </is>
      </c>
      <c r="F3051" t="inlineStr">
        <is>
          <t>VCA, PVs e Ligações</t>
        </is>
      </c>
      <c r="G3051" t="inlineStr">
        <is>
          <t>61</t>
        </is>
      </c>
      <c r="H3051" t="inlineStr">
        <is>
          <t>62</t>
        </is>
      </c>
      <c r="I3051" t="inlineStr">
        <is>
          <t>61 ao 62</t>
        </is>
      </c>
      <c r="J3051" t="inlineStr">
        <is>
          <t>VCA</t>
        </is>
      </c>
      <c r="K3051" t="inlineStr">
        <is>
          <t>Planejamento</t>
        </is>
      </c>
      <c r="L3051" t="inlineStr">
        <is>
          <t>PDS_manual_2026-06-23</t>
        </is>
      </c>
      <c r="M3051">
        <f>IF($A3051="","",TEXT($A3051,"mmmm/yyyy"))</f>
        <v/>
      </c>
      <c r="P3051">
        <f>IFERROR(XLOOKUP($N3051,Base_Enderecos!$A:$A,Base_Enderecos!$B:$B,""),"")</f>
        <v/>
      </c>
      <c r="Q3051">
        <f>IFERROR(XLOOKUP($N3051,Base_Enderecos!$A:$A,Base_Enderecos!$C:$C,""),"")</f>
        <v/>
      </c>
      <c r="R3051">
        <f>IF(ISNUMBER(SEARCH("HDD",$F3051)),"HDD",IF(ISNUMBER(SEARCH("VCA",$F3051)),"VCA","MND"))</f>
        <v/>
      </c>
      <c r="T3051">
        <f>TEXT($A3051,"yyyy-mm")&amp;"|"&amp;$C3051&amp;"|"&amp;$I3051</f>
        <v/>
      </c>
    </row>
    <row r="3052">
      <c r="A3052" s="36" t="n">
        <v>46196</v>
      </c>
      <c r="B3052" t="inlineStr">
        <is>
          <t>Terça</t>
        </is>
      </c>
      <c r="C3052" t="inlineStr">
        <is>
          <t>RCE São Lucas</t>
        </is>
      </c>
      <c r="D3052" t="inlineStr">
        <is>
          <t>Fábio</t>
        </is>
      </c>
      <c r="E3052" t="inlineStr">
        <is>
          <t>Emanuel (PI 48 ao PI 49)</t>
        </is>
      </c>
      <c r="F3052" t="inlineStr">
        <is>
          <t>VCA, PVs e Ligações</t>
        </is>
      </c>
      <c r="G3052" t="inlineStr">
        <is>
          <t>48</t>
        </is>
      </c>
      <c r="H3052" t="inlineStr">
        <is>
          <t>49</t>
        </is>
      </c>
      <c r="I3052" t="inlineStr">
        <is>
          <t>48 ao 49</t>
        </is>
      </c>
      <c r="J3052" t="inlineStr">
        <is>
          <t>VCA</t>
        </is>
      </c>
      <c r="K3052" t="inlineStr">
        <is>
          <t>Planejamento</t>
        </is>
      </c>
      <c r="L3052" t="inlineStr">
        <is>
          <t>PDS_manual_2026-06-23</t>
        </is>
      </c>
      <c r="M3052">
        <f>IF($A3052="","",TEXT($A3052,"mmmm/yyyy"))</f>
        <v/>
      </c>
      <c r="P3052">
        <f>IFERROR(XLOOKUP($N3052,Base_Enderecos!$A:$A,Base_Enderecos!$B:$B,""),"")</f>
        <v/>
      </c>
      <c r="Q3052">
        <f>IFERROR(XLOOKUP($N3052,Base_Enderecos!$A:$A,Base_Enderecos!$C:$C,""),"")</f>
        <v/>
      </c>
      <c r="R3052">
        <f>IF(ISNUMBER(SEARCH("HDD",$F3052)),"HDD",IF(ISNUMBER(SEARCH("VCA",$F3052)),"VCA","MND"))</f>
        <v/>
      </c>
      <c r="T3052">
        <f>TEXT($A3052,"yyyy-mm")&amp;"|"&amp;$C3052&amp;"|"&amp;$I3052</f>
        <v/>
      </c>
    </row>
    <row r="3053">
      <c r="A3053" s="36" t="n">
        <v>46196</v>
      </c>
      <c r="B3053" t="inlineStr">
        <is>
          <t>Terça</t>
        </is>
      </c>
      <c r="C3053" t="inlineStr">
        <is>
          <t>RCE São Lucas</t>
        </is>
      </c>
      <c r="D3053" t="inlineStr">
        <is>
          <t>Fábio</t>
        </is>
      </c>
      <c r="E3053" t="inlineStr">
        <is>
          <t>Antonio (PI 18 ao PI 17)</t>
        </is>
      </c>
      <c r="F3053" t="inlineStr">
        <is>
          <t>VCA, PVs e Ligações</t>
        </is>
      </c>
      <c r="G3053" t="inlineStr">
        <is>
          <t>18</t>
        </is>
      </c>
      <c r="H3053" t="inlineStr">
        <is>
          <t>17</t>
        </is>
      </c>
      <c r="I3053" t="inlineStr">
        <is>
          <t>18 ao 17</t>
        </is>
      </c>
      <c r="J3053" t="inlineStr">
        <is>
          <t>VCA</t>
        </is>
      </c>
      <c r="K3053" t="inlineStr">
        <is>
          <t>Planejamento</t>
        </is>
      </c>
      <c r="L3053" t="inlineStr">
        <is>
          <t>PDS_manual_2026-06-23</t>
        </is>
      </c>
      <c r="M3053">
        <f>IF($A3053="","",TEXT($A3053,"mmmm/yyyy"))</f>
        <v/>
      </c>
      <c r="P3053">
        <f>IFERROR(XLOOKUP($N3053,Base_Enderecos!$A:$A,Base_Enderecos!$B:$B,""),"")</f>
        <v/>
      </c>
      <c r="Q3053">
        <f>IFERROR(XLOOKUP($N3053,Base_Enderecos!$A:$A,Base_Enderecos!$C:$C,""),"")</f>
        <v/>
      </c>
      <c r="R3053">
        <f>IF(ISNUMBER(SEARCH("HDD",$F3053)),"HDD",IF(ISNUMBER(SEARCH("VCA",$F3053)),"VCA","MND"))</f>
        <v/>
      </c>
      <c r="T3053">
        <f>TEXT($A3053,"yyyy-mm")&amp;"|"&amp;$C3053&amp;"|"&amp;$I3053</f>
        <v/>
      </c>
    </row>
    <row r="3054">
      <c r="A3054" s="36" t="n">
        <v>46196</v>
      </c>
      <c r="B3054" t="inlineStr">
        <is>
          <t>Terça</t>
        </is>
      </c>
      <c r="C3054" t="inlineStr">
        <is>
          <t>Serviços Reposição</t>
        </is>
      </c>
      <c r="D3054" t="inlineStr">
        <is>
          <t>Leandro</t>
        </is>
      </c>
      <c r="E3054" t="inlineStr">
        <is>
          <t>Reparos Gerais</t>
        </is>
      </c>
      <c r="F3054" t="inlineStr">
        <is>
          <t>Reparos Gerais</t>
        </is>
      </c>
      <c r="J3054" t="inlineStr">
        <is>
          <t>Atividade</t>
        </is>
      </c>
      <c r="K3054" t="inlineStr">
        <is>
          <t>Planejamento</t>
        </is>
      </c>
      <c r="L3054" t="inlineStr">
        <is>
          <t>PDS_manual_2026-06-23</t>
        </is>
      </c>
      <c r="M3054">
        <f>IF($A3054="","",TEXT($A3054,"mmmm/yyyy"))</f>
        <v/>
      </c>
      <c r="P3054">
        <f>IFERROR(XLOOKUP($N3054,Base_Enderecos!$A:$A,Base_Enderecos!$B:$B,""),"")</f>
        <v/>
      </c>
      <c r="Q3054">
        <f>IFERROR(XLOOKUP($N3054,Base_Enderecos!$A:$A,Base_Enderecos!$C:$C,""),"")</f>
        <v/>
      </c>
      <c r="R3054">
        <f>IF(ISNUMBER(SEARCH("HDD",$F3054)),"HDD",IF(ISNUMBER(SEARCH("VCA",$F3054)),"VCA","MND"))</f>
        <v/>
      </c>
      <c r="T3054">
        <f>TEXT($A3054,"yyyy-mm")&amp;"|"&amp;$C3054&amp;"|"&amp;$I3054</f>
        <v/>
      </c>
    </row>
    <row r="3055">
      <c r="A3055" s="36" t="n">
        <v>46196</v>
      </c>
      <c r="B3055" t="inlineStr">
        <is>
          <t>Terça</t>
        </is>
      </c>
      <c r="C3055" t="inlineStr">
        <is>
          <t>Água Vermelha</t>
        </is>
      </c>
      <c r="D3055" t="inlineStr">
        <is>
          <t>Henko</t>
        </is>
      </c>
      <c r="E3055" t="inlineStr">
        <is>
          <t>Vacal</t>
        </is>
      </c>
      <c r="F3055" t="inlineStr">
        <is>
          <t>Água Vermelha - Henko</t>
        </is>
      </c>
      <c r="J3055" t="inlineStr">
        <is>
          <t>Atividade</t>
        </is>
      </c>
      <c r="K3055" t="inlineStr">
        <is>
          <t>Apoio</t>
        </is>
      </c>
      <c r="L3055" t="inlineStr">
        <is>
          <t>PDS_manual_2026-06-23</t>
        </is>
      </c>
      <c r="M3055">
        <f>IF($A3055="","",TEXT($A3055,"mmmm/yyyy"))</f>
        <v/>
      </c>
      <c r="P3055">
        <f>IFERROR(XLOOKUP($N3055,Base_Enderecos!$A:$A,Base_Enderecos!$B:$B,""),"")</f>
        <v/>
      </c>
      <c r="Q3055">
        <f>IFERROR(XLOOKUP($N3055,Base_Enderecos!$A:$A,Base_Enderecos!$C:$C,""),"")</f>
        <v/>
      </c>
      <c r="R3055">
        <f>IF(ISNUMBER(SEARCH("HDD",$F3055)),"HDD",IF(ISNUMBER(SEARCH("VCA",$F3055)),"VCA","MND"))</f>
        <v/>
      </c>
      <c r="T3055">
        <f>TEXT($A3055,"yyyy-mm")&amp;"|"&amp;$C3055&amp;"|"&amp;$I3055</f>
        <v/>
      </c>
    </row>
    <row r="3056">
      <c r="A3056" s="36" t="n">
        <v>46196</v>
      </c>
      <c r="B3056" t="inlineStr">
        <is>
          <t>Terça</t>
        </is>
      </c>
      <c r="C3056" t="inlineStr">
        <is>
          <t>CT Lourdes</t>
        </is>
      </c>
      <c r="D3056" t="inlineStr">
        <is>
          <t>Henko</t>
        </is>
      </c>
      <c r="E3056" t="inlineStr">
        <is>
          <t>Vacal</t>
        </is>
      </c>
      <c r="F3056" t="inlineStr">
        <is>
          <t>CT Lourdes - Henko</t>
        </is>
      </c>
      <c r="J3056" t="inlineStr">
        <is>
          <t>Atividade</t>
        </is>
      </c>
      <c r="K3056" t="inlineStr">
        <is>
          <t>Apoio</t>
        </is>
      </c>
      <c r="L3056" t="inlineStr">
        <is>
          <t>PDS_manual_2026-06-23</t>
        </is>
      </c>
      <c r="M3056">
        <f>IF($A3056="","",TEXT($A3056,"mmmm/yyyy"))</f>
        <v/>
      </c>
      <c r="P3056">
        <f>IFERROR(XLOOKUP($N3056,Base_Enderecos!$A:$A,Base_Enderecos!$B:$B,""),"")</f>
        <v/>
      </c>
      <c r="Q3056">
        <f>IFERROR(XLOOKUP($N3056,Base_Enderecos!$A:$A,Base_Enderecos!$C:$C,""),"")</f>
        <v/>
      </c>
      <c r="R3056">
        <f>IF(ISNUMBER(SEARCH("HDD",$F3056)),"HDD",IF(ISNUMBER(SEARCH("VCA",$F3056)),"VCA","MND"))</f>
        <v/>
      </c>
      <c r="T3056">
        <f>TEXT($A3056,"yyyy-mm")&amp;"|"&amp;$C3056&amp;"|"&amp;$I3056</f>
        <v/>
      </c>
    </row>
    <row r="3057">
      <c r="A3057" s="36" t="n">
        <v>46196</v>
      </c>
      <c r="B3057" t="inlineStr">
        <is>
          <t>Terça</t>
        </is>
      </c>
      <c r="C3057" t="inlineStr">
        <is>
          <t>CT Lourdes</t>
        </is>
      </c>
      <c r="D3057" t="inlineStr">
        <is>
          <t>Henko</t>
        </is>
      </c>
      <c r="E3057" t="inlineStr">
        <is>
          <t>Vacal</t>
        </is>
      </c>
      <c r="F3057" t="inlineStr">
        <is>
          <t>CT Lourdes - Henko</t>
        </is>
      </c>
      <c r="J3057" t="inlineStr">
        <is>
          <t>Atividade</t>
        </is>
      </c>
      <c r="K3057" t="inlineStr">
        <is>
          <t>Apoio</t>
        </is>
      </c>
      <c r="L3057" t="inlineStr">
        <is>
          <t>PDS_manual_2026-06-23</t>
        </is>
      </c>
      <c r="M3057">
        <f>IF($A3057="","",TEXT($A3057,"mmmm/yyyy"))</f>
        <v/>
      </c>
      <c r="P3057">
        <f>IFERROR(XLOOKUP($N3057,Base_Enderecos!$A:$A,Base_Enderecos!$B:$B,""),"")</f>
        <v/>
      </c>
      <c r="Q3057">
        <f>IFERROR(XLOOKUP($N3057,Base_Enderecos!$A:$A,Base_Enderecos!$C:$C,""),"")</f>
        <v/>
      </c>
      <c r="R3057">
        <f>IF(ISNUMBER(SEARCH("HDD",$F3057)),"HDD",IF(ISNUMBER(SEARCH("VCA",$F3057)),"VCA","MND"))</f>
        <v/>
      </c>
      <c r="T3057">
        <f>TEXT($A3057,"yyyy-mm")&amp;"|"&amp;$C3057&amp;"|"&amp;$I3057</f>
        <v/>
      </c>
    </row>
    <row r="3058">
      <c r="A3058" s="36" t="n">
        <v>46196</v>
      </c>
      <c r="B3058" t="inlineStr">
        <is>
          <t>Terça</t>
        </is>
      </c>
      <c r="C3058" t="inlineStr">
        <is>
          <t>Guindauto</t>
        </is>
      </c>
      <c r="E3058" t="inlineStr">
        <is>
          <t>Marcio</t>
        </is>
      </c>
      <c r="F3058" t="inlineStr">
        <is>
          <t>Apoio as equipes</t>
        </is>
      </c>
      <c r="J3058" t="inlineStr">
        <is>
          <t>Atividade</t>
        </is>
      </c>
      <c r="K3058" t="inlineStr">
        <is>
          <t>Apoio</t>
        </is>
      </c>
      <c r="L3058" t="inlineStr">
        <is>
          <t>PDS_manual_2026-06-23</t>
        </is>
      </c>
      <c r="M3058">
        <f>IF($A3058="","",TEXT($A3058,"mmmm/yyyy"))</f>
        <v/>
      </c>
      <c r="P3058">
        <f>IFERROR(XLOOKUP($N3058,Base_Enderecos!$A:$A,Base_Enderecos!$B:$B,""),"")</f>
        <v/>
      </c>
      <c r="Q3058">
        <f>IFERROR(XLOOKUP($N3058,Base_Enderecos!$A:$A,Base_Enderecos!$C:$C,""),"")</f>
        <v/>
      </c>
      <c r="R3058">
        <f>IF(ISNUMBER(SEARCH("HDD",$F3058)),"HDD",IF(ISNUMBER(SEARCH("VCA",$F3058)),"VCA","MND"))</f>
        <v/>
      </c>
      <c r="T3058">
        <f>TEXT($A3058,"yyyy-mm")&amp;"|"&amp;$C3058&amp;"|"&amp;$I3058</f>
        <v/>
      </c>
    </row>
    <row r="3059">
      <c r="A3059" s="36" t="n">
        <v>46196</v>
      </c>
      <c r="B3059" t="inlineStr">
        <is>
          <t>Terça</t>
        </is>
      </c>
      <c r="C3059" t="inlineStr">
        <is>
          <t>Guindauto</t>
        </is>
      </c>
      <c r="E3059" t="inlineStr">
        <is>
          <t>Luiz</t>
        </is>
      </c>
      <c r="F3059" t="inlineStr">
        <is>
          <t>Apoio as equipes</t>
        </is>
      </c>
      <c r="J3059" t="inlineStr">
        <is>
          <t>Atividade</t>
        </is>
      </c>
      <c r="K3059" t="inlineStr">
        <is>
          <t>Apoio</t>
        </is>
      </c>
      <c r="L3059" t="inlineStr">
        <is>
          <t>PDS_manual_2026-06-23</t>
        </is>
      </c>
      <c r="M3059">
        <f>IF($A3059="","",TEXT($A3059,"mmmm/yyyy"))</f>
        <v/>
      </c>
      <c r="P3059">
        <f>IFERROR(XLOOKUP($N3059,Base_Enderecos!$A:$A,Base_Enderecos!$B:$B,""),"")</f>
        <v/>
      </c>
      <c r="Q3059">
        <f>IFERROR(XLOOKUP($N3059,Base_Enderecos!$A:$A,Base_Enderecos!$C:$C,""),"")</f>
        <v/>
      </c>
      <c r="R3059">
        <f>IF(ISNUMBER(SEARCH("HDD",$F3059)),"HDD",IF(ISNUMBER(SEARCH("VCA",$F3059)),"VCA","MND"))</f>
        <v/>
      </c>
      <c r="T3059">
        <f>TEXT($A3059,"yyyy-mm")&amp;"|"&amp;$C3059&amp;"|"&amp;$I3059</f>
        <v/>
      </c>
    </row>
    <row r="3060">
      <c r="A3060" s="36" t="n">
        <v>46195</v>
      </c>
      <c r="B3060" t="inlineStr">
        <is>
          <t>Segunda</t>
        </is>
      </c>
      <c r="C3060" t="inlineStr">
        <is>
          <t>CT Água Vermelha ME</t>
        </is>
      </c>
      <c r="D3060" t="inlineStr">
        <is>
          <t>Valmir</t>
        </is>
      </c>
      <c r="E3060" t="inlineStr">
        <is>
          <t>Cesar</t>
        </is>
      </c>
      <c r="F3060" t="inlineStr">
        <is>
          <t>Adequação PVE 07</t>
        </is>
      </c>
      <c r="G3060" t="inlineStr">
        <is>
          <t>07</t>
        </is>
      </c>
      <c r="I3060" t="inlineStr">
        <is>
          <t>07</t>
        </is>
      </c>
      <c r="J3060" t="inlineStr">
        <is>
          <t>Atividade</t>
        </is>
      </c>
      <c r="K3060" t="inlineStr">
        <is>
          <t>Planejamento</t>
        </is>
      </c>
      <c r="L3060" t="inlineStr">
        <is>
          <t>PDS-Junho.docx</t>
        </is>
      </c>
      <c r="M3060">
        <f>IF($A3060="","",TEXT($A3060,"mmmm/yyyy"))</f>
        <v/>
      </c>
      <c r="P3060">
        <f>IFERROR(XLOOKUP($N3060,Base_Enderecos!$A:$A,Base_Enderecos!$B:$B,""),"")</f>
        <v/>
      </c>
      <c r="Q3060">
        <f>IFERROR(XLOOKUP($N3060,Base_Enderecos!$A:$A,Base_Enderecos!$C:$C,""),"")</f>
        <v/>
      </c>
      <c r="R3060">
        <f>IF(ISNUMBER(SEARCH("HDD",$F3060)),"HDD",IF(ISNUMBER(SEARCH("VCA",$F3060)),"VCA","MND"))</f>
        <v/>
      </c>
      <c r="T3060">
        <f>TEXT($A3060,"yyyy-mm")&amp;"|"&amp;$C3060&amp;"|"&amp;$I3060</f>
        <v/>
      </c>
    </row>
    <row r="3061">
      <c r="A3061" s="36" t="n">
        <v>46195</v>
      </c>
      <c r="B3061" t="inlineStr">
        <is>
          <t>Segunda</t>
        </is>
      </c>
      <c r="C3061" t="inlineStr">
        <is>
          <t>RCE Maria Dos Santos Machado</t>
        </is>
      </c>
      <c r="D3061" t="inlineStr">
        <is>
          <t>Silvestre</t>
        </is>
      </c>
      <c r="E3061" t="inlineStr">
        <is>
          <t>Marcio</t>
        </is>
      </c>
      <c r="F3061" t="inlineStr">
        <is>
          <t>VCA PVP-0 ao PV-1</t>
        </is>
      </c>
      <c r="G3061" t="inlineStr">
        <is>
          <t>1</t>
        </is>
      </c>
      <c r="I3061" t="inlineStr">
        <is>
          <t>1</t>
        </is>
      </c>
      <c r="J3061" t="inlineStr">
        <is>
          <t>VCA</t>
        </is>
      </c>
      <c r="K3061" t="inlineStr">
        <is>
          <t>Planejamento</t>
        </is>
      </c>
      <c r="L3061" t="inlineStr">
        <is>
          <t>PDS-Junho.docx</t>
        </is>
      </c>
      <c r="M3061">
        <f>IF($A3061="","",TEXT($A3061,"mmmm/yyyy"))</f>
        <v/>
      </c>
      <c r="P3061">
        <f>IFERROR(XLOOKUP($N3061,Base_Enderecos!$A:$A,Base_Enderecos!$B:$B,""),"")</f>
        <v/>
      </c>
      <c r="Q3061">
        <f>IFERROR(XLOOKUP($N3061,Base_Enderecos!$A:$A,Base_Enderecos!$C:$C,""),"")</f>
        <v/>
      </c>
      <c r="R3061">
        <f>IF(ISNUMBER(SEARCH("HDD",$F3061)),"HDD",IF(ISNUMBER(SEARCH("VCA",$F3061)),"VCA","MND"))</f>
        <v/>
      </c>
      <c r="T3061">
        <f>TEXT($A3061,"yyyy-mm")&amp;"|"&amp;$C3061&amp;"|"&amp;$I3061</f>
        <v/>
      </c>
    </row>
    <row r="3062">
      <c r="A3062" s="36" t="n">
        <v>46195</v>
      </c>
      <c r="B3062" t="inlineStr">
        <is>
          <t>Segunda</t>
        </is>
      </c>
      <c r="C3062" t="inlineStr">
        <is>
          <t>RCE Conj. União</t>
        </is>
      </c>
      <c r="D3062" t="inlineStr">
        <is>
          <t>Silvestre</t>
        </is>
      </c>
      <c r="E3062" t="inlineStr">
        <is>
          <t>Jhonatan</t>
        </is>
      </c>
      <c r="F3062" t="inlineStr">
        <is>
          <t>VCA PV 48 ao PV 47</t>
        </is>
      </c>
      <c r="G3062" t="inlineStr">
        <is>
          <t>48</t>
        </is>
      </c>
      <c r="H3062" t="inlineStr">
        <is>
          <t>47</t>
        </is>
      </c>
      <c r="I3062" t="inlineStr">
        <is>
          <t>48 ao 47</t>
        </is>
      </c>
      <c r="J3062" t="inlineStr">
        <is>
          <t>VCA</t>
        </is>
      </c>
      <c r="K3062" t="inlineStr">
        <is>
          <t>Planejamento</t>
        </is>
      </c>
      <c r="L3062" t="inlineStr">
        <is>
          <t>PDS-Junho.docx</t>
        </is>
      </c>
      <c r="M3062">
        <f>IF($A3062="","",TEXT($A3062,"mmmm/yyyy"))</f>
        <v/>
      </c>
      <c r="P3062">
        <f>IFERROR(XLOOKUP($N3062,Base_Enderecos!$A:$A,Base_Enderecos!$B:$B,""),"")</f>
        <v/>
      </c>
      <c r="Q3062">
        <f>IFERROR(XLOOKUP($N3062,Base_Enderecos!$A:$A,Base_Enderecos!$C:$C,""),"")</f>
        <v/>
      </c>
      <c r="R3062">
        <f>IF(ISNUMBER(SEARCH("HDD",$F3062)),"HDD",IF(ISNUMBER(SEARCH("VCA",$F3062)),"VCA","MND"))</f>
        <v/>
      </c>
      <c r="T3062">
        <f>TEXT($A3062,"yyyy-mm")&amp;"|"&amp;$C3062&amp;"|"&amp;$I3062</f>
        <v/>
      </c>
    </row>
    <row r="3063">
      <c r="A3063" s="36" t="n">
        <v>46195</v>
      </c>
      <c r="B3063" t="inlineStr">
        <is>
          <t>Segunda</t>
        </is>
      </c>
      <c r="C3063" t="inlineStr">
        <is>
          <t>RCE Elias Sleiman</t>
        </is>
      </c>
      <c r="D3063" t="inlineStr">
        <is>
          <t>Caroline</t>
        </is>
      </c>
      <c r="E3063" t="inlineStr">
        <is>
          <t>Edvando</t>
        </is>
      </c>
      <c r="F3063" t="inlineStr">
        <is>
          <t>Ligações</t>
        </is>
      </c>
      <c r="J3063" t="inlineStr">
        <is>
          <t>Ligação</t>
        </is>
      </c>
      <c r="K3063" t="inlineStr">
        <is>
          <t>Planejamento</t>
        </is>
      </c>
      <c r="L3063" t="inlineStr">
        <is>
          <t>PDS-Junho.docx</t>
        </is>
      </c>
      <c r="M3063">
        <f>IF($A3063="","",TEXT($A3063,"mmmm/yyyy"))</f>
        <v/>
      </c>
      <c r="P3063">
        <f>IFERROR(XLOOKUP($N3063,Base_Enderecos!$A:$A,Base_Enderecos!$B:$B,""),"")</f>
        <v/>
      </c>
      <c r="Q3063">
        <f>IFERROR(XLOOKUP($N3063,Base_Enderecos!$A:$A,Base_Enderecos!$C:$C,""),"")</f>
        <v/>
      </c>
      <c r="R3063">
        <f>IF(ISNUMBER(SEARCH("HDD",$F3063)),"HDD",IF(ISNUMBER(SEARCH("VCA",$F3063)),"VCA","MND"))</f>
        <v/>
      </c>
      <c r="T3063">
        <f>TEXT($A3063,"yyyy-mm")&amp;"|"&amp;$C3063&amp;"|"&amp;$I3063</f>
        <v/>
      </c>
    </row>
    <row r="3064">
      <c r="A3064" s="36" t="n">
        <v>46195</v>
      </c>
      <c r="B3064" t="inlineStr">
        <is>
          <t>Segunda</t>
        </is>
      </c>
      <c r="C3064" t="inlineStr">
        <is>
          <t>RCE Elvira</t>
        </is>
      </c>
      <c r="D3064" t="inlineStr">
        <is>
          <t>Caroline</t>
        </is>
      </c>
      <c r="E3064" t="inlineStr">
        <is>
          <t>Valter</t>
        </is>
      </c>
      <c r="F3064" t="inlineStr">
        <is>
          <t>VCA, PVs e Ligações</t>
        </is>
      </c>
      <c r="J3064" t="inlineStr">
        <is>
          <t>VCA</t>
        </is>
      </c>
      <c r="K3064" t="inlineStr">
        <is>
          <t>Planejamento</t>
        </is>
      </c>
      <c r="L3064" t="inlineStr">
        <is>
          <t>PDS-Junho.docx</t>
        </is>
      </c>
      <c r="M3064">
        <f>IF($A3064="","",TEXT($A3064,"mmmm/yyyy"))</f>
        <v/>
      </c>
      <c r="P3064">
        <f>IFERROR(XLOOKUP($N3064,Base_Enderecos!$A:$A,Base_Enderecos!$B:$B,""),"")</f>
        <v/>
      </c>
      <c r="Q3064">
        <f>IFERROR(XLOOKUP($N3064,Base_Enderecos!$A:$A,Base_Enderecos!$C:$C,""),"")</f>
        <v/>
      </c>
      <c r="R3064">
        <f>IF(ISNUMBER(SEARCH("HDD",$F3064)),"HDD",IF(ISNUMBER(SEARCH("VCA",$F3064)),"VCA","MND"))</f>
        <v/>
      </c>
      <c r="T3064">
        <f>TEXT($A3064,"yyyy-mm")&amp;"|"&amp;$C3064&amp;"|"&amp;$I3064</f>
        <v/>
      </c>
    </row>
    <row r="3065">
      <c r="A3065" s="36" t="n">
        <v>46195</v>
      </c>
      <c r="B3065" t="inlineStr">
        <is>
          <t>Segunda</t>
        </is>
      </c>
      <c r="C3065" t="inlineStr">
        <is>
          <t>RCE Raulzito</t>
        </is>
      </c>
      <c r="D3065" t="inlineStr">
        <is>
          <t>Robson</t>
        </is>
      </c>
      <c r="E3065" t="inlineStr">
        <is>
          <t>Bruno</t>
        </is>
      </c>
      <c r="F3065" t="inlineStr">
        <is>
          <t>VCA, PVs e Ligações</t>
        </is>
      </c>
      <c r="J3065" t="inlineStr">
        <is>
          <t>VCA</t>
        </is>
      </c>
      <c r="K3065" t="inlineStr">
        <is>
          <t>Planejamento</t>
        </is>
      </c>
      <c r="L3065" t="inlineStr">
        <is>
          <t>PDS-Junho.docx</t>
        </is>
      </c>
      <c r="M3065">
        <f>IF($A3065="","",TEXT($A3065,"mmmm/yyyy"))</f>
        <v/>
      </c>
      <c r="P3065">
        <f>IFERROR(XLOOKUP($N3065,Base_Enderecos!$A:$A,Base_Enderecos!$B:$B,""),"")</f>
        <v/>
      </c>
      <c r="Q3065">
        <f>IFERROR(XLOOKUP($N3065,Base_Enderecos!$A:$A,Base_Enderecos!$C:$C,""),"")</f>
        <v/>
      </c>
      <c r="R3065">
        <f>IF(ISNUMBER(SEARCH("HDD",$F3065)),"HDD",IF(ISNUMBER(SEARCH("VCA",$F3065)),"VCA","MND"))</f>
        <v/>
      </c>
      <c r="T3065">
        <f>TEXT($A3065,"yyyy-mm")&amp;"|"&amp;$C3065&amp;"|"&amp;$I3065</f>
        <v/>
      </c>
    </row>
    <row r="3066">
      <c r="A3066" s="36" t="n">
        <v>46195</v>
      </c>
      <c r="B3066" t="inlineStr">
        <is>
          <t>Segunda</t>
        </is>
      </c>
      <c r="C3066" t="inlineStr">
        <is>
          <t>RCE Raulzito</t>
        </is>
      </c>
      <c r="D3066" t="inlineStr">
        <is>
          <t>Robson</t>
        </is>
      </c>
      <c r="E3066" t="inlineStr">
        <is>
          <t>Medeiros</t>
        </is>
      </c>
      <c r="F3066" t="inlineStr">
        <is>
          <t>VCA, PVs e Ligações</t>
        </is>
      </c>
      <c r="J3066" t="inlineStr">
        <is>
          <t>VCA</t>
        </is>
      </c>
      <c r="K3066" t="inlineStr">
        <is>
          <t>Planejamento</t>
        </is>
      </c>
      <c r="L3066" t="inlineStr">
        <is>
          <t>PDS-Junho.docx</t>
        </is>
      </c>
      <c r="M3066">
        <f>IF($A3066="","",TEXT($A3066,"mmmm/yyyy"))</f>
        <v/>
      </c>
      <c r="P3066">
        <f>IFERROR(XLOOKUP($N3066,Base_Enderecos!$A:$A,Base_Enderecos!$B:$B,""),"")</f>
        <v/>
      </c>
      <c r="Q3066">
        <f>IFERROR(XLOOKUP($N3066,Base_Enderecos!$A:$A,Base_Enderecos!$C:$C,""),"")</f>
        <v/>
      </c>
      <c r="R3066">
        <f>IF(ISNUMBER(SEARCH("HDD",$F3066)),"HDD",IF(ISNUMBER(SEARCH("VCA",$F3066)),"VCA","MND"))</f>
        <v/>
      </c>
      <c r="T3066">
        <f>TEXT($A3066,"yyyy-mm")&amp;"|"&amp;$C3066&amp;"|"&amp;$I3066</f>
        <v/>
      </c>
    </row>
    <row r="3067">
      <c r="A3067" s="36" t="n">
        <v>46195</v>
      </c>
      <c r="B3067" t="inlineStr">
        <is>
          <t>Segunda</t>
        </is>
      </c>
      <c r="C3067" t="inlineStr">
        <is>
          <t>RCE Raulzito</t>
        </is>
      </c>
      <c r="D3067" t="inlineStr">
        <is>
          <t>Robson</t>
        </is>
      </c>
      <c r="E3067" t="inlineStr">
        <is>
          <t>Marcelo</t>
        </is>
      </c>
      <c r="F3067" t="inlineStr">
        <is>
          <t>VCA, PVs e Ligações</t>
        </is>
      </c>
      <c r="J3067" t="inlineStr">
        <is>
          <t>VCA</t>
        </is>
      </c>
      <c r="K3067" t="inlineStr">
        <is>
          <t>Planejamento</t>
        </is>
      </c>
      <c r="L3067" t="inlineStr">
        <is>
          <t>PDS-Junho.docx</t>
        </is>
      </c>
      <c r="M3067">
        <f>IF($A3067="","",TEXT($A3067,"mmmm/yyyy"))</f>
        <v/>
      </c>
      <c r="P3067">
        <f>IFERROR(XLOOKUP($N3067,Base_Enderecos!$A:$A,Base_Enderecos!$B:$B,""),"")</f>
        <v/>
      </c>
      <c r="Q3067">
        <f>IFERROR(XLOOKUP($N3067,Base_Enderecos!$A:$A,Base_Enderecos!$C:$C,""),"")</f>
        <v/>
      </c>
      <c r="R3067">
        <f>IF(ISNUMBER(SEARCH("HDD",$F3067)),"HDD",IF(ISNUMBER(SEARCH("VCA",$F3067)),"VCA","MND"))</f>
        <v/>
      </c>
      <c r="T3067">
        <f>TEXT($A3067,"yyyy-mm")&amp;"|"&amp;$C3067&amp;"|"&amp;$I3067</f>
        <v/>
      </c>
    </row>
    <row r="3068">
      <c r="A3068" s="36" t="n">
        <v>46195</v>
      </c>
      <c r="B3068" t="inlineStr">
        <is>
          <t>Segunda</t>
        </is>
      </c>
      <c r="C3068" t="inlineStr">
        <is>
          <t>RCE Raulzito</t>
        </is>
      </c>
      <c r="D3068" t="inlineStr">
        <is>
          <t>Robson</t>
        </is>
      </c>
      <c r="E3068" t="inlineStr">
        <is>
          <t>Cidão</t>
        </is>
      </c>
      <c r="F3068" t="inlineStr">
        <is>
          <t>VCA, PVs e Ligações</t>
        </is>
      </c>
      <c r="J3068" t="inlineStr">
        <is>
          <t>VCA</t>
        </is>
      </c>
      <c r="K3068" t="inlineStr">
        <is>
          <t>Planejamento</t>
        </is>
      </c>
      <c r="L3068" t="inlineStr">
        <is>
          <t>PDS-Junho.docx</t>
        </is>
      </c>
      <c r="M3068">
        <f>IF($A3068="","",TEXT($A3068,"mmmm/yyyy"))</f>
        <v/>
      </c>
      <c r="P3068">
        <f>IFERROR(XLOOKUP($N3068,Base_Enderecos!$A:$A,Base_Enderecos!$B:$B,""),"")</f>
        <v/>
      </c>
      <c r="Q3068">
        <f>IFERROR(XLOOKUP($N3068,Base_Enderecos!$A:$A,Base_Enderecos!$C:$C,""),"")</f>
        <v/>
      </c>
      <c r="R3068">
        <f>IF(ISNUMBER(SEARCH("HDD",$F3068)),"HDD",IF(ISNUMBER(SEARCH("VCA",$F3068)),"VCA","MND"))</f>
        <v/>
      </c>
      <c r="T3068">
        <f>TEXT($A3068,"yyyy-mm")&amp;"|"&amp;$C3068&amp;"|"&amp;$I3068</f>
        <v/>
      </c>
    </row>
    <row r="3069">
      <c r="A3069" s="36" t="n">
        <v>46195</v>
      </c>
      <c r="B3069" t="inlineStr">
        <is>
          <t>Segunda</t>
        </is>
      </c>
      <c r="C3069" t="inlineStr">
        <is>
          <t>RCE São Lucas</t>
        </is>
      </c>
      <c r="D3069" t="inlineStr">
        <is>
          <t>Fábio</t>
        </is>
      </c>
      <c r="E3069" t="inlineStr">
        <is>
          <t>Ricardo (pi 13 Ao Pi 14)</t>
        </is>
      </c>
      <c r="F3069" t="inlineStr">
        <is>
          <t>VCA, PVs e Ligações</t>
        </is>
      </c>
      <c r="J3069" t="inlineStr">
        <is>
          <t>VCA</t>
        </is>
      </c>
      <c r="K3069" t="inlineStr">
        <is>
          <t>Planejamento</t>
        </is>
      </c>
      <c r="L3069" t="inlineStr">
        <is>
          <t>PDS-Junho.docx</t>
        </is>
      </c>
      <c r="M3069">
        <f>IF($A3069="","",TEXT($A3069,"mmmm/yyyy"))</f>
        <v/>
      </c>
      <c r="P3069">
        <f>IFERROR(XLOOKUP($N3069,Base_Enderecos!$A:$A,Base_Enderecos!$B:$B,""),"")</f>
        <v/>
      </c>
      <c r="Q3069">
        <f>IFERROR(XLOOKUP($N3069,Base_Enderecos!$A:$A,Base_Enderecos!$C:$C,""),"")</f>
        <v/>
      </c>
      <c r="R3069">
        <f>IF(ISNUMBER(SEARCH("HDD",$F3069)),"HDD",IF(ISNUMBER(SEARCH("VCA",$F3069)),"VCA","MND"))</f>
        <v/>
      </c>
      <c r="T3069">
        <f>TEXT($A3069,"yyyy-mm")&amp;"|"&amp;$C3069&amp;"|"&amp;$I3069</f>
        <v/>
      </c>
    </row>
    <row r="3070">
      <c r="A3070" s="36" t="n">
        <v>46195</v>
      </c>
      <c r="B3070" t="inlineStr">
        <is>
          <t>Segunda</t>
        </is>
      </c>
      <c r="C3070" t="inlineStr">
        <is>
          <t>RCE São Lucas</t>
        </is>
      </c>
      <c r="D3070" t="inlineStr">
        <is>
          <t>Fábio</t>
        </is>
      </c>
      <c r="E3070" t="inlineStr">
        <is>
          <t>Claudinei (pi 65 Ao Pi 66)</t>
        </is>
      </c>
      <c r="F3070" t="inlineStr">
        <is>
          <t>VCA, PVs e Ligações</t>
        </is>
      </c>
      <c r="J3070" t="inlineStr">
        <is>
          <t>VCA</t>
        </is>
      </c>
      <c r="K3070" t="inlineStr">
        <is>
          <t>Planejamento</t>
        </is>
      </c>
      <c r="L3070" t="inlineStr">
        <is>
          <t>PDS-Junho.docx</t>
        </is>
      </c>
      <c r="M3070">
        <f>IF($A3070="","",TEXT($A3070,"mmmm/yyyy"))</f>
        <v/>
      </c>
      <c r="P3070">
        <f>IFERROR(XLOOKUP($N3070,Base_Enderecos!$A:$A,Base_Enderecos!$B:$B,""),"")</f>
        <v/>
      </c>
      <c r="Q3070">
        <f>IFERROR(XLOOKUP($N3070,Base_Enderecos!$A:$A,Base_Enderecos!$C:$C,""),"")</f>
        <v/>
      </c>
      <c r="R3070">
        <f>IF(ISNUMBER(SEARCH("HDD",$F3070)),"HDD",IF(ISNUMBER(SEARCH("VCA",$F3070)),"VCA","MND"))</f>
        <v/>
      </c>
      <c r="T3070">
        <f>TEXT($A3070,"yyyy-mm")&amp;"|"&amp;$C3070&amp;"|"&amp;$I3070</f>
        <v/>
      </c>
    </row>
    <row r="3071">
      <c r="A3071" s="36" t="n">
        <v>46195</v>
      </c>
      <c r="B3071" t="inlineStr">
        <is>
          <t>Segunda</t>
        </is>
      </c>
      <c r="C3071" t="inlineStr">
        <is>
          <t>RCE São Lucas</t>
        </is>
      </c>
      <c r="D3071" t="inlineStr">
        <is>
          <t>Fábio</t>
        </is>
      </c>
      <c r="E3071" t="inlineStr">
        <is>
          <t>Miro (pi 61 Ao Pi 62)</t>
        </is>
      </c>
      <c r="F3071" t="inlineStr">
        <is>
          <t>VCA, PVs e Ligações</t>
        </is>
      </c>
      <c r="J3071" t="inlineStr">
        <is>
          <t>VCA</t>
        </is>
      </c>
      <c r="K3071" t="inlineStr">
        <is>
          <t>Planejamento</t>
        </is>
      </c>
      <c r="L3071" t="inlineStr">
        <is>
          <t>PDS-Junho.docx</t>
        </is>
      </c>
      <c r="M3071">
        <f>IF($A3071="","",TEXT($A3071,"mmmm/yyyy"))</f>
        <v/>
      </c>
      <c r="P3071">
        <f>IFERROR(XLOOKUP($N3071,Base_Enderecos!$A:$A,Base_Enderecos!$B:$B,""),"")</f>
        <v/>
      </c>
      <c r="Q3071">
        <f>IFERROR(XLOOKUP($N3071,Base_Enderecos!$A:$A,Base_Enderecos!$C:$C,""),"")</f>
        <v/>
      </c>
      <c r="R3071">
        <f>IF(ISNUMBER(SEARCH("HDD",$F3071)),"HDD",IF(ISNUMBER(SEARCH("VCA",$F3071)),"VCA","MND"))</f>
        <v/>
      </c>
      <c r="T3071">
        <f>TEXT($A3071,"yyyy-mm")&amp;"|"&amp;$C3071&amp;"|"&amp;$I3071</f>
        <v/>
      </c>
    </row>
    <row r="3072">
      <c r="A3072" s="36" t="n">
        <v>46195</v>
      </c>
      <c r="B3072" t="inlineStr">
        <is>
          <t>Segunda</t>
        </is>
      </c>
      <c r="C3072" t="inlineStr">
        <is>
          <t>RCE São Lucas</t>
        </is>
      </c>
      <c r="D3072" t="inlineStr">
        <is>
          <t>Fábio</t>
        </is>
      </c>
      <c r="E3072" t="inlineStr">
        <is>
          <t>Emanuel (pi 48 Ao Pi 49)</t>
        </is>
      </c>
      <c r="F3072" t="inlineStr">
        <is>
          <t>VCA, PVs e Ligações</t>
        </is>
      </c>
      <c r="J3072" t="inlineStr">
        <is>
          <t>VCA</t>
        </is>
      </c>
      <c r="K3072" t="inlineStr">
        <is>
          <t>Planejamento</t>
        </is>
      </c>
      <c r="L3072" t="inlineStr">
        <is>
          <t>PDS-Junho.docx</t>
        </is>
      </c>
      <c r="M3072">
        <f>IF($A3072="","",TEXT($A3072,"mmmm/yyyy"))</f>
        <v/>
      </c>
      <c r="P3072">
        <f>IFERROR(XLOOKUP($N3072,Base_Enderecos!$A:$A,Base_Enderecos!$B:$B,""),"")</f>
        <v/>
      </c>
      <c r="Q3072">
        <f>IFERROR(XLOOKUP($N3072,Base_Enderecos!$A:$A,Base_Enderecos!$C:$C,""),"")</f>
        <v/>
      </c>
      <c r="R3072">
        <f>IF(ISNUMBER(SEARCH("HDD",$F3072)),"HDD",IF(ISNUMBER(SEARCH("VCA",$F3072)),"VCA","MND"))</f>
        <v/>
      </c>
      <c r="T3072">
        <f>TEXT($A3072,"yyyy-mm")&amp;"|"&amp;$C3072&amp;"|"&amp;$I3072</f>
        <v/>
      </c>
    </row>
    <row r="3073">
      <c r="A3073" s="36" t="n">
        <v>46195</v>
      </c>
      <c r="B3073" t="inlineStr">
        <is>
          <t>Segunda</t>
        </is>
      </c>
      <c r="C3073" t="inlineStr">
        <is>
          <t>RCE São Lucas</t>
        </is>
      </c>
      <c r="D3073" t="inlineStr">
        <is>
          <t>Fábio</t>
        </is>
      </c>
      <c r="E3073" t="inlineStr">
        <is>
          <t>Antonio (pi 18 Ao Pi 17)</t>
        </is>
      </c>
      <c r="F3073" t="inlineStr">
        <is>
          <t>VCA, PVs e Ligações</t>
        </is>
      </c>
      <c r="J3073" t="inlineStr">
        <is>
          <t>VCA</t>
        </is>
      </c>
      <c r="K3073" t="inlineStr">
        <is>
          <t>Planejamento</t>
        </is>
      </c>
      <c r="L3073" t="inlineStr">
        <is>
          <t>PDS-Junho.docx</t>
        </is>
      </c>
      <c r="M3073">
        <f>IF($A3073="","",TEXT($A3073,"mmmm/yyyy"))</f>
        <v/>
      </c>
      <c r="P3073">
        <f>IFERROR(XLOOKUP($N3073,Base_Enderecos!$A:$A,Base_Enderecos!$B:$B,""),"")</f>
        <v/>
      </c>
      <c r="Q3073">
        <f>IFERROR(XLOOKUP($N3073,Base_Enderecos!$A:$A,Base_Enderecos!$C:$C,""),"")</f>
        <v/>
      </c>
      <c r="R3073">
        <f>IF(ISNUMBER(SEARCH("HDD",$F3073)),"HDD",IF(ISNUMBER(SEARCH("VCA",$F3073)),"VCA","MND"))</f>
        <v/>
      </c>
      <c r="T3073">
        <f>TEXT($A3073,"yyyy-mm")&amp;"|"&amp;$C3073&amp;"|"&amp;$I3073</f>
        <v/>
      </c>
    </row>
    <row r="3074">
      <c r="A3074" s="36" t="n">
        <v>46195</v>
      </c>
      <c r="B3074" t="inlineStr">
        <is>
          <t>Segunda</t>
        </is>
      </c>
      <c r="C3074" t="inlineStr">
        <is>
          <t>RCE São Lucas</t>
        </is>
      </c>
      <c r="D3074" t="inlineStr">
        <is>
          <t>Fábio</t>
        </is>
      </c>
      <c r="E3074" t="inlineStr">
        <is>
          <t>Antonio (pi 18 Ao Pi 17)</t>
        </is>
      </c>
      <c r="F3074" t="inlineStr">
        <is>
          <t>SERVIÇOS REPOSIÇÃO – LEANDRO</t>
        </is>
      </c>
      <c r="J3074" t="inlineStr">
        <is>
          <t>Atividade</t>
        </is>
      </c>
      <c r="K3074" t="inlineStr">
        <is>
          <t>Planejamento</t>
        </is>
      </c>
      <c r="L3074" t="inlineStr">
        <is>
          <t>PDS-Junho.docx</t>
        </is>
      </c>
      <c r="M3074">
        <f>IF($A3074="","",TEXT($A3074,"mmmm/yyyy"))</f>
        <v/>
      </c>
      <c r="P3074">
        <f>IFERROR(XLOOKUP($N3074,Base_Enderecos!$A:$A,Base_Enderecos!$B:$B,""),"")</f>
        <v/>
      </c>
      <c r="Q3074">
        <f>IFERROR(XLOOKUP($N3074,Base_Enderecos!$A:$A,Base_Enderecos!$C:$C,""),"")</f>
        <v/>
      </c>
      <c r="R3074">
        <f>IF(ISNUMBER(SEARCH("HDD",$F3074)),"HDD",IF(ISNUMBER(SEARCH("VCA",$F3074)),"VCA","MND"))</f>
        <v/>
      </c>
      <c r="T3074">
        <f>TEXT($A3074,"yyyy-mm")&amp;"|"&amp;$C3074&amp;"|"&amp;$I3074</f>
        <v/>
      </c>
    </row>
    <row r="3075">
      <c r="A3075" s="36" t="n">
        <v>46195</v>
      </c>
      <c r="B3075" t="inlineStr">
        <is>
          <t>Segunda</t>
        </is>
      </c>
      <c r="C3075" t="inlineStr">
        <is>
          <t>RCE São Lucas</t>
        </is>
      </c>
      <c r="D3075" t="inlineStr">
        <is>
          <t>Fábio</t>
        </is>
      </c>
      <c r="E3075" t="inlineStr">
        <is>
          <t>Antonio (pi 18 Ao Pi 17)</t>
        </is>
      </c>
      <c r="F3075" t="inlineStr">
        <is>
          <t>Reparos Gerais</t>
        </is>
      </c>
      <c r="J3075" t="inlineStr">
        <is>
          <t>Atividade</t>
        </is>
      </c>
      <c r="K3075" t="inlineStr">
        <is>
          <t>Planejamento</t>
        </is>
      </c>
      <c r="L3075" t="inlineStr">
        <is>
          <t>PDS-Junho.docx</t>
        </is>
      </c>
      <c r="M3075">
        <f>IF($A3075="","",TEXT($A3075,"mmmm/yyyy"))</f>
        <v/>
      </c>
      <c r="P3075">
        <f>IFERROR(XLOOKUP($N3075,Base_Enderecos!$A:$A,Base_Enderecos!$B:$B,""),"")</f>
        <v/>
      </c>
      <c r="Q3075">
        <f>IFERROR(XLOOKUP($N3075,Base_Enderecos!$A:$A,Base_Enderecos!$C:$C,""),"")</f>
        <v/>
      </c>
      <c r="R3075">
        <f>IF(ISNUMBER(SEARCH("HDD",$F3075)),"HDD",IF(ISNUMBER(SEARCH("VCA",$F3075)),"VCA","MND"))</f>
        <v/>
      </c>
      <c r="T3075">
        <f>TEXT($A3075,"yyyy-mm")&amp;"|"&amp;$C3075&amp;"|"&amp;$I3075</f>
        <v/>
      </c>
    </row>
    <row r="3076">
      <c r="A3076" s="36" t="n">
        <v>46195</v>
      </c>
      <c r="B3076" t="inlineStr">
        <is>
          <t>Segunda</t>
        </is>
      </c>
      <c r="C3076" t="inlineStr">
        <is>
          <t>Água Vermelha</t>
        </is>
      </c>
      <c r="E3076" t="inlineStr">
        <is>
          <t>Vacal</t>
        </is>
      </c>
      <c r="F3076" t="inlineStr">
        <is>
          <t>Água Vermelha - Henko</t>
        </is>
      </c>
      <c r="J3076" t="inlineStr">
        <is>
          <t>Atividade</t>
        </is>
      </c>
      <c r="K3076" t="inlineStr">
        <is>
          <t>Apoio</t>
        </is>
      </c>
      <c r="L3076" t="inlineStr">
        <is>
          <t>PDS-Junho.docx</t>
        </is>
      </c>
      <c r="M3076">
        <f>IF($A3076="","",TEXT($A3076,"mmmm/yyyy"))</f>
        <v/>
      </c>
      <c r="P3076">
        <f>IFERROR(XLOOKUP($N3076,Base_Enderecos!$A:$A,Base_Enderecos!$B:$B,""),"")</f>
        <v/>
      </c>
      <c r="Q3076">
        <f>IFERROR(XLOOKUP($N3076,Base_Enderecos!$A:$A,Base_Enderecos!$C:$C,""),"")</f>
        <v/>
      </c>
      <c r="R3076">
        <f>IF(ISNUMBER(SEARCH("HDD",$F3076)),"HDD",IF(ISNUMBER(SEARCH("VCA",$F3076)),"VCA","MND"))</f>
        <v/>
      </c>
      <c r="T3076">
        <f>TEXT($A3076,"yyyy-mm")&amp;"|"&amp;$C3076&amp;"|"&amp;$I3076</f>
        <v/>
      </c>
    </row>
    <row r="3077">
      <c r="A3077" s="36" t="n">
        <v>46195</v>
      </c>
      <c r="B3077" t="inlineStr">
        <is>
          <t>Segunda</t>
        </is>
      </c>
      <c r="C3077" t="inlineStr">
        <is>
          <t>Iti 15</t>
        </is>
      </c>
      <c r="E3077" t="inlineStr">
        <is>
          <t>Vacal</t>
        </is>
      </c>
      <c r="F3077" t="inlineStr">
        <is>
          <t>ITI 15 – Henko</t>
        </is>
      </c>
      <c r="J3077" t="inlineStr">
        <is>
          <t>Atividade</t>
        </is>
      </c>
      <c r="K3077" t="inlineStr">
        <is>
          <t>Apoio</t>
        </is>
      </c>
      <c r="L3077" t="inlineStr">
        <is>
          <t>PDS-Junho.docx</t>
        </is>
      </c>
      <c r="M3077">
        <f>IF($A3077="","",TEXT($A3077,"mmmm/yyyy"))</f>
        <v/>
      </c>
      <c r="P3077">
        <f>IFERROR(XLOOKUP($N3077,Base_Enderecos!$A:$A,Base_Enderecos!$B:$B,""),"")</f>
        <v/>
      </c>
      <c r="Q3077">
        <f>IFERROR(XLOOKUP($N3077,Base_Enderecos!$A:$A,Base_Enderecos!$C:$C,""),"")</f>
        <v/>
      </c>
      <c r="R3077">
        <f>IF(ISNUMBER(SEARCH("HDD",$F3077)),"HDD",IF(ISNUMBER(SEARCH("VCA",$F3077)),"VCA","MND"))</f>
        <v/>
      </c>
      <c r="T3077">
        <f>TEXT($A3077,"yyyy-mm")&amp;"|"&amp;$C3077&amp;"|"&amp;$I3077</f>
        <v/>
      </c>
    </row>
    <row r="3078">
      <c r="A3078" s="36" t="n">
        <v>46195</v>
      </c>
      <c r="B3078" t="inlineStr">
        <is>
          <t>Segunda</t>
        </is>
      </c>
      <c r="C3078" t="inlineStr">
        <is>
          <t>Guindauto</t>
        </is>
      </c>
      <c r="E3078" t="inlineStr">
        <is>
          <t>Guindauto</t>
        </is>
      </c>
      <c r="F3078" t="inlineStr">
        <is>
          <t>Marcio - Apoio as equipes</t>
        </is>
      </c>
      <c r="J3078" t="inlineStr">
        <is>
          <t>Atividade</t>
        </is>
      </c>
      <c r="K3078" t="inlineStr">
        <is>
          <t>Apoio</t>
        </is>
      </c>
      <c r="L3078" t="inlineStr">
        <is>
          <t>PDS-Junho.docx</t>
        </is>
      </c>
      <c r="M3078">
        <f>IF($A3078="","",TEXT($A3078,"mmmm/yyyy"))</f>
        <v/>
      </c>
      <c r="P3078">
        <f>IFERROR(XLOOKUP($N3078,Base_Enderecos!$A:$A,Base_Enderecos!$B:$B,""),"")</f>
        <v/>
      </c>
      <c r="Q3078">
        <f>IFERROR(XLOOKUP($N3078,Base_Enderecos!$A:$A,Base_Enderecos!$C:$C,""),"")</f>
        <v/>
      </c>
      <c r="R3078">
        <f>IF(ISNUMBER(SEARCH("HDD",$F3078)),"HDD",IF(ISNUMBER(SEARCH("VCA",$F3078)),"VCA","MND"))</f>
        <v/>
      </c>
      <c r="T3078">
        <f>TEXT($A3078,"yyyy-mm")&amp;"|"&amp;$C3078&amp;"|"&amp;$I3078</f>
        <v/>
      </c>
    </row>
    <row r="3079">
      <c r="A3079" s="36" t="n">
        <v>46195</v>
      </c>
      <c r="B3079" t="inlineStr">
        <is>
          <t>Segunda</t>
        </is>
      </c>
      <c r="C3079" t="inlineStr">
        <is>
          <t>Guindauto</t>
        </is>
      </c>
      <c r="E3079" t="inlineStr">
        <is>
          <t>Guindauto</t>
        </is>
      </c>
      <c r="F3079" t="inlineStr">
        <is>
          <t>Luiz - Apoio as equipes</t>
        </is>
      </c>
      <c r="J3079" t="inlineStr">
        <is>
          <t>Atividade</t>
        </is>
      </c>
      <c r="K3079" t="inlineStr">
        <is>
          <t>Apoio</t>
        </is>
      </c>
      <c r="L3079" t="inlineStr">
        <is>
          <t>PDS-Junho.docx</t>
        </is>
      </c>
      <c r="M3079">
        <f>IF($A3079="","",TEXT($A3079,"mmmm/yyyy"))</f>
        <v/>
      </c>
      <c r="P3079">
        <f>IFERROR(XLOOKUP($N3079,Base_Enderecos!$A:$A,Base_Enderecos!$B:$B,""),"")</f>
        <v/>
      </c>
      <c r="Q3079">
        <f>IFERROR(XLOOKUP($N3079,Base_Enderecos!$A:$A,Base_Enderecos!$C:$C,""),"")</f>
        <v/>
      </c>
      <c r="R3079">
        <f>IF(ISNUMBER(SEARCH("HDD",$F3079)),"HDD",IF(ISNUMBER(SEARCH("VCA",$F3079)),"VCA","MND"))</f>
        <v/>
      </c>
      <c r="T3079">
        <f>TEXT($A3079,"yyyy-mm")&amp;"|"&amp;$C3079&amp;"|"&amp;$I3079</f>
        <v/>
      </c>
    </row>
    <row r="3080">
      <c r="A3080" t="inlineStr">
        <is>
          <t>2026-06-24</t>
        </is>
      </c>
      <c r="B3080" t="inlineStr">
        <is>
          <t>Quarta</t>
        </is>
      </c>
      <c r="C3080" t="inlineStr">
        <is>
          <t>CTs Água Vermelha ME</t>
        </is>
      </c>
      <c r="D3080" t="inlineStr"/>
      <c r="E3080" t="inlineStr">
        <is>
          <t>Cesar</t>
        </is>
      </c>
      <c r="F3080" t="inlineStr">
        <is>
          <t>Adequação PVE 07</t>
        </is>
      </c>
      <c r="G3080" t="inlineStr">
        <is>
          <t>07</t>
        </is>
      </c>
      <c r="H3080" t="inlineStr"/>
      <c r="I3080" t="inlineStr">
        <is>
          <t>07</t>
        </is>
      </c>
      <c r="J3080" t="inlineStr">
        <is>
          <t>Planejamento</t>
        </is>
      </c>
      <c r="K3080" t="inlineStr">
        <is>
          <t>Planejamento</t>
        </is>
      </c>
      <c r="L3080" t="inlineStr">
        <is>
          <t>PDS manual 2026-06-24</t>
        </is>
      </c>
    </row>
    <row r="3081">
      <c r="A3081" t="inlineStr">
        <is>
          <t>2026-06-24</t>
        </is>
      </c>
      <c r="B3081" t="inlineStr">
        <is>
          <t>Quarta</t>
        </is>
      </c>
      <c r="C3081" t="inlineStr">
        <is>
          <t>RCE Conj. União</t>
        </is>
      </c>
      <c r="D3081" t="inlineStr"/>
      <c r="E3081" t="inlineStr">
        <is>
          <t>Jhonatan</t>
        </is>
      </c>
      <c r="F3081" t="inlineStr">
        <is>
          <t>VCA PV 48 ao PV 47</t>
        </is>
      </c>
      <c r="G3081" t="inlineStr">
        <is>
          <t>48</t>
        </is>
      </c>
      <c r="H3081" t="inlineStr">
        <is>
          <t>47</t>
        </is>
      </c>
      <c r="I3081" t="inlineStr">
        <is>
          <t>48 ao 47</t>
        </is>
      </c>
      <c r="J3081" t="inlineStr">
        <is>
          <t>Planejamento</t>
        </is>
      </c>
      <c r="K3081" t="inlineStr">
        <is>
          <t>Planejamento</t>
        </is>
      </c>
      <c r="L3081" t="inlineStr">
        <is>
          <t>PDS manual 2026-06-24</t>
        </is>
      </c>
    </row>
    <row r="3082">
      <c r="A3082" t="inlineStr">
        <is>
          <t>2026-06-24</t>
        </is>
      </c>
      <c r="B3082" t="inlineStr">
        <is>
          <t>Quarta</t>
        </is>
      </c>
      <c r="C3082" t="inlineStr">
        <is>
          <t>CTs Barão de Arariba</t>
        </is>
      </c>
      <c r="D3082" t="inlineStr"/>
      <c r="E3082" t="inlineStr">
        <is>
          <t>Edvando</t>
        </is>
      </c>
      <c r="F3082" t="inlineStr">
        <is>
          <t>Adequação PV 10</t>
        </is>
      </c>
      <c r="G3082" t="inlineStr">
        <is>
          <t>10</t>
        </is>
      </c>
      <c r="H3082" t="inlineStr"/>
      <c r="I3082" t="inlineStr">
        <is>
          <t>10</t>
        </is>
      </c>
      <c r="J3082" t="inlineStr">
        <is>
          <t>Planejamento</t>
        </is>
      </c>
      <c r="K3082" t="inlineStr">
        <is>
          <t>Planejamento</t>
        </is>
      </c>
      <c r="L3082" t="inlineStr">
        <is>
          <t>PDS manual 2026-06-24</t>
        </is>
      </c>
    </row>
    <row r="3083">
      <c r="A3083" t="inlineStr">
        <is>
          <t>2026-06-24</t>
        </is>
      </c>
      <c r="B3083" t="inlineStr">
        <is>
          <t>Quarta</t>
        </is>
      </c>
      <c r="C3083" t="inlineStr">
        <is>
          <t>RCE Maria dos Santos Machado</t>
        </is>
      </c>
      <c r="D3083" t="inlineStr"/>
      <c r="E3083" t="inlineStr">
        <is>
          <t>Marcio</t>
        </is>
      </c>
      <c r="F3083" t="inlineStr">
        <is>
          <t>VCA PV 01 ao PV 02</t>
        </is>
      </c>
      <c r="G3083" t="inlineStr">
        <is>
          <t>01</t>
        </is>
      </c>
      <c r="H3083" t="inlineStr">
        <is>
          <t>02</t>
        </is>
      </c>
      <c r="I3083" t="inlineStr">
        <is>
          <t>01 ao 02</t>
        </is>
      </c>
      <c r="J3083" t="inlineStr">
        <is>
          <t>Planejamento</t>
        </is>
      </c>
      <c r="K3083" t="inlineStr">
        <is>
          <t>Planejamento</t>
        </is>
      </c>
      <c r="L3083" t="inlineStr">
        <is>
          <t>PDS manual 2026-06-24</t>
        </is>
      </c>
    </row>
    <row r="3084">
      <c r="A3084" t="inlineStr">
        <is>
          <t>2026-06-24</t>
        </is>
      </c>
      <c r="B3084" t="inlineStr">
        <is>
          <t>Quarta</t>
        </is>
      </c>
      <c r="C3084" t="inlineStr">
        <is>
          <t>RCE Elvira</t>
        </is>
      </c>
      <c r="D3084" t="inlineStr"/>
      <c r="E3084" t="inlineStr">
        <is>
          <t>Valter</t>
        </is>
      </c>
      <c r="F3084" t="inlineStr">
        <is>
          <t>VCA, PVs e Ligações</t>
        </is>
      </c>
      <c r="G3084" t="inlineStr"/>
      <c r="H3084" t="inlineStr"/>
      <c r="I3084" t="inlineStr"/>
      <c r="J3084" t="inlineStr">
        <is>
          <t>Planejamento</t>
        </is>
      </c>
      <c r="K3084" t="inlineStr">
        <is>
          <t>Planejamento</t>
        </is>
      </c>
      <c r="L3084" t="inlineStr">
        <is>
          <t>PDS manual 2026-06-24</t>
        </is>
      </c>
    </row>
    <row r="3085">
      <c r="A3085" t="inlineStr">
        <is>
          <t>2026-06-24</t>
        </is>
      </c>
      <c r="B3085" t="inlineStr">
        <is>
          <t>Quarta</t>
        </is>
      </c>
      <c r="C3085" t="inlineStr">
        <is>
          <t>CTs Bandeirantes</t>
        </is>
      </c>
      <c r="D3085" t="inlineStr"/>
      <c r="E3085" t="inlineStr">
        <is>
          <t>Marcelo</t>
        </is>
      </c>
      <c r="F3085" t="inlineStr">
        <is>
          <t>Shaft PV 33 + Interligação</t>
        </is>
      </c>
      <c r="G3085" t="inlineStr">
        <is>
          <t>33</t>
        </is>
      </c>
      <c r="H3085" t="inlineStr"/>
      <c r="I3085" t="inlineStr">
        <is>
          <t>33</t>
        </is>
      </c>
      <c r="J3085" t="inlineStr">
        <is>
          <t>Planejamento</t>
        </is>
      </c>
      <c r="K3085" t="inlineStr">
        <is>
          <t>Planejamento</t>
        </is>
      </c>
      <c r="L3085" t="inlineStr">
        <is>
          <t>PDS manual 2026-06-24</t>
        </is>
      </c>
    </row>
    <row r="3086">
      <c r="A3086" t="inlineStr">
        <is>
          <t>2026-06-24</t>
        </is>
      </c>
      <c r="B3086" t="inlineStr">
        <is>
          <t>Quarta</t>
        </is>
      </c>
      <c r="C3086" t="inlineStr">
        <is>
          <t>RCE Raulzito</t>
        </is>
      </c>
      <c r="D3086" t="inlineStr"/>
      <c r="E3086" t="inlineStr">
        <is>
          <t>Bruno</t>
        </is>
      </c>
      <c r="F3086" t="inlineStr">
        <is>
          <t>VCA, PVs e Ligações</t>
        </is>
      </c>
      <c r="G3086" t="inlineStr"/>
      <c r="H3086" t="inlineStr"/>
      <c r="I3086" t="inlineStr"/>
      <c r="J3086" t="inlineStr">
        <is>
          <t>Planejamento</t>
        </is>
      </c>
      <c r="K3086" t="inlineStr">
        <is>
          <t>Planejamento</t>
        </is>
      </c>
      <c r="L3086" t="inlineStr">
        <is>
          <t>PDS manual 2026-06-24</t>
        </is>
      </c>
    </row>
    <row r="3087">
      <c r="A3087" t="inlineStr">
        <is>
          <t>2026-06-24</t>
        </is>
      </c>
      <c r="B3087" t="inlineStr">
        <is>
          <t>Quarta</t>
        </is>
      </c>
      <c r="C3087" t="inlineStr">
        <is>
          <t>RCE Raulzito</t>
        </is>
      </c>
      <c r="D3087" t="inlineStr"/>
      <c r="E3087" t="inlineStr">
        <is>
          <t>Medeiros</t>
        </is>
      </c>
      <c r="F3087" t="inlineStr">
        <is>
          <t>VCA, PVs e Ligações</t>
        </is>
      </c>
      <c r="G3087" t="inlineStr"/>
      <c r="H3087" t="inlineStr"/>
      <c r="I3087" t="inlineStr"/>
      <c r="J3087" t="inlineStr">
        <is>
          <t>Planejamento</t>
        </is>
      </c>
      <c r="K3087" t="inlineStr">
        <is>
          <t>Planejamento</t>
        </is>
      </c>
      <c r="L3087" t="inlineStr">
        <is>
          <t>PDS manual 2026-06-24</t>
        </is>
      </c>
    </row>
    <row r="3088">
      <c r="A3088" t="inlineStr">
        <is>
          <t>2026-06-24</t>
        </is>
      </c>
      <c r="B3088" t="inlineStr">
        <is>
          <t>Quarta</t>
        </is>
      </c>
      <c r="C3088" t="inlineStr">
        <is>
          <t>RCE Raulzito</t>
        </is>
      </c>
      <c r="D3088" t="inlineStr"/>
      <c r="E3088" t="inlineStr">
        <is>
          <t>Cidão</t>
        </is>
      </c>
      <c r="F3088" t="inlineStr">
        <is>
          <t>VCA, PVs e Ligações</t>
        </is>
      </c>
      <c r="G3088" t="inlineStr"/>
      <c r="H3088" t="inlineStr"/>
      <c r="I3088" t="inlineStr"/>
      <c r="J3088" t="inlineStr">
        <is>
          <t>Planejamento</t>
        </is>
      </c>
      <c r="K3088" t="inlineStr">
        <is>
          <t>Planejamento</t>
        </is>
      </c>
      <c r="L3088" t="inlineStr">
        <is>
          <t>PDS manual 2026-06-24</t>
        </is>
      </c>
    </row>
    <row r="3089">
      <c r="A3089" t="inlineStr">
        <is>
          <t>2026-06-24</t>
        </is>
      </c>
      <c r="B3089" t="inlineStr">
        <is>
          <t>Quarta</t>
        </is>
      </c>
      <c r="C3089" t="inlineStr">
        <is>
          <t>RCE São Lucas</t>
        </is>
      </c>
      <c r="D3089" t="inlineStr"/>
      <c r="E3089" t="inlineStr">
        <is>
          <t>Ricardo (PI 19 ao PI 20)</t>
        </is>
      </c>
      <c r="F3089" t="inlineStr">
        <is>
          <t>VCA, PVs e Ligações</t>
        </is>
      </c>
      <c r="G3089" t="inlineStr"/>
      <c r="H3089" t="inlineStr"/>
      <c r="I3089" t="inlineStr"/>
      <c r="J3089" t="inlineStr">
        <is>
          <t>Planejamento</t>
        </is>
      </c>
      <c r="K3089" t="inlineStr">
        <is>
          <t>Planejamento</t>
        </is>
      </c>
      <c r="L3089" t="inlineStr">
        <is>
          <t>PDS manual 2026-06-24</t>
        </is>
      </c>
    </row>
    <row r="3090">
      <c r="A3090" t="inlineStr">
        <is>
          <t>2026-06-24</t>
        </is>
      </c>
      <c r="B3090" t="inlineStr">
        <is>
          <t>Quarta</t>
        </is>
      </c>
      <c r="C3090" t="inlineStr">
        <is>
          <t>RCE São Lucas</t>
        </is>
      </c>
      <c r="D3090" t="inlineStr"/>
      <c r="E3090" t="inlineStr">
        <is>
          <t>Claudinei (PI 66 ao PI 42)</t>
        </is>
      </c>
      <c r="F3090" t="inlineStr">
        <is>
          <t>VCA, PVs e Ligações</t>
        </is>
      </c>
      <c r="G3090" t="inlineStr"/>
      <c r="H3090" t="inlineStr"/>
      <c r="I3090" t="inlineStr"/>
      <c r="J3090" t="inlineStr">
        <is>
          <t>Planejamento</t>
        </is>
      </c>
      <c r="K3090" t="inlineStr">
        <is>
          <t>Planejamento</t>
        </is>
      </c>
      <c r="L3090" t="inlineStr">
        <is>
          <t>PDS manual 2026-06-24</t>
        </is>
      </c>
    </row>
    <row r="3091">
      <c r="A3091" t="inlineStr">
        <is>
          <t>2026-06-24</t>
        </is>
      </c>
      <c r="B3091" t="inlineStr">
        <is>
          <t>Quarta</t>
        </is>
      </c>
      <c r="C3091" t="inlineStr">
        <is>
          <t>RCE São Lucas</t>
        </is>
      </c>
      <c r="D3091" t="inlineStr"/>
      <c r="E3091" t="inlineStr">
        <is>
          <t>Miro (PI 61 ao PI 62)</t>
        </is>
      </c>
      <c r="F3091" t="inlineStr">
        <is>
          <t>VCA, PVs e Ligações</t>
        </is>
      </c>
      <c r="G3091" t="inlineStr"/>
      <c r="H3091" t="inlineStr"/>
      <c r="I3091" t="inlineStr"/>
      <c r="J3091" t="inlineStr">
        <is>
          <t>Planejamento</t>
        </is>
      </c>
      <c r="K3091" t="inlineStr">
        <is>
          <t>Planejamento</t>
        </is>
      </c>
      <c r="L3091" t="inlineStr">
        <is>
          <t>PDS manual 2026-06-24</t>
        </is>
      </c>
    </row>
    <row r="3092">
      <c r="A3092" t="inlineStr">
        <is>
          <t>2026-06-24</t>
        </is>
      </c>
      <c r="B3092" t="inlineStr">
        <is>
          <t>Quarta</t>
        </is>
      </c>
      <c r="C3092" t="inlineStr">
        <is>
          <t>RCE São Lucas</t>
        </is>
      </c>
      <c r="D3092" t="inlineStr"/>
      <c r="E3092" t="inlineStr">
        <is>
          <t>Emanuel (PI 50 ao PI 51)</t>
        </is>
      </c>
      <c r="F3092" t="inlineStr">
        <is>
          <t>VCA, PVs e Ligações</t>
        </is>
      </c>
      <c r="G3092" t="inlineStr"/>
      <c r="H3092" t="inlineStr"/>
      <c r="I3092" t="inlineStr"/>
      <c r="J3092" t="inlineStr">
        <is>
          <t>Planejamento</t>
        </is>
      </c>
      <c r="K3092" t="inlineStr">
        <is>
          <t>Planejamento</t>
        </is>
      </c>
      <c r="L3092" t="inlineStr">
        <is>
          <t>PDS manual 2026-06-24</t>
        </is>
      </c>
    </row>
    <row r="3093">
      <c r="A3093" t="inlineStr">
        <is>
          <t>2026-06-24</t>
        </is>
      </c>
      <c r="B3093" t="inlineStr">
        <is>
          <t>Quarta</t>
        </is>
      </c>
      <c r="C3093" t="inlineStr">
        <is>
          <t>RCE São Lucas</t>
        </is>
      </c>
      <c r="D3093" t="inlineStr"/>
      <c r="E3093" t="inlineStr">
        <is>
          <t>Antonio (PI 18 ao PI 17)</t>
        </is>
      </c>
      <c r="F3093" t="inlineStr">
        <is>
          <t>VCA, PVs e Ligações</t>
        </is>
      </c>
      <c r="G3093" t="inlineStr"/>
      <c r="H3093" t="inlineStr"/>
      <c r="I3093" t="inlineStr"/>
      <c r="J3093" t="inlineStr">
        <is>
          <t>Planejamento</t>
        </is>
      </c>
      <c r="K3093" t="inlineStr">
        <is>
          <t>Planejamento</t>
        </is>
      </c>
      <c r="L3093" t="inlineStr">
        <is>
          <t>PDS manual 2026-06-24</t>
        </is>
      </c>
    </row>
    <row r="3094">
      <c r="A3094" t="inlineStr">
        <is>
          <t>2026-06-24</t>
        </is>
      </c>
      <c r="B3094" t="inlineStr">
        <is>
          <t>Quarta</t>
        </is>
      </c>
      <c r="C3094" t="inlineStr">
        <is>
          <t>Serviços Reposição</t>
        </is>
      </c>
      <c r="D3094" t="inlineStr"/>
      <c r="E3094" t="inlineStr">
        <is>
          <t>Leandro</t>
        </is>
      </c>
      <c r="F3094" t="inlineStr">
        <is>
          <t>Reparos Gerais</t>
        </is>
      </c>
      <c r="G3094" t="inlineStr"/>
      <c r="H3094" t="inlineStr"/>
      <c r="I3094" t="inlineStr"/>
      <c r="J3094" t="inlineStr">
        <is>
          <t>Planejamento</t>
        </is>
      </c>
      <c r="K3094" t="inlineStr">
        <is>
          <t>Planejamento</t>
        </is>
      </c>
      <c r="L3094" t="inlineStr">
        <is>
          <t>PDS manual 2026-06-24</t>
        </is>
      </c>
    </row>
    <row r="3095">
      <c r="A3095" t="inlineStr">
        <is>
          <t>2026-06-24</t>
        </is>
      </c>
      <c r="B3095" t="inlineStr">
        <is>
          <t>Quarta</t>
        </is>
      </c>
      <c r="C3095" t="inlineStr">
        <is>
          <t>Vacal: Água Vermelha</t>
        </is>
      </c>
      <c r="D3095" t="inlineStr"/>
      <c r="E3095" t="inlineStr">
        <is>
          <t>Henko</t>
        </is>
      </c>
      <c r="F3095" t="inlineStr">
        <is>
          <t>Apoio às equipes</t>
        </is>
      </c>
      <c r="G3095" t="inlineStr"/>
      <c r="H3095" t="inlineStr"/>
      <c r="I3095" t="inlineStr"/>
      <c r="J3095" t="inlineStr">
        <is>
          <t>Apoio</t>
        </is>
      </c>
      <c r="K3095" t="inlineStr">
        <is>
          <t>Planejamento</t>
        </is>
      </c>
      <c r="L3095" t="inlineStr">
        <is>
          <t>PDS manual 2026-06-24</t>
        </is>
      </c>
    </row>
    <row r="3096">
      <c r="A3096" t="inlineStr">
        <is>
          <t>2026-06-24</t>
        </is>
      </c>
      <c r="B3096" t="inlineStr">
        <is>
          <t>Quarta</t>
        </is>
      </c>
      <c r="C3096" t="inlineStr">
        <is>
          <t>Vacal: CT Lourdes</t>
        </is>
      </c>
      <c r="D3096" t="inlineStr"/>
      <c r="E3096" t="inlineStr">
        <is>
          <t>Henko</t>
        </is>
      </c>
      <c r="F3096" t="inlineStr">
        <is>
          <t>Apoio às equipes</t>
        </is>
      </c>
      <c r="G3096" t="inlineStr"/>
      <c r="H3096" t="inlineStr"/>
      <c r="I3096" t="inlineStr"/>
      <c r="J3096" t="inlineStr">
        <is>
          <t>Apoio</t>
        </is>
      </c>
      <c r="K3096" t="inlineStr">
        <is>
          <t>Planejamento</t>
        </is>
      </c>
      <c r="L3096" t="inlineStr">
        <is>
          <t>PDS manual 2026-06-24</t>
        </is>
      </c>
    </row>
    <row r="3097">
      <c r="A3097" t="inlineStr">
        <is>
          <t>2026-06-24</t>
        </is>
      </c>
      <c r="B3097" t="inlineStr">
        <is>
          <t>Quarta</t>
        </is>
      </c>
      <c r="C3097" t="inlineStr">
        <is>
          <t>Vacal: CT Lourdes</t>
        </is>
      </c>
      <c r="D3097" t="inlineStr"/>
      <c r="E3097" t="inlineStr">
        <is>
          <t>Henko</t>
        </is>
      </c>
      <c r="F3097" t="inlineStr">
        <is>
          <t>Apoio às equipes</t>
        </is>
      </c>
      <c r="G3097" t="inlineStr"/>
      <c r="H3097" t="inlineStr"/>
      <c r="I3097" t="inlineStr"/>
      <c r="J3097" t="inlineStr">
        <is>
          <t>Apoio</t>
        </is>
      </c>
      <c r="K3097" t="inlineStr">
        <is>
          <t>Planejamento</t>
        </is>
      </c>
      <c r="L3097" t="inlineStr">
        <is>
          <t>PDS manual 2026-06-24</t>
        </is>
      </c>
    </row>
    <row r="3098">
      <c r="A3098" t="inlineStr">
        <is>
          <t>2026-06-24</t>
        </is>
      </c>
      <c r="B3098" t="inlineStr">
        <is>
          <t>Quarta</t>
        </is>
      </c>
      <c r="C3098" t="inlineStr">
        <is>
          <t>Guindauto</t>
        </is>
      </c>
      <c r="D3098" t="inlineStr"/>
      <c r="E3098" t="inlineStr">
        <is>
          <t>Marcio</t>
        </is>
      </c>
      <c r="F3098" t="inlineStr">
        <is>
          <t>Apoio as equipes</t>
        </is>
      </c>
      <c r="G3098" t="inlineStr"/>
      <c r="H3098" t="inlineStr"/>
      <c r="I3098" t="inlineStr"/>
      <c r="J3098" t="inlineStr">
        <is>
          <t>Apoio</t>
        </is>
      </c>
      <c r="K3098" t="inlineStr">
        <is>
          <t>Planejamento</t>
        </is>
      </c>
      <c r="L3098" t="inlineStr">
        <is>
          <t>PDS manual 2026-06-24</t>
        </is>
      </c>
    </row>
    <row r="3099">
      <c r="A3099" t="inlineStr">
        <is>
          <t>2026-06-24</t>
        </is>
      </c>
      <c r="B3099" t="inlineStr">
        <is>
          <t>Quarta</t>
        </is>
      </c>
      <c r="C3099" t="inlineStr">
        <is>
          <t>Guindauto</t>
        </is>
      </c>
      <c r="D3099" t="inlineStr"/>
      <c r="E3099" t="inlineStr">
        <is>
          <t>Luiz</t>
        </is>
      </c>
      <c r="F3099" t="inlineStr">
        <is>
          <t>Apoio as equipes</t>
        </is>
      </c>
      <c r="G3099" t="inlineStr"/>
      <c r="H3099" t="inlineStr"/>
      <c r="I3099" t="inlineStr"/>
      <c r="J3099" t="inlineStr">
        <is>
          <t>Apoio</t>
        </is>
      </c>
      <c r="K3099" t="inlineStr">
        <is>
          <t>Planejamento</t>
        </is>
      </c>
      <c r="L3099" t="inlineStr">
        <is>
          <t>PDS manual 2026-06-24</t>
        </is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2026-06-24T17:21:52Z</dcterms:modified>
  <cp:lastModifiedBy>Cleulton Marcio Goncalves Freire</cp:lastModifiedBy>
</cp:coreProperties>
</file>