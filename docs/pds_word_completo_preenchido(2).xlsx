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name="PDS_Lancamentos" sheetId="1" state="visible" r:id="rId1"/>
    <sheet name="Resumo" sheetId="2" state="visible" r:id="rId2"/>
    <sheet name="Base_Enderecos" sheetId="3" state="visible" r:id="rId3"/>
    <sheet name="Parametros_Relatorio" sheetId="4" state="visible" r:id="rId4"/>
    <sheet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861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E2503" t="inlineStr">
        <is>
          <t>Vacal</t>
        </is>
      </c>
      <c r="F2503" t="inlineStr">
        <is>
          <t>João Canzi – Renasce</t>
        </is>
      </c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E2504" t="inlineStr">
        <is>
          <t>Vacal</t>
        </is>
      </c>
      <c r="F2504" t="inlineStr">
        <is>
          <t>João Canzi – Henko</t>
        </is>
      </c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E2505" t="inlineStr">
        <is>
          <t>Vacal</t>
        </is>
      </c>
      <c r="F2505" t="inlineStr">
        <is>
          <t>Lourdes - Hidrosol</t>
        </is>
      </c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E2506" t="inlineStr">
        <is>
          <t>Vacal</t>
        </is>
      </c>
      <c r="F2506" t="inlineStr">
        <is>
          <t>Lourdes – Henko</t>
        </is>
      </c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E2507" t="inlineStr">
        <is>
          <t>Guindauto</t>
        </is>
      </c>
      <c r="F2507" t="inlineStr">
        <is>
          <t>Marcio - Apoio as equipes</t>
        </is>
      </c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E2508" t="inlineStr">
        <is>
          <t>Guindauto</t>
        </is>
      </c>
      <c r="F2508" t="inlineStr">
        <is>
          <t>Luiz Carlos - Apoio as equipes</t>
        </is>
      </c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  <row r="2509">
      <c r="A2509" s="36" t="n">
        <v>46162</v>
      </c>
      <c r="B2509" t="inlineStr">
        <is>
          <t>Quarta</t>
        </is>
      </c>
      <c r="C2509" t="inlineStr">
        <is>
          <t>CT João Canzi</t>
        </is>
      </c>
      <c r="D2509" t="inlineStr">
        <is>
          <t>Valmir</t>
        </is>
      </c>
      <c r="E2509" t="inlineStr">
        <is>
          <t>Goiânia Drill</t>
        </is>
      </c>
      <c r="F2509" t="inlineStr">
        <is>
          <t>Furo piloto e puxe do PV-10 ao PV-11</t>
        </is>
      </c>
      <c r="G2509" t="inlineStr">
        <is>
          <t>10</t>
        </is>
      </c>
      <c r="H2509" t="inlineStr">
        <is>
          <t>11</t>
        </is>
      </c>
      <c r="I2509" t="inlineStr">
        <is>
          <t>10 ao 11</t>
        </is>
      </c>
      <c r="J2509" t="inlineStr">
        <is>
          <t>HDD</t>
        </is>
      </c>
      <c r="K2509" t="inlineStr">
        <is>
          <t>Planejamento</t>
        </is>
      </c>
      <c r="L2509" t="inlineStr">
        <is>
          <t>PDS colado 2026-05-20</t>
        </is>
      </c>
      <c r="M2509">
        <f>IF($A2509="","",TEXT($A2509,"mmmm/yyyy"))</f>
        <v/>
      </c>
      <c r="P2509">
        <f>IFERROR(XLOOKUP($N2509,Base_Enderecos!$A:$A,Base_Enderecos!$B:$B,""),"")</f>
        <v/>
      </c>
      <c r="Q2509">
        <f>IFERROR(XLOOKUP($N2509,Base_Enderecos!$A:$A,Base_Enderecos!$C:$C,""),"")</f>
        <v/>
      </c>
      <c r="R2509">
        <f>IF(ISNUMBER(SEARCH("HDD",$F2509)),"HDD",IF(ISNUMBER(SEARCH("VCA",$F2509)),"VCA","MND"))</f>
        <v/>
      </c>
      <c r="T2509">
        <f>TEXT($A2509,"yyyy-mm")&amp;"|"&amp;$C2509&amp;"|"&amp;$I2509</f>
        <v/>
      </c>
    </row>
    <row r="2510">
      <c r="A2510" s="36" t="n">
        <v>46162</v>
      </c>
      <c r="B2510" t="inlineStr">
        <is>
          <t>Quarta</t>
        </is>
      </c>
      <c r="C2510" t="inlineStr">
        <is>
          <t>CT João Canzi</t>
        </is>
      </c>
      <c r="D2510" t="inlineStr">
        <is>
          <t>Valmir</t>
        </is>
      </c>
      <c r="E2510" t="inlineStr">
        <is>
          <t>Bruno</t>
        </is>
      </c>
      <c r="F2510" t="inlineStr">
        <is>
          <t>Apoio ao HDD</t>
        </is>
      </c>
      <c r="J2510" t="inlineStr">
        <is>
          <t>HDD</t>
        </is>
      </c>
      <c r="K2510" t="inlineStr">
        <is>
          <t>Planejamento</t>
        </is>
      </c>
      <c r="L2510" t="inlineStr">
        <is>
          <t>PDS colado 2026-05-20</t>
        </is>
      </c>
      <c r="M2510">
        <f>IF($A2510="","",TEXT($A2510,"mmmm/yyyy"))</f>
        <v/>
      </c>
      <c r="P2510">
        <f>IFERROR(XLOOKUP($N2510,Base_Enderecos!$A:$A,Base_Enderecos!$B:$B,""),"")</f>
        <v/>
      </c>
      <c r="Q2510">
        <f>IFERROR(XLOOKUP($N2510,Base_Enderecos!$A:$A,Base_Enderecos!$C:$C,""),"")</f>
        <v/>
      </c>
      <c r="R2510">
        <f>IF(ISNUMBER(SEARCH("HDD",$F2510)),"HDD",IF(ISNUMBER(SEARCH("VCA",$F2510)),"VCA","MND"))</f>
        <v/>
      </c>
      <c r="T2510">
        <f>TEXT($A2510,"yyyy-mm")&amp;"|"&amp;$C2510&amp;"|"&amp;$I2510</f>
        <v/>
      </c>
    </row>
    <row r="2511">
      <c r="A2511" s="36" t="n">
        <v>46162</v>
      </c>
      <c r="B2511" t="inlineStr">
        <is>
          <t>Quarta</t>
        </is>
      </c>
      <c r="C2511" t="inlineStr">
        <is>
          <t>CT João Canzi</t>
        </is>
      </c>
      <c r="D2511" t="inlineStr">
        <is>
          <t>Valmir</t>
        </is>
      </c>
      <c r="E2511" t="inlineStr">
        <is>
          <t>Valter</t>
        </is>
      </c>
      <c r="F2511" t="inlineStr">
        <is>
          <t>Shaft PV 01* (ELVIRA/JOÃO CANZI)</t>
        </is>
      </c>
      <c r="G2511" t="inlineStr">
        <is>
          <t>01</t>
        </is>
      </c>
      <c r="I2511" t="inlineStr">
        <is>
          <t>01</t>
        </is>
      </c>
      <c r="J2511" t="inlineStr">
        <is>
          <t>Shaft</t>
        </is>
      </c>
      <c r="K2511" t="inlineStr">
        <is>
          <t>Planejamento</t>
        </is>
      </c>
      <c r="L2511" t="inlineStr">
        <is>
          <t>PDS colado 2026-05-20</t>
        </is>
      </c>
      <c r="M2511">
        <f>IF($A2511="","",TEXT($A2511,"mmmm/yyyy"))</f>
        <v/>
      </c>
      <c r="P2511">
        <f>IFERROR(XLOOKUP($N2511,Base_Enderecos!$A:$A,Base_Enderecos!$B:$B,""),"")</f>
        <v/>
      </c>
      <c r="Q2511">
        <f>IFERROR(XLOOKUP($N2511,Base_Enderecos!$A:$A,Base_Enderecos!$C:$C,""),"")</f>
        <v/>
      </c>
      <c r="R2511">
        <f>IF(ISNUMBER(SEARCH("HDD",$F2511)),"HDD",IF(ISNUMBER(SEARCH("VCA",$F2511)),"VCA","MND"))</f>
        <v/>
      </c>
      <c r="T2511">
        <f>TEXT($A2511,"yyyy-mm")&amp;"|"&amp;$C2511&amp;"|"&amp;$I2511</f>
        <v/>
      </c>
    </row>
    <row r="2512">
      <c r="A2512" s="36" t="n">
        <v>46162</v>
      </c>
      <c r="B2512" t="inlineStr">
        <is>
          <t>Quarta</t>
        </is>
      </c>
      <c r="C2512" t="inlineStr">
        <is>
          <t>CT João Canzi</t>
        </is>
      </c>
      <c r="D2512" t="inlineStr">
        <is>
          <t>Valmir</t>
        </is>
      </c>
      <c r="E2512" t="inlineStr">
        <is>
          <t>Marcelo</t>
        </is>
      </c>
      <c r="F2512" t="inlineStr">
        <is>
          <t>Transformação PV 08</t>
        </is>
      </c>
      <c r="G2512" t="inlineStr">
        <is>
          <t>08</t>
        </is>
      </c>
      <c r="I2512" t="inlineStr">
        <is>
          <t>08</t>
        </is>
      </c>
      <c r="J2512" t="inlineStr">
        <is>
          <t>Transformação</t>
        </is>
      </c>
      <c r="K2512" t="inlineStr">
        <is>
          <t>Planejamento</t>
        </is>
      </c>
      <c r="L2512" t="inlineStr">
        <is>
          <t>PDS colado 2026-05-20</t>
        </is>
      </c>
      <c r="M2512">
        <f>IF($A2512="","",TEXT($A2512,"mmmm/yyyy"))</f>
        <v/>
      </c>
      <c r="P2512">
        <f>IFERROR(XLOOKUP($N2512,Base_Enderecos!$A:$A,Base_Enderecos!$B:$B,""),"")</f>
        <v/>
      </c>
      <c r="Q2512">
        <f>IFERROR(XLOOKUP($N2512,Base_Enderecos!$A:$A,Base_Enderecos!$C:$C,""),"")</f>
        <v/>
      </c>
      <c r="R2512">
        <f>IF(ISNUMBER(SEARCH("HDD",$F2512)),"HDD",IF(ISNUMBER(SEARCH("VCA",$F2512)),"VCA","MND"))</f>
        <v/>
      </c>
      <c r="T2512">
        <f>TEXT($A2512,"yyyy-mm")&amp;"|"&amp;$C2512&amp;"|"&amp;$I2512</f>
        <v/>
      </c>
    </row>
    <row r="2513">
      <c r="A2513" s="36" t="n">
        <v>46162</v>
      </c>
      <c r="B2513" t="inlineStr">
        <is>
          <t>Quarta</t>
        </is>
      </c>
      <c r="C2513" t="inlineStr">
        <is>
          <t>RCE São Lucas</t>
        </is>
      </c>
      <c r="D2513" t="inlineStr">
        <is>
          <t>Fábio (RCE Rua São João)</t>
        </is>
      </c>
      <c r="E2513" t="inlineStr">
        <is>
          <t>Ricardo</t>
        </is>
      </c>
      <c r="F2513" t="inlineStr">
        <is>
          <t>VCA, PVs e Ligações</t>
        </is>
      </c>
      <c r="G2513" t="inlineStr">
        <is>
          <t>07</t>
        </is>
      </c>
      <c r="H2513" t="inlineStr">
        <is>
          <t>08</t>
        </is>
      </c>
      <c r="I2513" t="inlineStr">
        <is>
          <t>07 ao 08</t>
        </is>
      </c>
      <c r="J2513" t="inlineStr">
        <is>
          <t>VCA</t>
        </is>
      </c>
      <c r="K2513" t="inlineStr">
        <is>
          <t>Planejamento</t>
        </is>
      </c>
      <c r="L2513" t="inlineStr">
        <is>
          <t>PDS colado 2026-05-20</t>
        </is>
      </c>
      <c r="M2513">
        <f>IF($A2513="","",TEXT($A2513,"mmmm/yyyy"))</f>
        <v/>
      </c>
      <c r="P2513">
        <f>IFERROR(XLOOKUP($N2513,Base_Enderecos!$A:$A,Base_Enderecos!$B:$B,""),"")</f>
        <v/>
      </c>
      <c r="Q2513">
        <f>IFERROR(XLOOKUP($N2513,Base_Enderecos!$A:$A,Base_Enderecos!$C:$C,""),"")</f>
        <v/>
      </c>
      <c r="R2513">
        <f>IF(ISNUMBER(SEARCH("HDD",$F2513)),"HDD",IF(ISNUMBER(SEARCH("VCA",$F2513)),"VCA","MND"))</f>
        <v/>
      </c>
      <c r="T2513">
        <f>TEXT($A2513,"yyyy-mm")&amp;"|"&amp;$C2513&amp;"|"&amp;$I2513</f>
        <v/>
      </c>
    </row>
    <row r="2514">
      <c r="A2514" s="36" t="n">
        <v>46162</v>
      </c>
      <c r="B2514" t="inlineStr">
        <is>
          <t>Quarta</t>
        </is>
      </c>
      <c r="C2514" t="inlineStr">
        <is>
          <t>RCE São Lucas</t>
        </is>
      </c>
      <c r="D2514" t="inlineStr">
        <is>
          <t>Fábio (RCE Rua São João)</t>
        </is>
      </c>
      <c r="E2514" t="inlineStr">
        <is>
          <t>Claudinei</t>
        </is>
      </c>
      <c r="F2514" t="inlineStr">
        <is>
          <t>VCA, PVs e Ligações</t>
        </is>
      </c>
      <c r="G2514" t="inlineStr">
        <is>
          <t>39</t>
        </is>
      </c>
      <c r="H2514" t="inlineStr">
        <is>
          <t>40</t>
        </is>
      </c>
      <c r="I2514" t="inlineStr">
        <is>
          <t>39 ao 40</t>
        </is>
      </c>
      <c r="J2514" t="inlineStr">
        <is>
          <t>VCA</t>
        </is>
      </c>
      <c r="K2514" t="inlineStr">
        <is>
          <t>Planejamento</t>
        </is>
      </c>
      <c r="L2514" t="inlineStr">
        <is>
          <t>PDS colado 2026-05-20</t>
        </is>
      </c>
      <c r="M2514">
        <f>IF($A2514="","",TEXT($A2514,"mmmm/yyyy"))</f>
        <v/>
      </c>
      <c r="P2514">
        <f>IFERROR(XLOOKUP($N2514,Base_Enderecos!$A:$A,Base_Enderecos!$B:$B,""),"")</f>
        <v/>
      </c>
      <c r="Q2514">
        <f>IFERROR(XLOOKUP($N2514,Base_Enderecos!$A:$A,Base_Enderecos!$C:$C,""),"")</f>
        <v/>
      </c>
      <c r="R2514">
        <f>IF(ISNUMBER(SEARCH("HDD",$F2514)),"HDD",IF(ISNUMBER(SEARCH("VCA",$F2514)),"VCA","MND"))</f>
        <v/>
      </c>
      <c r="T2514">
        <f>TEXT($A2514,"yyyy-mm")&amp;"|"&amp;$C2514&amp;"|"&amp;$I2514</f>
        <v/>
      </c>
    </row>
    <row r="2515">
      <c r="A2515" s="36" t="n">
        <v>46162</v>
      </c>
      <c r="B2515" t="inlineStr">
        <is>
          <t>Quarta</t>
        </is>
      </c>
      <c r="C2515" t="inlineStr">
        <is>
          <t>RCE São Lucas</t>
        </is>
      </c>
      <c r="D2515" t="inlineStr">
        <is>
          <t>Fábio (RCE Rua São João)</t>
        </is>
      </c>
      <c r="E2515" t="inlineStr">
        <is>
          <t>Antonio</t>
        </is>
      </c>
      <c r="F2515" t="inlineStr">
        <is>
          <t>VCA, PVs e Ligações</t>
        </is>
      </c>
      <c r="G2515" t="inlineStr">
        <is>
          <t>07</t>
        </is>
      </c>
      <c r="H2515" t="inlineStr">
        <is>
          <t>08</t>
        </is>
      </c>
      <c r="I2515" t="inlineStr">
        <is>
          <t>07 ao 08</t>
        </is>
      </c>
      <c r="J2515" t="inlineStr">
        <is>
          <t>VCA</t>
        </is>
      </c>
      <c r="K2515" t="inlineStr">
        <is>
          <t>Planejamento</t>
        </is>
      </c>
      <c r="L2515" t="inlineStr">
        <is>
          <t>PDS colado 2026-05-20</t>
        </is>
      </c>
      <c r="M2515">
        <f>IF($A2515="","",TEXT($A2515,"mmmm/yyyy"))</f>
        <v/>
      </c>
      <c r="P2515">
        <f>IFERROR(XLOOKUP($N2515,Base_Enderecos!$A:$A,Base_Enderecos!$B:$B,""),"")</f>
        <v/>
      </c>
      <c r="Q2515">
        <f>IFERROR(XLOOKUP($N2515,Base_Enderecos!$A:$A,Base_Enderecos!$C:$C,""),"")</f>
        <v/>
      </c>
      <c r="R2515">
        <f>IF(ISNUMBER(SEARCH("HDD",$F2515)),"HDD",IF(ISNUMBER(SEARCH("VCA",$F2515)),"VCA","MND"))</f>
        <v/>
      </c>
      <c r="T2515">
        <f>TEXT($A2515,"yyyy-mm")&amp;"|"&amp;$C2515&amp;"|"&amp;$I2515</f>
        <v/>
      </c>
    </row>
    <row r="2516">
      <c r="A2516" s="36" t="n">
        <v>46162</v>
      </c>
      <c r="B2516" t="inlineStr">
        <is>
          <t>Quarta</t>
        </is>
      </c>
      <c r="C2516" t="inlineStr">
        <is>
          <t>RCE São Lucas</t>
        </is>
      </c>
      <c r="D2516" t="inlineStr">
        <is>
          <t>Fábio (RCE Rua São João)</t>
        </is>
      </c>
      <c r="E2516" t="inlineStr">
        <is>
          <t>Emanuel GO-01</t>
        </is>
      </c>
      <c r="F2516" t="inlineStr">
        <is>
          <t>VCA, PVs e Ligações</t>
        </is>
      </c>
      <c r="G2516" t="inlineStr">
        <is>
          <t>29</t>
        </is>
      </c>
      <c r="H2516" t="inlineStr">
        <is>
          <t>30</t>
        </is>
      </c>
      <c r="I2516" t="inlineStr">
        <is>
          <t>29 ao 30</t>
        </is>
      </c>
      <c r="J2516" t="inlineStr">
        <is>
          <t>VCA</t>
        </is>
      </c>
      <c r="K2516" t="inlineStr">
        <is>
          <t>Planejamento</t>
        </is>
      </c>
      <c r="L2516" t="inlineStr">
        <is>
          <t>PDS colado 2026-05-20</t>
        </is>
      </c>
      <c r="M2516">
        <f>IF($A2516="","",TEXT($A2516,"mmmm/yyyy"))</f>
        <v/>
      </c>
      <c r="P2516">
        <f>IFERROR(XLOOKUP($N2516,Base_Enderecos!$A:$A,Base_Enderecos!$B:$B,""),"")</f>
        <v/>
      </c>
      <c r="Q2516">
        <f>IFERROR(XLOOKUP($N2516,Base_Enderecos!$A:$A,Base_Enderecos!$C:$C,""),"")</f>
        <v/>
      </c>
      <c r="R2516">
        <f>IF(ISNUMBER(SEARCH("HDD",$F2516)),"HDD",IF(ISNUMBER(SEARCH("VCA",$F2516)),"VCA","MND"))</f>
        <v/>
      </c>
      <c r="T2516">
        <f>TEXT($A2516,"yyyy-mm")&amp;"|"&amp;$C2516&amp;"|"&amp;$I2516</f>
        <v/>
      </c>
    </row>
    <row r="2517">
      <c r="A2517" s="36" t="n">
        <v>46162</v>
      </c>
      <c r="B2517" t="inlineStr">
        <is>
          <t>Quarta</t>
        </is>
      </c>
      <c r="C2517" t="inlineStr">
        <is>
          <t>RCE São Lucas</t>
        </is>
      </c>
      <c r="D2517" t="inlineStr">
        <is>
          <t>Fábio (RCE Rua São João)</t>
        </is>
      </c>
      <c r="E2517" t="inlineStr">
        <is>
          <t>Miro GO-02</t>
        </is>
      </c>
      <c r="F2517" t="inlineStr">
        <is>
          <t>VCA, PVs e Ligações</t>
        </is>
      </c>
      <c r="G2517" t="inlineStr">
        <is>
          <t>29</t>
        </is>
      </c>
      <c r="H2517" t="inlineStr">
        <is>
          <t>30</t>
        </is>
      </c>
      <c r="I2517" t="inlineStr">
        <is>
          <t>29 ao 30</t>
        </is>
      </c>
      <c r="J2517" t="inlineStr">
        <is>
          <t>VCA</t>
        </is>
      </c>
      <c r="K2517" t="inlineStr">
        <is>
          <t>Planejamento</t>
        </is>
      </c>
      <c r="L2517" t="inlineStr">
        <is>
          <t>PDS colado 2026-05-20</t>
        </is>
      </c>
      <c r="M2517">
        <f>IF($A2517="","",TEXT($A2517,"mmmm/yyyy"))</f>
        <v/>
      </c>
      <c r="P2517">
        <f>IFERROR(XLOOKUP($N2517,Base_Enderecos!$A:$A,Base_Enderecos!$B:$B,""),"")</f>
        <v/>
      </c>
      <c r="Q2517">
        <f>IFERROR(XLOOKUP($N2517,Base_Enderecos!$A:$A,Base_Enderecos!$C:$C,""),"")</f>
        <v/>
      </c>
      <c r="R2517">
        <f>IF(ISNUMBER(SEARCH("HDD",$F2517)),"HDD",IF(ISNUMBER(SEARCH("VCA",$F2517)),"VCA","MND"))</f>
        <v/>
      </c>
      <c r="T2517">
        <f>TEXT($A2517,"yyyy-mm")&amp;"|"&amp;$C2517&amp;"|"&amp;$I2517</f>
        <v/>
      </c>
    </row>
    <row r="2518">
      <c r="A2518" s="36" t="n">
        <v>46162</v>
      </c>
      <c r="B2518" t="inlineStr">
        <is>
          <t>Quarta</t>
        </is>
      </c>
      <c r="C2518" t="inlineStr">
        <is>
          <t>CTS Lourdes Complementar</t>
        </is>
      </c>
      <c r="D2518" t="inlineStr">
        <is>
          <t>Robson</t>
        </is>
      </c>
      <c r="E2518" t="inlineStr">
        <is>
          <t>GR Drill</t>
        </is>
      </c>
      <c r="F2518" t="inlineStr">
        <is>
          <t>Furo Piloto PV 02 ao PV 04</t>
        </is>
      </c>
      <c r="G2518" t="inlineStr">
        <is>
          <t>02</t>
        </is>
      </c>
      <c r="H2518" t="inlineStr">
        <is>
          <t>04</t>
        </is>
      </c>
      <c r="I2518" t="inlineStr">
        <is>
          <t>02 ao 04</t>
        </is>
      </c>
      <c r="J2518" t="inlineStr">
        <is>
          <t>HDD</t>
        </is>
      </c>
      <c r="K2518" t="inlineStr">
        <is>
          <t>Planejamento</t>
        </is>
      </c>
      <c r="L2518" t="inlineStr">
        <is>
          <t>PDS colado 2026-05-20</t>
        </is>
      </c>
      <c r="M2518">
        <f>IF($A2518="","",TEXT($A2518,"mmmm/yyyy"))</f>
        <v/>
      </c>
      <c r="P2518">
        <f>IFERROR(XLOOKUP($N2518,Base_Enderecos!$A:$A,Base_Enderecos!$B:$B,""),"")</f>
        <v/>
      </c>
      <c r="Q2518">
        <f>IFERROR(XLOOKUP($N2518,Base_Enderecos!$A:$A,Base_Enderecos!$C:$C,""),"")</f>
        <v/>
      </c>
      <c r="R2518">
        <f>IF(ISNUMBER(SEARCH("HDD",$F2518)),"HDD",IF(ISNUMBER(SEARCH("VCA",$F2518)),"VCA","MND"))</f>
        <v/>
      </c>
      <c r="T2518">
        <f>TEXT($A2518,"yyyy-mm")&amp;"|"&amp;$C2518&amp;"|"&amp;$I2518</f>
        <v/>
      </c>
    </row>
    <row r="2519">
      <c r="A2519" s="36" t="n">
        <v>46162</v>
      </c>
      <c r="B2519" t="inlineStr">
        <is>
          <t>Quarta</t>
        </is>
      </c>
      <c r="C2519" t="inlineStr">
        <is>
          <t>CTS Lourdes Complementar</t>
        </is>
      </c>
      <c r="D2519" t="inlineStr">
        <is>
          <t>Robson</t>
        </is>
      </c>
      <c r="E2519" t="inlineStr">
        <is>
          <t>Medeiros</t>
        </is>
      </c>
      <c r="F2519" t="inlineStr">
        <is>
          <t>Apoio HDD</t>
        </is>
      </c>
      <c r="J2519" t="inlineStr">
        <is>
          <t>HDD</t>
        </is>
      </c>
      <c r="K2519" t="inlineStr">
        <is>
          <t>Planejamento</t>
        </is>
      </c>
      <c r="L2519" t="inlineStr">
        <is>
          <t>PDS colado 2026-05-20</t>
        </is>
      </c>
      <c r="M2519">
        <f>IF($A2519="","",TEXT($A2519,"mmmm/yyyy"))</f>
        <v/>
      </c>
      <c r="P2519">
        <f>IFERROR(XLOOKUP($N2519,Base_Enderecos!$A:$A,Base_Enderecos!$B:$B,""),"")</f>
        <v/>
      </c>
      <c r="Q2519">
        <f>IFERROR(XLOOKUP($N2519,Base_Enderecos!$A:$A,Base_Enderecos!$C:$C,""),"")</f>
        <v/>
      </c>
      <c r="R2519">
        <f>IF(ISNUMBER(SEARCH("HDD",$F2519)),"HDD",IF(ISNUMBER(SEARCH("VCA",$F2519)),"VCA","MND"))</f>
        <v/>
      </c>
      <c r="T2519">
        <f>TEXT($A2519,"yyyy-mm")&amp;"|"&amp;$C2519&amp;"|"&amp;$I2519</f>
        <v/>
      </c>
    </row>
    <row r="2520">
      <c r="A2520" s="36" t="n">
        <v>46162</v>
      </c>
      <c r="B2520" t="inlineStr">
        <is>
          <t>Quarta</t>
        </is>
      </c>
      <c r="C2520" t="inlineStr">
        <is>
          <t>CTS Lourdes Complementar</t>
        </is>
      </c>
      <c r="D2520" t="inlineStr">
        <is>
          <t>Robson</t>
        </is>
      </c>
      <c r="E2520" t="inlineStr">
        <is>
          <t>Cesar</t>
        </is>
      </c>
      <c r="F2520" t="inlineStr">
        <is>
          <t>Transformação e interligação PV 01</t>
        </is>
      </c>
      <c r="G2520" t="inlineStr">
        <is>
          <t>01</t>
        </is>
      </c>
      <c r="I2520" t="inlineStr">
        <is>
          <t>01</t>
        </is>
      </c>
      <c r="J2520" t="inlineStr">
        <is>
          <t>Transformação</t>
        </is>
      </c>
      <c r="K2520" t="inlineStr">
        <is>
          <t>Planejamento</t>
        </is>
      </c>
      <c r="L2520" t="inlineStr">
        <is>
          <t>PDS colado 2026-05-20</t>
        </is>
      </c>
      <c r="M2520">
        <f>IF($A2520="","",TEXT($A2520,"mmmm/yyyy"))</f>
        <v/>
      </c>
      <c r="P2520">
        <f>IFERROR(XLOOKUP($N2520,Base_Enderecos!$A:$A,Base_Enderecos!$B:$B,""),"")</f>
        <v/>
      </c>
      <c r="Q2520">
        <f>IFERROR(XLOOKUP($N2520,Base_Enderecos!$A:$A,Base_Enderecos!$C:$C,""),"")</f>
        <v/>
      </c>
      <c r="R2520">
        <f>IF(ISNUMBER(SEARCH("HDD",$F2520)),"HDD",IF(ISNUMBER(SEARCH("VCA",$F2520)),"VCA","MND"))</f>
        <v/>
      </c>
      <c r="T2520">
        <f>TEXT($A2520,"yyyy-mm")&amp;"|"&amp;$C2520&amp;"|"&amp;$I2520</f>
        <v/>
      </c>
    </row>
    <row r="2521">
      <c r="A2521" s="36" t="n">
        <v>46162</v>
      </c>
      <c r="B2521" t="inlineStr">
        <is>
          <t>Quarta</t>
        </is>
      </c>
      <c r="C2521" t="inlineStr">
        <is>
          <t>CTS Lourdes Complementar</t>
        </is>
      </c>
      <c r="D2521" t="inlineStr">
        <is>
          <t>Robson</t>
        </is>
      </c>
      <c r="E2521" t="inlineStr">
        <is>
          <t>Marcio</t>
        </is>
      </c>
      <c r="F2521" t="inlineStr">
        <is>
          <t>Shaft PV 04</t>
        </is>
      </c>
      <c r="G2521" t="inlineStr">
        <is>
          <t>04</t>
        </is>
      </c>
      <c r="I2521" t="inlineStr">
        <is>
          <t>04</t>
        </is>
      </c>
      <c r="J2521" t="inlineStr">
        <is>
          <t>Shaft</t>
        </is>
      </c>
      <c r="K2521" t="inlineStr">
        <is>
          <t>Planejamento</t>
        </is>
      </c>
      <c r="L2521" t="inlineStr">
        <is>
          <t>PDS colado 2026-05-20</t>
        </is>
      </c>
      <c r="M2521">
        <f>IF($A2521="","",TEXT($A2521,"mmmm/yyyy"))</f>
        <v/>
      </c>
      <c r="P2521">
        <f>IFERROR(XLOOKUP($N2521,Base_Enderecos!$A:$A,Base_Enderecos!$B:$B,""),"")</f>
        <v/>
      </c>
      <c r="Q2521">
        <f>IFERROR(XLOOKUP($N2521,Base_Enderecos!$A:$A,Base_Enderecos!$C:$C,""),"")</f>
        <v/>
      </c>
      <c r="R2521">
        <f>IF(ISNUMBER(SEARCH("HDD",$F2521)),"HDD",IF(ISNUMBER(SEARCH("VCA",$F2521)),"VCA","MND"))</f>
        <v/>
      </c>
      <c r="T2521">
        <f>TEXT($A2521,"yyyy-mm")&amp;"|"&amp;$C2521&amp;"|"&amp;$I2521</f>
        <v/>
      </c>
    </row>
    <row r="2522">
      <c r="A2522" s="36" t="n">
        <v>46162</v>
      </c>
      <c r="B2522" t="inlineStr">
        <is>
          <t>Quarta</t>
        </is>
      </c>
      <c r="C2522" t="inlineStr">
        <is>
          <t>CTS Mar De Coral</t>
        </is>
      </c>
      <c r="D2522" t="inlineStr">
        <is>
          <t>Silvestre</t>
        </is>
      </c>
      <c r="E2522" t="inlineStr">
        <is>
          <t>Edvando</t>
        </is>
      </c>
      <c r="F2522" t="inlineStr">
        <is>
          <t>VCA Condomínio</t>
        </is>
      </c>
      <c r="J2522" t="inlineStr">
        <is>
          <t>VCA</t>
        </is>
      </c>
      <c r="K2522" t="inlineStr">
        <is>
          <t>Planejamento</t>
        </is>
      </c>
      <c r="L2522" t="inlineStr">
        <is>
          <t>PDS colado 2026-05-20</t>
        </is>
      </c>
      <c r="M2522">
        <f>IF($A2522="","",TEXT($A2522,"mmmm/yyyy"))</f>
        <v/>
      </c>
      <c r="P2522">
        <f>IFERROR(XLOOKUP($N2522,Base_Enderecos!$A:$A,Base_Enderecos!$B:$B,""),"")</f>
        <v/>
      </c>
      <c r="Q2522">
        <f>IFERROR(XLOOKUP($N2522,Base_Enderecos!$A:$A,Base_Enderecos!$C:$C,""),"")</f>
        <v/>
      </c>
      <c r="R2522">
        <f>IF(ISNUMBER(SEARCH("HDD",$F2522)),"HDD",IF(ISNUMBER(SEARCH("VCA",$F2522)),"VCA","MND"))</f>
        <v/>
      </c>
      <c r="T2522">
        <f>TEXT($A2522,"yyyy-mm")&amp;"|"&amp;$C2522&amp;"|"&amp;$I2522</f>
        <v/>
      </c>
    </row>
    <row r="2523">
      <c r="A2523" s="36" t="n">
        <v>46162</v>
      </c>
      <c r="B2523" t="inlineStr">
        <is>
          <t>Quarta</t>
        </is>
      </c>
      <c r="C2523" t="inlineStr">
        <is>
          <t>INT Arariba</t>
        </is>
      </c>
      <c r="D2523" t="inlineStr">
        <is>
          <t>Silvestre</t>
        </is>
      </c>
      <c r="E2523" t="inlineStr">
        <is>
          <t>Jhonatan</t>
        </is>
      </c>
      <c r="F2523" t="inlineStr">
        <is>
          <t>Recomposição Viela</t>
        </is>
      </c>
      <c r="J2523" t="inlineStr">
        <is>
          <t>Recomposição</t>
        </is>
      </c>
      <c r="K2523" t="inlineStr">
        <is>
          <t>Planejamento</t>
        </is>
      </c>
      <c r="L2523" t="inlineStr">
        <is>
          <t>PDS colado 2026-05-20</t>
        </is>
      </c>
      <c r="M2523">
        <f>IF($A2523="","",TEXT($A2523,"mmmm/yyyy"))</f>
        <v/>
      </c>
      <c r="P2523">
        <f>IFERROR(XLOOKUP($N2523,Base_Enderecos!$A:$A,Base_Enderecos!$B:$B,""),"")</f>
        <v/>
      </c>
      <c r="Q2523">
        <f>IFERROR(XLOOKUP($N2523,Base_Enderecos!$A:$A,Base_Enderecos!$C:$C,""),"")</f>
        <v/>
      </c>
      <c r="R2523">
        <f>IF(ISNUMBER(SEARCH("HDD",$F2523)),"HDD",IF(ISNUMBER(SEARCH("VCA",$F2523)),"VCA","MND"))</f>
        <v/>
      </c>
      <c r="T2523">
        <f>TEXT($A2523,"yyyy-mm")&amp;"|"&amp;$C2523&amp;"|"&amp;$I2523</f>
        <v/>
      </c>
    </row>
    <row r="2524">
      <c r="A2524" s="36" t="n">
        <v>46162</v>
      </c>
      <c r="B2524" t="inlineStr">
        <is>
          <t>Quarta</t>
        </is>
      </c>
      <c r="C2524" t="inlineStr">
        <is>
          <t>CTS Mar De Coral</t>
        </is>
      </c>
      <c r="D2524" t="inlineStr">
        <is>
          <t>Gabriel</t>
        </is>
      </c>
      <c r="E2524" t="inlineStr">
        <is>
          <t>Higor</t>
        </is>
      </c>
      <c r="F2524" t="inlineStr">
        <is>
          <t>Acabamento interno PVs</t>
        </is>
      </c>
      <c r="J2524" t="inlineStr">
        <is>
          <t>Acabamento</t>
        </is>
      </c>
      <c r="K2524" t="inlineStr">
        <is>
          <t>Planejamento</t>
        </is>
      </c>
      <c r="L2524" t="inlineStr">
        <is>
          <t>PDS colado 2026-05-20</t>
        </is>
      </c>
      <c r="M2524">
        <f>IF($A2524="","",TEXT($A2524,"mmmm/yyyy"))</f>
        <v/>
      </c>
      <c r="P2524">
        <f>IFERROR(XLOOKUP($N2524,Base_Enderecos!$A:$A,Base_Enderecos!$B:$B,""),"")</f>
        <v/>
      </c>
      <c r="Q2524">
        <f>IFERROR(XLOOKUP($N2524,Base_Enderecos!$A:$A,Base_Enderecos!$C:$C,""),"")</f>
        <v/>
      </c>
      <c r="R2524">
        <f>IF(ISNUMBER(SEARCH("HDD",$F2524)),"HDD",IF(ISNUMBER(SEARCH("VCA",$F2524)),"VCA","MND"))</f>
        <v/>
      </c>
      <c r="T2524">
        <f>TEXT($A2524,"yyyy-mm")&amp;"|"&amp;$C2524&amp;"|"&amp;$I2524</f>
        <v/>
      </c>
    </row>
    <row r="2525">
      <c r="A2525" s="36" t="n">
        <v>46162</v>
      </c>
      <c r="B2525" t="inlineStr">
        <is>
          <t>Quarta</t>
        </is>
      </c>
      <c r="C2525" t="inlineStr">
        <is>
          <t>CTS Mar De Coral</t>
        </is>
      </c>
      <c r="D2525" t="inlineStr">
        <is>
          <t>Gabriel</t>
        </is>
      </c>
      <c r="E2525" t="inlineStr">
        <is>
          <t>Cidão</t>
        </is>
      </c>
      <c r="F2525" t="inlineStr">
        <is>
          <t>Acabamento interno PVs</t>
        </is>
      </c>
      <c r="J2525" t="inlineStr">
        <is>
          <t>Acabamento</t>
        </is>
      </c>
      <c r="K2525" t="inlineStr">
        <is>
          <t>Planejamento</t>
        </is>
      </c>
      <c r="L2525" t="inlineStr">
        <is>
          <t>PDS colado 2026-05-20</t>
        </is>
      </c>
      <c r="M2525">
        <f>IF($A2525="","",TEXT($A2525,"mmmm/yyyy"))</f>
        <v/>
      </c>
      <c r="P2525">
        <f>IFERROR(XLOOKUP($N2525,Base_Enderecos!$A:$A,Base_Enderecos!$B:$B,""),"")</f>
        <v/>
      </c>
      <c r="Q2525">
        <f>IFERROR(XLOOKUP($N2525,Base_Enderecos!$A:$A,Base_Enderecos!$C:$C,""),"")</f>
        <v/>
      </c>
      <c r="R2525">
        <f>IF(ISNUMBER(SEARCH("HDD",$F2525)),"HDD",IF(ISNUMBER(SEARCH("VCA",$F2525)),"VCA","MND"))</f>
        <v/>
      </c>
      <c r="T2525">
        <f>TEXT($A2525,"yyyy-mm")&amp;"|"&amp;$C2525&amp;"|"&amp;$I2525</f>
        <v/>
      </c>
    </row>
    <row r="2526">
      <c r="A2526" s="36" t="n">
        <v>46162</v>
      </c>
      <c r="B2526" t="inlineStr">
        <is>
          <t>Quarta</t>
        </is>
      </c>
      <c r="C2526" t="inlineStr">
        <is>
          <t>João Canzi</t>
        </is>
      </c>
      <c r="E2526" t="inlineStr">
        <is>
          <t>Vacal</t>
        </is>
      </c>
      <c r="F2526" t="inlineStr">
        <is>
          <t>João Canzi – Renasce</t>
        </is>
      </c>
      <c r="J2526" t="inlineStr">
        <is>
          <t>Atividade</t>
        </is>
      </c>
      <c r="K2526" t="inlineStr">
        <is>
          <t>Apoio</t>
        </is>
      </c>
      <c r="L2526" t="inlineStr">
        <is>
          <t>PDS colado 2026-05-20</t>
        </is>
      </c>
      <c r="M2526">
        <f>IF($A2526="","",TEXT($A2526,"mmmm/yyyy"))</f>
        <v/>
      </c>
      <c r="P2526">
        <f>IFERROR(XLOOKUP($N2526,Base_Enderecos!$A:$A,Base_Enderecos!$B:$B,""),"")</f>
        <v/>
      </c>
      <c r="Q2526">
        <f>IFERROR(XLOOKUP($N2526,Base_Enderecos!$A:$A,Base_Enderecos!$C:$C,""),"")</f>
        <v/>
      </c>
      <c r="R2526">
        <f>IF(ISNUMBER(SEARCH("HDD",$F2526)),"HDD",IF(ISNUMBER(SEARCH("VCA",$F2526)),"VCA","MND"))</f>
        <v/>
      </c>
      <c r="T2526">
        <f>TEXT($A2526,"yyyy-mm")&amp;"|"&amp;$C2526&amp;"|"&amp;$I2526</f>
        <v/>
      </c>
    </row>
    <row r="2527">
      <c r="A2527" s="36" t="n">
        <v>46162</v>
      </c>
      <c r="B2527" t="inlineStr">
        <is>
          <t>Quarta</t>
        </is>
      </c>
      <c r="C2527" t="inlineStr">
        <is>
          <t>João Canzi</t>
        </is>
      </c>
      <c r="E2527" t="inlineStr">
        <is>
          <t>Vacal</t>
        </is>
      </c>
      <c r="F2527" t="inlineStr">
        <is>
          <t>João Canzi – Henko</t>
        </is>
      </c>
      <c r="J2527" t="inlineStr">
        <is>
          <t>Atividade</t>
        </is>
      </c>
      <c r="K2527" t="inlineStr">
        <is>
          <t>Apoio</t>
        </is>
      </c>
      <c r="L2527" t="inlineStr">
        <is>
          <t>PDS colado 2026-05-20</t>
        </is>
      </c>
      <c r="M2527">
        <f>IF($A2527="","",TEXT($A2527,"mmmm/yyyy"))</f>
        <v/>
      </c>
      <c r="P2527">
        <f>IFERROR(XLOOKUP($N2527,Base_Enderecos!$A:$A,Base_Enderecos!$B:$B,""),"")</f>
        <v/>
      </c>
      <c r="Q2527">
        <f>IFERROR(XLOOKUP($N2527,Base_Enderecos!$A:$A,Base_Enderecos!$C:$C,""),"")</f>
        <v/>
      </c>
      <c r="R2527">
        <f>IF(ISNUMBER(SEARCH("HDD",$F2527)),"HDD",IF(ISNUMBER(SEARCH("VCA",$F2527)),"VCA","MND"))</f>
        <v/>
      </c>
      <c r="T2527">
        <f>TEXT($A2527,"yyyy-mm")&amp;"|"&amp;$C2527&amp;"|"&amp;$I2527</f>
        <v/>
      </c>
    </row>
    <row r="2528">
      <c r="A2528" s="36" t="n">
        <v>46162</v>
      </c>
      <c r="B2528" t="inlineStr">
        <is>
          <t>Quarta</t>
        </is>
      </c>
      <c r="C2528" t="inlineStr">
        <is>
          <t>Lourdes</t>
        </is>
      </c>
      <c r="E2528" t="inlineStr">
        <is>
          <t>Vacal</t>
        </is>
      </c>
      <c r="F2528" t="inlineStr">
        <is>
          <t>Lourdes - Hidrosol</t>
        </is>
      </c>
      <c r="J2528" t="inlineStr">
        <is>
          <t>Atividade</t>
        </is>
      </c>
      <c r="K2528" t="inlineStr">
        <is>
          <t>Apoio</t>
        </is>
      </c>
      <c r="L2528" t="inlineStr">
        <is>
          <t>PDS colado 2026-05-20</t>
        </is>
      </c>
      <c r="M2528">
        <f>IF($A2528="","",TEXT($A2528,"mmmm/yyyy"))</f>
        <v/>
      </c>
      <c r="P2528">
        <f>IFERROR(XLOOKUP($N2528,Base_Enderecos!$A:$A,Base_Enderecos!$B:$B,""),"")</f>
        <v/>
      </c>
      <c r="Q2528">
        <f>IFERROR(XLOOKUP($N2528,Base_Enderecos!$A:$A,Base_Enderecos!$C:$C,""),"")</f>
        <v/>
      </c>
      <c r="R2528">
        <f>IF(ISNUMBER(SEARCH("HDD",$F2528)),"HDD",IF(ISNUMBER(SEARCH("VCA",$F2528)),"VCA","MND"))</f>
        <v/>
      </c>
      <c r="T2528">
        <f>TEXT($A2528,"yyyy-mm")&amp;"|"&amp;$C2528&amp;"|"&amp;$I2528</f>
        <v/>
      </c>
    </row>
    <row r="2529">
      <c r="A2529" s="36" t="n">
        <v>46162</v>
      </c>
      <c r="B2529" t="inlineStr">
        <is>
          <t>Quarta</t>
        </is>
      </c>
      <c r="C2529" t="inlineStr">
        <is>
          <t>Lourdes</t>
        </is>
      </c>
      <c r="E2529" t="inlineStr">
        <is>
          <t>Vacal</t>
        </is>
      </c>
      <c r="F2529" t="inlineStr">
        <is>
          <t>Lourdes – Henko</t>
        </is>
      </c>
      <c r="J2529" t="inlineStr">
        <is>
          <t>Atividade</t>
        </is>
      </c>
      <c r="K2529" t="inlineStr">
        <is>
          <t>Apoio</t>
        </is>
      </c>
      <c r="L2529" t="inlineStr">
        <is>
          <t>PDS colado 2026-05-20</t>
        </is>
      </c>
      <c r="M2529">
        <f>IF($A2529="","",TEXT($A2529,"mmmm/yyyy"))</f>
        <v/>
      </c>
      <c r="P2529">
        <f>IFERROR(XLOOKUP($N2529,Base_Enderecos!$A:$A,Base_Enderecos!$B:$B,""),"")</f>
        <v/>
      </c>
      <c r="Q2529">
        <f>IFERROR(XLOOKUP($N2529,Base_Enderecos!$A:$A,Base_Enderecos!$C:$C,""),"")</f>
        <v/>
      </c>
      <c r="R2529">
        <f>IF(ISNUMBER(SEARCH("HDD",$F2529)),"HDD",IF(ISNUMBER(SEARCH("VCA",$F2529)),"VCA","MND"))</f>
        <v/>
      </c>
      <c r="T2529">
        <f>TEXT($A2529,"yyyy-mm")&amp;"|"&amp;$C2529&amp;"|"&amp;$I2529</f>
        <v/>
      </c>
    </row>
    <row r="2530">
      <c r="A2530" s="36" t="n">
        <v>46162</v>
      </c>
      <c r="B2530" t="inlineStr">
        <is>
          <t>Quarta</t>
        </is>
      </c>
      <c r="C2530" t="inlineStr">
        <is>
          <t>Guindauto</t>
        </is>
      </c>
      <c r="E2530" t="inlineStr">
        <is>
          <t>Guindauto</t>
        </is>
      </c>
      <c r="F2530" t="inlineStr">
        <is>
          <t>Marcio - Apoio as equipes</t>
        </is>
      </c>
      <c r="J2530" t="inlineStr">
        <is>
          <t>Atividade</t>
        </is>
      </c>
      <c r="K2530" t="inlineStr">
        <is>
          <t>Apoio</t>
        </is>
      </c>
      <c r="L2530" t="inlineStr">
        <is>
          <t>PDS colado 2026-05-20</t>
        </is>
      </c>
      <c r="M2530">
        <f>IF($A2530="","",TEXT($A2530,"mmmm/yyyy"))</f>
        <v/>
      </c>
      <c r="P2530">
        <f>IFERROR(XLOOKUP($N2530,Base_Enderecos!$A:$A,Base_Enderecos!$B:$B,""),"")</f>
        <v/>
      </c>
      <c r="Q2530">
        <f>IFERROR(XLOOKUP($N2530,Base_Enderecos!$A:$A,Base_Enderecos!$C:$C,""),"")</f>
        <v/>
      </c>
      <c r="R2530">
        <f>IF(ISNUMBER(SEARCH("HDD",$F2530)),"HDD",IF(ISNUMBER(SEARCH("VCA",$F2530)),"VCA","MND"))</f>
        <v/>
      </c>
      <c r="T2530">
        <f>TEXT($A2530,"yyyy-mm")&amp;"|"&amp;$C2530&amp;"|"&amp;$I2530</f>
        <v/>
      </c>
    </row>
    <row r="2531">
      <c r="A2531" s="36" t="n">
        <v>46162</v>
      </c>
      <c r="B2531" t="inlineStr">
        <is>
          <t>Quarta</t>
        </is>
      </c>
      <c r="C2531" t="inlineStr">
        <is>
          <t>Guindauto</t>
        </is>
      </c>
      <c r="E2531" t="inlineStr">
        <is>
          <t>Guindauto</t>
        </is>
      </c>
      <c r="F2531" t="inlineStr">
        <is>
          <t>Luiz Carlos - Apoio as equipes</t>
        </is>
      </c>
      <c r="J2531" t="inlineStr">
        <is>
          <t>Atividade</t>
        </is>
      </c>
      <c r="K2531" t="inlineStr">
        <is>
          <t>Apoio</t>
        </is>
      </c>
      <c r="L2531" t="inlineStr">
        <is>
          <t>PDS colado 2026-05-20</t>
        </is>
      </c>
      <c r="M2531">
        <f>IF($A2531="","",TEXT($A2531,"mmmm/yyyy"))</f>
        <v/>
      </c>
      <c r="P2531">
        <f>IFERROR(XLOOKUP($N2531,Base_Enderecos!$A:$A,Base_Enderecos!$B:$B,""),"")</f>
        <v/>
      </c>
      <c r="Q2531">
        <f>IFERROR(XLOOKUP($N2531,Base_Enderecos!$A:$A,Base_Enderecos!$C:$C,""),"")</f>
        <v/>
      </c>
      <c r="R2531">
        <f>IF(ISNUMBER(SEARCH("HDD",$F2531)),"HDD",IF(ISNUMBER(SEARCH("VCA",$F2531)),"VCA","MND"))</f>
        <v/>
      </c>
      <c r="T2531">
        <f>TEXT($A2531,"yyyy-mm")&amp;"|"&amp;$C2531&amp;"|"&amp;$I2531</f>
        <v/>
      </c>
    </row>
    <row r="2532">
      <c r="A2532" s="36" t="n">
        <v>46163</v>
      </c>
      <c r="B2532" t="inlineStr">
        <is>
          <t>Quinta</t>
        </is>
      </c>
      <c r="C2532" t="inlineStr">
        <is>
          <t>CT João Canzi</t>
        </is>
      </c>
      <c r="D2532" t="inlineStr">
        <is>
          <t>Valmir</t>
        </is>
      </c>
      <c r="E2532" t="inlineStr">
        <is>
          <t>Goiânia Drill</t>
        </is>
      </c>
      <c r="F2532" t="inlineStr">
        <is>
          <t>Furo piloto e puxe do PV-13 ao PV-11</t>
        </is>
      </c>
      <c r="G2532" t="inlineStr">
        <is>
          <t>13</t>
        </is>
      </c>
      <c r="H2532" t="inlineStr">
        <is>
          <t>11</t>
        </is>
      </c>
      <c r="I2532" t="inlineStr">
        <is>
          <t>13 ao 11</t>
        </is>
      </c>
      <c r="J2532" t="inlineStr">
        <is>
          <t>HDD</t>
        </is>
      </c>
      <c r="K2532" t="inlineStr">
        <is>
          <t>Planejamento</t>
        </is>
      </c>
      <c r="L2532" t="inlineStr">
        <is>
          <t>PDS colado 2026-05-21</t>
        </is>
      </c>
      <c r="M2532">
        <f>IF($A2532="","",TEXT($A2532,"mmmm/yyyy"))</f>
        <v/>
      </c>
      <c r="P2532">
        <f>IFERROR(XLOOKUP($N2532,Base_Enderecos!$A:$A,Base_Enderecos!$B:$B,""),"")</f>
        <v/>
      </c>
      <c r="Q2532">
        <f>IFERROR(XLOOKUP($N2532,Base_Enderecos!$A:$A,Base_Enderecos!$C:$C,""),"")</f>
        <v/>
      </c>
      <c r="R2532">
        <f>IF(ISNUMBER(SEARCH("HDD",$F2532)),"HDD",IF(ISNUMBER(SEARCH("VCA",$F2532)),"VCA","MND"))</f>
        <v/>
      </c>
      <c r="T2532">
        <f>TEXT($A2532,"yyyy-mm")&amp;"|"&amp;$C2532&amp;"|"&amp;$I2532</f>
        <v/>
      </c>
    </row>
    <row r="2533">
      <c r="A2533" s="36" t="n">
        <v>46163</v>
      </c>
      <c r="B2533" t="inlineStr">
        <is>
          <t>Quinta</t>
        </is>
      </c>
      <c r="C2533" t="inlineStr">
        <is>
          <t>CT João Canzi</t>
        </is>
      </c>
      <c r="D2533" t="inlineStr">
        <is>
          <t>Valmir</t>
        </is>
      </c>
      <c r="E2533" t="inlineStr">
        <is>
          <t>Bruno</t>
        </is>
      </c>
      <c r="F2533" t="inlineStr">
        <is>
          <t>Apoio ao HDD</t>
        </is>
      </c>
      <c r="J2533" t="inlineStr">
        <is>
          <t>HDD</t>
        </is>
      </c>
      <c r="K2533" t="inlineStr">
        <is>
          <t>Planejamento</t>
        </is>
      </c>
      <c r="L2533" t="inlineStr">
        <is>
          <t>PDS colado 2026-05-21</t>
        </is>
      </c>
      <c r="M2533">
        <f>IF($A2533="","",TEXT($A2533,"mmmm/yyyy"))</f>
        <v/>
      </c>
      <c r="P2533">
        <f>IFERROR(XLOOKUP($N2533,Base_Enderecos!$A:$A,Base_Enderecos!$B:$B,""),"")</f>
        <v/>
      </c>
      <c r="Q2533">
        <f>IFERROR(XLOOKUP($N2533,Base_Enderecos!$A:$A,Base_Enderecos!$C:$C,""),"")</f>
        <v/>
      </c>
      <c r="R2533">
        <f>IF(ISNUMBER(SEARCH("HDD",$F2533)),"HDD",IF(ISNUMBER(SEARCH("VCA",$F2533)),"VCA","MND"))</f>
        <v/>
      </c>
      <c r="T2533">
        <f>TEXT($A2533,"yyyy-mm")&amp;"|"&amp;$C2533&amp;"|"&amp;$I2533</f>
        <v/>
      </c>
    </row>
    <row r="2534">
      <c r="A2534" s="36" t="n">
        <v>46163</v>
      </c>
      <c r="B2534" t="inlineStr">
        <is>
          <t>Quinta</t>
        </is>
      </c>
      <c r="C2534" t="inlineStr">
        <is>
          <t>CT João Canzi</t>
        </is>
      </c>
      <c r="D2534" t="inlineStr">
        <is>
          <t>Valmir</t>
        </is>
      </c>
      <c r="E2534" t="inlineStr">
        <is>
          <t>Valter</t>
        </is>
      </c>
      <c r="F2534" t="inlineStr">
        <is>
          <t>Shaft PV 01* (ELVIRA/JOÃO CANZI)</t>
        </is>
      </c>
      <c r="G2534" t="inlineStr">
        <is>
          <t>01</t>
        </is>
      </c>
      <c r="I2534" t="inlineStr">
        <is>
          <t>01</t>
        </is>
      </c>
      <c r="J2534" t="inlineStr">
        <is>
          <t>Shaft</t>
        </is>
      </c>
      <c r="K2534" t="inlineStr">
        <is>
          <t>Planejamento</t>
        </is>
      </c>
      <c r="L2534" t="inlineStr">
        <is>
          <t>PDS colado 2026-05-21</t>
        </is>
      </c>
      <c r="M2534">
        <f>IF($A2534="","",TEXT($A2534,"mmmm/yyyy"))</f>
        <v/>
      </c>
      <c r="P2534">
        <f>IFERROR(XLOOKUP($N2534,Base_Enderecos!$A:$A,Base_Enderecos!$B:$B,""),"")</f>
        <v/>
      </c>
      <c r="Q2534">
        <f>IFERROR(XLOOKUP($N2534,Base_Enderecos!$A:$A,Base_Enderecos!$C:$C,""),"")</f>
        <v/>
      </c>
      <c r="R2534">
        <f>IF(ISNUMBER(SEARCH("HDD",$F2534)),"HDD",IF(ISNUMBER(SEARCH("VCA",$F2534)),"VCA","MND"))</f>
        <v/>
      </c>
      <c r="T2534">
        <f>TEXT($A2534,"yyyy-mm")&amp;"|"&amp;$C2534&amp;"|"&amp;$I2534</f>
        <v/>
      </c>
    </row>
    <row r="2535">
      <c r="A2535" s="36" t="n">
        <v>46163</v>
      </c>
      <c r="B2535" t="inlineStr">
        <is>
          <t>Quinta</t>
        </is>
      </c>
      <c r="C2535" t="inlineStr">
        <is>
          <t>CT João Canzi</t>
        </is>
      </c>
      <c r="D2535" t="inlineStr">
        <is>
          <t>Valmir</t>
        </is>
      </c>
      <c r="E2535" t="inlineStr">
        <is>
          <t>Marcelo</t>
        </is>
      </c>
      <c r="F2535" t="inlineStr">
        <is>
          <t>Transformação PV 08</t>
        </is>
      </c>
      <c r="G2535" t="inlineStr">
        <is>
          <t>08</t>
        </is>
      </c>
      <c r="I2535" t="inlineStr">
        <is>
          <t>08</t>
        </is>
      </c>
      <c r="J2535" t="inlineStr">
        <is>
          <t>Transformação</t>
        </is>
      </c>
      <c r="K2535" t="inlineStr">
        <is>
          <t>Planejamento</t>
        </is>
      </c>
      <c r="L2535" t="inlineStr">
        <is>
          <t>PDS colado 2026-05-21</t>
        </is>
      </c>
      <c r="M2535">
        <f>IF($A2535="","",TEXT($A2535,"mmmm/yyyy"))</f>
        <v/>
      </c>
      <c r="P2535">
        <f>IFERROR(XLOOKUP($N2535,Base_Enderecos!$A:$A,Base_Enderecos!$B:$B,""),"")</f>
        <v/>
      </c>
      <c r="Q2535">
        <f>IFERROR(XLOOKUP($N2535,Base_Enderecos!$A:$A,Base_Enderecos!$C:$C,""),"")</f>
        <v/>
      </c>
      <c r="R2535">
        <f>IF(ISNUMBER(SEARCH("HDD",$F2535)),"HDD",IF(ISNUMBER(SEARCH("VCA",$F2535)),"VCA","MND"))</f>
        <v/>
      </c>
      <c r="T2535">
        <f>TEXT($A2535,"yyyy-mm")&amp;"|"&amp;$C2535&amp;"|"&amp;$I2535</f>
        <v/>
      </c>
    </row>
    <row r="2536">
      <c r="A2536" s="36" t="n">
        <v>46163</v>
      </c>
      <c r="B2536" t="inlineStr">
        <is>
          <t>Quinta</t>
        </is>
      </c>
      <c r="C2536" t="inlineStr">
        <is>
          <t>RCE São Lucas</t>
        </is>
      </c>
      <c r="D2536" t="inlineStr">
        <is>
          <t>Fábio (RCE Rua São João)</t>
        </is>
      </c>
      <c r="E2536" t="inlineStr">
        <is>
          <t>Ricardo</t>
        </is>
      </c>
      <c r="F2536" t="inlineStr">
        <is>
          <t>VCA, PVs e Ligações</t>
        </is>
      </c>
      <c r="G2536" t="inlineStr">
        <is>
          <t>07</t>
        </is>
      </c>
      <c r="H2536" t="inlineStr">
        <is>
          <t>08</t>
        </is>
      </c>
      <c r="I2536" t="inlineStr">
        <is>
          <t>07 ao 08</t>
        </is>
      </c>
      <c r="J2536" t="inlineStr">
        <is>
          <t>VCA</t>
        </is>
      </c>
      <c r="K2536" t="inlineStr">
        <is>
          <t>Planejamento</t>
        </is>
      </c>
      <c r="L2536" t="inlineStr">
        <is>
          <t>PDS colado 2026-05-21</t>
        </is>
      </c>
      <c r="M2536">
        <f>IF($A2536="","",TEXT($A2536,"mmmm/yyyy"))</f>
        <v/>
      </c>
      <c r="P2536">
        <f>IFERROR(XLOOKUP($N2536,Base_Enderecos!$A:$A,Base_Enderecos!$B:$B,""),"")</f>
        <v/>
      </c>
      <c r="Q2536">
        <f>IFERROR(XLOOKUP($N2536,Base_Enderecos!$A:$A,Base_Enderecos!$C:$C,""),"")</f>
        <v/>
      </c>
      <c r="R2536">
        <f>IF(ISNUMBER(SEARCH("HDD",$F2536)),"HDD",IF(ISNUMBER(SEARCH("VCA",$F2536)),"VCA","MND"))</f>
        <v/>
      </c>
      <c r="T2536">
        <f>TEXT($A2536,"yyyy-mm")&amp;"|"&amp;$C2536&amp;"|"&amp;$I2536</f>
        <v/>
      </c>
    </row>
    <row r="2537">
      <c r="A2537" s="36" t="n">
        <v>46163</v>
      </c>
      <c r="B2537" t="inlineStr">
        <is>
          <t>Quinta</t>
        </is>
      </c>
      <c r="C2537" t="inlineStr">
        <is>
          <t>RCE São Lucas</t>
        </is>
      </c>
      <c r="D2537" t="inlineStr">
        <is>
          <t>Fábio (RCE Rua São João)</t>
        </is>
      </c>
      <c r="E2537" t="inlineStr">
        <is>
          <t>Claudinei</t>
        </is>
      </c>
      <c r="F2537" t="inlineStr">
        <is>
          <t>VCA, PVs e Ligações</t>
        </is>
      </c>
      <c r="G2537" t="inlineStr">
        <is>
          <t>40</t>
        </is>
      </c>
      <c r="H2537" t="inlineStr">
        <is>
          <t>41</t>
        </is>
      </c>
      <c r="I2537" t="inlineStr">
        <is>
          <t>40 ao 41</t>
        </is>
      </c>
      <c r="J2537" t="inlineStr">
        <is>
          <t>VCA</t>
        </is>
      </c>
      <c r="K2537" t="inlineStr">
        <is>
          <t>Planejamento</t>
        </is>
      </c>
      <c r="L2537" t="inlineStr">
        <is>
          <t>PDS colado 2026-05-21</t>
        </is>
      </c>
      <c r="M2537">
        <f>IF($A2537="","",TEXT($A2537,"mmmm/yyyy"))</f>
        <v/>
      </c>
      <c r="P2537">
        <f>IFERROR(XLOOKUP($N2537,Base_Enderecos!$A:$A,Base_Enderecos!$B:$B,""),"")</f>
        <v/>
      </c>
      <c r="Q2537">
        <f>IFERROR(XLOOKUP($N2537,Base_Enderecos!$A:$A,Base_Enderecos!$C:$C,""),"")</f>
        <v/>
      </c>
      <c r="R2537">
        <f>IF(ISNUMBER(SEARCH("HDD",$F2537)),"HDD",IF(ISNUMBER(SEARCH("VCA",$F2537)),"VCA","MND"))</f>
        <v/>
      </c>
      <c r="T2537">
        <f>TEXT($A2537,"yyyy-mm")&amp;"|"&amp;$C2537&amp;"|"&amp;$I2537</f>
        <v/>
      </c>
    </row>
    <row r="2538">
      <c r="A2538" s="36" t="n">
        <v>46163</v>
      </c>
      <c r="B2538" t="inlineStr">
        <is>
          <t>Quinta</t>
        </is>
      </c>
      <c r="C2538" t="inlineStr">
        <is>
          <t>RCE São Lucas</t>
        </is>
      </c>
      <c r="D2538" t="inlineStr">
        <is>
          <t>Fábio (RCE Rua São João)</t>
        </is>
      </c>
      <c r="E2538" t="inlineStr">
        <is>
          <t>Antonio</t>
        </is>
      </c>
      <c r="F2538" t="inlineStr">
        <is>
          <t>VCA, PVs e Ligações</t>
        </is>
      </c>
      <c r="G2538" t="inlineStr">
        <is>
          <t>03</t>
        </is>
      </c>
      <c r="H2538" t="inlineStr">
        <is>
          <t>04</t>
        </is>
      </c>
      <c r="I2538" t="inlineStr">
        <is>
          <t>03 ao 04</t>
        </is>
      </c>
      <c r="J2538" t="inlineStr">
        <is>
          <t>VCA</t>
        </is>
      </c>
      <c r="K2538" t="inlineStr">
        <is>
          <t>Planejamento</t>
        </is>
      </c>
      <c r="L2538" t="inlineStr">
        <is>
          <t>PDS colado 2026-05-21</t>
        </is>
      </c>
      <c r="M2538">
        <f>IF($A2538="","",TEXT($A2538,"mmmm/yyyy"))</f>
        <v/>
      </c>
      <c r="P2538">
        <f>IFERROR(XLOOKUP($N2538,Base_Enderecos!$A:$A,Base_Enderecos!$B:$B,""),"")</f>
        <v/>
      </c>
      <c r="Q2538">
        <f>IFERROR(XLOOKUP($N2538,Base_Enderecos!$A:$A,Base_Enderecos!$C:$C,""),"")</f>
        <v/>
      </c>
      <c r="R2538">
        <f>IF(ISNUMBER(SEARCH("HDD",$F2538)),"HDD",IF(ISNUMBER(SEARCH("VCA",$F2538)),"VCA","MND"))</f>
        <v/>
      </c>
      <c r="T2538">
        <f>TEXT($A2538,"yyyy-mm")&amp;"|"&amp;$C2538&amp;"|"&amp;$I2538</f>
        <v/>
      </c>
    </row>
    <row r="2539">
      <c r="A2539" s="36" t="n">
        <v>46163</v>
      </c>
      <c r="B2539" t="inlineStr">
        <is>
          <t>Quinta</t>
        </is>
      </c>
      <c r="C2539" t="inlineStr">
        <is>
          <t>RCE São Lucas</t>
        </is>
      </c>
      <c r="D2539" t="inlineStr">
        <is>
          <t>Fábio (RCE Rua São João)</t>
        </is>
      </c>
      <c r="E2539" t="inlineStr">
        <is>
          <t>Emanuel GO-01</t>
        </is>
      </c>
      <c r="F2539" t="inlineStr">
        <is>
          <t>VCA, PVs e Ligações</t>
        </is>
      </c>
      <c r="G2539" t="inlineStr">
        <is>
          <t>31</t>
        </is>
      </c>
      <c r="H2539" t="inlineStr">
        <is>
          <t>32</t>
        </is>
      </c>
      <c r="I2539" t="inlineStr">
        <is>
          <t>31 ao 32</t>
        </is>
      </c>
      <c r="J2539" t="inlineStr">
        <is>
          <t>VCA</t>
        </is>
      </c>
      <c r="K2539" t="inlineStr">
        <is>
          <t>Planejamento</t>
        </is>
      </c>
      <c r="L2539" t="inlineStr">
        <is>
          <t>PDS colado 2026-05-21</t>
        </is>
      </c>
      <c r="M2539">
        <f>IF($A2539="","",TEXT($A2539,"mmmm/yyyy"))</f>
        <v/>
      </c>
      <c r="P2539">
        <f>IFERROR(XLOOKUP($N2539,Base_Enderecos!$A:$A,Base_Enderecos!$B:$B,""),"")</f>
        <v/>
      </c>
      <c r="Q2539">
        <f>IFERROR(XLOOKUP($N2539,Base_Enderecos!$A:$A,Base_Enderecos!$C:$C,""),"")</f>
        <v/>
      </c>
      <c r="R2539">
        <f>IF(ISNUMBER(SEARCH("HDD",$F2539)),"HDD",IF(ISNUMBER(SEARCH("VCA",$F2539)),"VCA","MND"))</f>
        <v/>
      </c>
      <c r="T2539">
        <f>TEXT($A2539,"yyyy-mm")&amp;"|"&amp;$C2539&amp;"|"&amp;$I2539</f>
        <v/>
      </c>
    </row>
    <row r="2540">
      <c r="A2540" s="36" t="n">
        <v>46163</v>
      </c>
      <c r="B2540" t="inlineStr">
        <is>
          <t>Quinta</t>
        </is>
      </c>
      <c r="C2540" t="inlineStr">
        <is>
          <t>RCE São Lucas</t>
        </is>
      </c>
      <c r="D2540" t="inlineStr">
        <is>
          <t>Fábio (RCE Rua São João)</t>
        </is>
      </c>
      <c r="E2540" t="inlineStr">
        <is>
          <t>Miro GO-02</t>
        </is>
      </c>
      <c r="F2540" t="inlineStr">
        <is>
          <t>VCA, PVs e Ligações</t>
        </is>
      </c>
      <c r="G2540" t="inlineStr">
        <is>
          <t>31</t>
        </is>
      </c>
      <c r="H2540" t="inlineStr">
        <is>
          <t>32</t>
        </is>
      </c>
      <c r="I2540" t="inlineStr">
        <is>
          <t>31 ao 32</t>
        </is>
      </c>
      <c r="J2540" t="inlineStr">
        <is>
          <t>VCA</t>
        </is>
      </c>
      <c r="K2540" t="inlineStr">
        <is>
          <t>Planejamento</t>
        </is>
      </c>
      <c r="L2540" t="inlineStr">
        <is>
          <t>PDS colado 2026-05-21</t>
        </is>
      </c>
      <c r="M2540">
        <f>IF($A2540="","",TEXT($A2540,"mmmm/yyyy"))</f>
        <v/>
      </c>
      <c r="P2540">
        <f>IFERROR(XLOOKUP($N2540,Base_Enderecos!$A:$A,Base_Enderecos!$B:$B,""),"")</f>
        <v/>
      </c>
      <c r="Q2540">
        <f>IFERROR(XLOOKUP($N2540,Base_Enderecos!$A:$A,Base_Enderecos!$C:$C,""),"")</f>
        <v/>
      </c>
      <c r="R2540">
        <f>IF(ISNUMBER(SEARCH("HDD",$F2540)),"HDD",IF(ISNUMBER(SEARCH("VCA",$F2540)),"VCA","MND"))</f>
        <v/>
      </c>
      <c r="T2540">
        <f>TEXT($A2540,"yyyy-mm")&amp;"|"&amp;$C2540&amp;"|"&amp;$I2540</f>
        <v/>
      </c>
    </row>
    <row r="2541">
      <c r="A2541" s="36" t="n">
        <v>46163</v>
      </c>
      <c r="B2541" t="inlineStr">
        <is>
          <t>Quinta</t>
        </is>
      </c>
      <c r="C2541" t="inlineStr">
        <is>
          <t>CTS Lourdes Complementar</t>
        </is>
      </c>
      <c r="D2541" t="inlineStr">
        <is>
          <t>Robson</t>
        </is>
      </c>
      <c r="E2541" t="inlineStr">
        <is>
          <t>GR Drill</t>
        </is>
      </c>
      <c r="F2541" t="inlineStr">
        <is>
          <t>Furo Piloto PV 02 ao PV 03</t>
        </is>
      </c>
      <c r="G2541" t="inlineStr">
        <is>
          <t>02</t>
        </is>
      </c>
      <c r="H2541" t="inlineStr">
        <is>
          <t>03</t>
        </is>
      </c>
      <c r="I2541" t="inlineStr">
        <is>
          <t>02 ao 03</t>
        </is>
      </c>
      <c r="J2541" t="inlineStr">
        <is>
          <t>HDD</t>
        </is>
      </c>
      <c r="K2541" t="inlineStr">
        <is>
          <t>Planejamento</t>
        </is>
      </c>
      <c r="L2541" t="inlineStr">
        <is>
          <t>PDS colado 2026-05-21</t>
        </is>
      </c>
      <c r="M2541">
        <f>IF($A2541="","",TEXT($A2541,"mmmm/yyyy"))</f>
        <v/>
      </c>
      <c r="P2541">
        <f>IFERROR(XLOOKUP($N2541,Base_Enderecos!$A:$A,Base_Enderecos!$B:$B,""),"")</f>
        <v/>
      </c>
      <c r="Q2541">
        <f>IFERROR(XLOOKUP($N2541,Base_Enderecos!$A:$A,Base_Enderecos!$C:$C,""),"")</f>
        <v/>
      </c>
      <c r="R2541">
        <f>IF(ISNUMBER(SEARCH("HDD",$F2541)),"HDD",IF(ISNUMBER(SEARCH("VCA",$F2541)),"VCA","MND"))</f>
        <v/>
      </c>
      <c r="T2541">
        <f>TEXT($A2541,"yyyy-mm")&amp;"|"&amp;$C2541&amp;"|"&amp;$I2541</f>
        <v/>
      </c>
    </row>
    <row r="2542">
      <c r="A2542" s="36" t="n">
        <v>46163</v>
      </c>
      <c r="B2542" t="inlineStr">
        <is>
          <t>Quinta</t>
        </is>
      </c>
      <c r="C2542" t="inlineStr">
        <is>
          <t>CTS Lourdes Complementar</t>
        </is>
      </c>
      <c r="D2542" t="inlineStr">
        <is>
          <t>Robson</t>
        </is>
      </c>
      <c r="E2542" t="inlineStr">
        <is>
          <t>Medeiros</t>
        </is>
      </c>
      <c r="F2542" t="inlineStr">
        <is>
          <t>Apoio HDD</t>
        </is>
      </c>
      <c r="J2542" t="inlineStr">
        <is>
          <t>HDD</t>
        </is>
      </c>
      <c r="K2542" t="inlineStr">
        <is>
          <t>Planejamento</t>
        </is>
      </c>
      <c r="L2542" t="inlineStr">
        <is>
          <t>PDS colado 2026-05-21</t>
        </is>
      </c>
      <c r="M2542">
        <f>IF($A2542="","",TEXT($A2542,"mmmm/yyyy"))</f>
        <v/>
      </c>
      <c r="P2542">
        <f>IFERROR(XLOOKUP($N2542,Base_Enderecos!$A:$A,Base_Enderecos!$B:$B,""),"")</f>
        <v/>
      </c>
      <c r="Q2542">
        <f>IFERROR(XLOOKUP($N2542,Base_Enderecos!$A:$A,Base_Enderecos!$C:$C,""),"")</f>
        <v/>
      </c>
      <c r="R2542">
        <f>IF(ISNUMBER(SEARCH("HDD",$F2542)),"HDD",IF(ISNUMBER(SEARCH("VCA",$F2542)),"VCA","MND"))</f>
        <v/>
      </c>
      <c r="T2542">
        <f>TEXT($A2542,"yyyy-mm")&amp;"|"&amp;$C2542&amp;"|"&amp;$I2542</f>
        <v/>
      </c>
    </row>
    <row r="2543">
      <c r="A2543" s="36" t="n">
        <v>46163</v>
      </c>
      <c r="B2543" t="inlineStr">
        <is>
          <t>Quinta</t>
        </is>
      </c>
      <c r="C2543" t="inlineStr">
        <is>
          <t>CTS Lourdes Complementar</t>
        </is>
      </c>
      <c r="D2543" t="inlineStr">
        <is>
          <t>Robson</t>
        </is>
      </c>
      <c r="E2543" t="inlineStr">
        <is>
          <t>Cesar</t>
        </is>
      </c>
      <c r="F2543" t="inlineStr">
        <is>
          <t>Transformação e interligação PV 01</t>
        </is>
      </c>
      <c r="G2543" t="inlineStr">
        <is>
          <t>01</t>
        </is>
      </c>
      <c r="I2543" t="inlineStr">
        <is>
          <t>01</t>
        </is>
      </c>
      <c r="J2543" t="inlineStr">
        <is>
          <t>Transformação</t>
        </is>
      </c>
      <c r="K2543" t="inlineStr">
        <is>
          <t>Planejamento</t>
        </is>
      </c>
      <c r="L2543" t="inlineStr">
        <is>
          <t>PDS colado 2026-05-21</t>
        </is>
      </c>
      <c r="M2543">
        <f>IF($A2543="","",TEXT($A2543,"mmmm/yyyy"))</f>
        <v/>
      </c>
      <c r="P2543">
        <f>IFERROR(XLOOKUP($N2543,Base_Enderecos!$A:$A,Base_Enderecos!$B:$B,""),"")</f>
        <v/>
      </c>
      <c r="Q2543">
        <f>IFERROR(XLOOKUP($N2543,Base_Enderecos!$A:$A,Base_Enderecos!$C:$C,""),"")</f>
        <v/>
      </c>
      <c r="R2543">
        <f>IF(ISNUMBER(SEARCH("HDD",$F2543)),"HDD",IF(ISNUMBER(SEARCH("VCA",$F2543)),"VCA","MND"))</f>
        <v/>
      </c>
      <c r="T2543">
        <f>TEXT($A2543,"yyyy-mm")&amp;"|"&amp;$C2543&amp;"|"&amp;$I2543</f>
        <v/>
      </c>
    </row>
    <row r="2544">
      <c r="A2544" s="36" t="n">
        <v>46163</v>
      </c>
      <c r="B2544" t="inlineStr">
        <is>
          <t>Quinta</t>
        </is>
      </c>
      <c r="C2544" t="inlineStr">
        <is>
          <t>CTS Lourdes Complementar</t>
        </is>
      </c>
      <c r="D2544" t="inlineStr">
        <is>
          <t>Robson</t>
        </is>
      </c>
      <c r="E2544" t="inlineStr">
        <is>
          <t>Marcio</t>
        </is>
      </c>
      <c r="F2544" t="inlineStr">
        <is>
          <t>Shaft PV 04</t>
        </is>
      </c>
      <c r="G2544" t="inlineStr">
        <is>
          <t>04</t>
        </is>
      </c>
      <c r="I2544" t="inlineStr">
        <is>
          <t>04</t>
        </is>
      </c>
      <c r="J2544" t="inlineStr">
        <is>
          <t>Shaft</t>
        </is>
      </c>
      <c r="K2544" t="inlineStr">
        <is>
          <t>Planejamento</t>
        </is>
      </c>
      <c r="L2544" t="inlineStr">
        <is>
          <t>PDS colado 2026-05-21</t>
        </is>
      </c>
      <c r="M2544">
        <f>IF($A2544="","",TEXT($A2544,"mmmm/yyyy"))</f>
        <v/>
      </c>
      <c r="P2544">
        <f>IFERROR(XLOOKUP($N2544,Base_Enderecos!$A:$A,Base_Enderecos!$B:$B,""),"")</f>
        <v/>
      </c>
      <c r="Q2544">
        <f>IFERROR(XLOOKUP($N2544,Base_Enderecos!$A:$A,Base_Enderecos!$C:$C,""),"")</f>
        <v/>
      </c>
      <c r="R2544">
        <f>IF(ISNUMBER(SEARCH("HDD",$F2544)),"HDD",IF(ISNUMBER(SEARCH("VCA",$F2544)),"VCA","MND"))</f>
        <v/>
      </c>
      <c r="T2544">
        <f>TEXT($A2544,"yyyy-mm")&amp;"|"&amp;$C2544&amp;"|"&amp;$I2544</f>
        <v/>
      </c>
    </row>
    <row r="2545">
      <c r="A2545" s="36" t="n">
        <v>46163</v>
      </c>
      <c r="B2545" t="inlineStr">
        <is>
          <t>Quinta</t>
        </is>
      </c>
      <c r="C2545" t="inlineStr">
        <is>
          <t>CTS Lourdes Complementar</t>
        </is>
      </c>
      <c r="D2545" t="inlineStr">
        <is>
          <t>Robson</t>
        </is>
      </c>
      <c r="E2545" t="inlineStr">
        <is>
          <t>Jonathan</t>
        </is>
      </c>
      <c r="F2545" t="inlineStr">
        <is>
          <t>Shaft PV 02</t>
        </is>
      </c>
      <c r="G2545" t="inlineStr">
        <is>
          <t>02</t>
        </is>
      </c>
      <c r="I2545" t="inlineStr">
        <is>
          <t>02</t>
        </is>
      </c>
      <c r="J2545" t="inlineStr">
        <is>
          <t>Shaft</t>
        </is>
      </c>
      <c r="K2545" t="inlineStr">
        <is>
          <t>Planejamento</t>
        </is>
      </c>
      <c r="L2545" t="inlineStr">
        <is>
          <t>PDS colado 2026-05-21</t>
        </is>
      </c>
      <c r="M2545">
        <f>IF($A2545="","",TEXT($A2545,"mmmm/yyyy"))</f>
        <v/>
      </c>
      <c r="P2545">
        <f>IFERROR(XLOOKUP($N2545,Base_Enderecos!$A:$A,Base_Enderecos!$B:$B,""),"")</f>
        <v/>
      </c>
      <c r="Q2545">
        <f>IFERROR(XLOOKUP($N2545,Base_Enderecos!$A:$A,Base_Enderecos!$C:$C,""),"")</f>
        <v/>
      </c>
      <c r="R2545">
        <f>IF(ISNUMBER(SEARCH("HDD",$F2545)),"HDD",IF(ISNUMBER(SEARCH("VCA",$F2545)),"VCA","MND"))</f>
        <v/>
      </c>
      <c r="T2545">
        <f>TEXT($A2545,"yyyy-mm")&amp;"|"&amp;$C2545&amp;"|"&amp;$I2545</f>
        <v/>
      </c>
    </row>
    <row r="2546">
      <c r="A2546" s="36" t="n">
        <v>46163</v>
      </c>
      <c r="B2546" t="inlineStr">
        <is>
          <t>Quinta</t>
        </is>
      </c>
      <c r="C2546" t="inlineStr">
        <is>
          <t>Serviços Reposição</t>
        </is>
      </c>
      <c r="D2546" t="inlineStr">
        <is>
          <t>Leandro</t>
        </is>
      </c>
      <c r="E2546" t="inlineStr">
        <is>
          <t>Serviços Reposição</t>
        </is>
      </c>
      <c r="F2546" t="inlineStr">
        <is>
          <t>Reparos Gerais</t>
        </is>
      </c>
      <c r="J2546" t="inlineStr">
        <is>
          <t>Recomposição</t>
        </is>
      </c>
      <c r="K2546" t="inlineStr">
        <is>
          <t>Planejamento</t>
        </is>
      </c>
      <c r="L2546" t="inlineStr">
        <is>
          <t>PDS colado 2026-05-21</t>
        </is>
      </c>
      <c r="M2546">
        <f>IF($A2546="","",TEXT($A2546,"mmmm/yyyy"))</f>
        <v/>
      </c>
      <c r="P2546">
        <f>IFERROR(XLOOKUP($N2546,Base_Enderecos!$A:$A,Base_Enderecos!$B:$B,""),"")</f>
        <v/>
      </c>
      <c r="Q2546">
        <f>IFERROR(XLOOKUP($N2546,Base_Enderecos!$A:$A,Base_Enderecos!$C:$C,""),"")</f>
        <v/>
      </c>
      <c r="R2546">
        <f>IF(ISNUMBER(SEARCH("HDD",$F2546)),"HDD",IF(ISNUMBER(SEARCH("VCA",$F2546)),"VCA","MND"))</f>
        <v/>
      </c>
      <c r="T2546">
        <f>TEXT($A2546,"yyyy-mm")&amp;"|"&amp;$C2546&amp;"|"&amp;$I2546</f>
        <v/>
      </c>
    </row>
    <row r="2547">
      <c r="A2547" s="36" t="n">
        <v>46163</v>
      </c>
      <c r="B2547" t="inlineStr">
        <is>
          <t>Quinta</t>
        </is>
      </c>
      <c r="C2547" t="inlineStr">
        <is>
          <t>Serviços Reposição</t>
        </is>
      </c>
      <c r="D2547" t="inlineStr">
        <is>
          <t>Leandro</t>
        </is>
      </c>
      <c r="E2547" t="inlineStr">
        <is>
          <t>Cidão</t>
        </is>
      </c>
      <c r="F2547" t="inlineStr">
        <is>
          <t>Substituição solo R. Engenheiro Bardot</t>
        </is>
      </c>
      <c r="J2547" t="inlineStr">
        <is>
          <t>Recomposição</t>
        </is>
      </c>
      <c r="K2547" t="inlineStr">
        <is>
          <t>Planejamento</t>
        </is>
      </c>
      <c r="L2547" t="inlineStr">
        <is>
          <t>PDS colado 2026-05-21</t>
        </is>
      </c>
      <c r="M2547">
        <f>IF($A2547="","",TEXT($A2547,"mmmm/yyyy"))</f>
        <v/>
      </c>
      <c r="P2547">
        <f>IFERROR(XLOOKUP($N2547,Base_Enderecos!$A:$A,Base_Enderecos!$B:$B,""),"")</f>
        <v/>
      </c>
      <c r="Q2547">
        <f>IFERROR(XLOOKUP($N2547,Base_Enderecos!$A:$A,Base_Enderecos!$C:$C,""),"")</f>
        <v/>
      </c>
      <c r="R2547">
        <f>IF(ISNUMBER(SEARCH("HDD",$F2547)),"HDD",IF(ISNUMBER(SEARCH("VCA",$F2547)),"VCA","MND"))</f>
        <v/>
      </c>
      <c r="T2547">
        <f>TEXT($A2547,"yyyy-mm")&amp;"|"&amp;$C2547&amp;"|"&amp;$I2547</f>
        <v/>
      </c>
    </row>
    <row r="2548">
      <c r="A2548" s="36" t="n">
        <v>46163</v>
      </c>
      <c r="B2548" t="inlineStr">
        <is>
          <t>Quinta</t>
        </is>
      </c>
      <c r="C2548" t="inlineStr">
        <is>
          <t>CTS Mar De Coral</t>
        </is>
      </c>
      <c r="D2548" t="inlineStr">
        <is>
          <t>Silvestre</t>
        </is>
      </c>
      <c r="E2548" t="inlineStr">
        <is>
          <t>Edvando</t>
        </is>
      </c>
      <c r="F2548" t="inlineStr">
        <is>
          <t>VCA Condomínio</t>
        </is>
      </c>
      <c r="J2548" t="inlineStr">
        <is>
          <t>VCA</t>
        </is>
      </c>
      <c r="K2548" t="inlineStr">
        <is>
          <t>Planejamento</t>
        </is>
      </c>
      <c r="L2548" t="inlineStr">
        <is>
          <t>PDS colado 2026-05-21</t>
        </is>
      </c>
      <c r="M2548">
        <f>IF($A2548="","",TEXT($A2548,"mmmm/yyyy"))</f>
        <v/>
      </c>
      <c r="P2548">
        <f>IFERROR(XLOOKUP($N2548,Base_Enderecos!$A:$A,Base_Enderecos!$B:$B,""),"")</f>
        <v/>
      </c>
      <c r="Q2548">
        <f>IFERROR(XLOOKUP($N2548,Base_Enderecos!$A:$A,Base_Enderecos!$C:$C,""),"")</f>
        <v/>
      </c>
      <c r="R2548">
        <f>IF(ISNUMBER(SEARCH("HDD",$F2548)),"HDD",IF(ISNUMBER(SEARCH("VCA",$F2548)),"VCA","MND"))</f>
        <v/>
      </c>
      <c r="T2548">
        <f>TEXT($A2548,"yyyy-mm")&amp;"|"&amp;$C2548&amp;"|"&amp;$I2548</f>
        <v/>
      </c>
    </row>
    <row r="2549">
      <c r="A2549" s="36" t="n">
        <v>46163</v>
      </c>
      <c r="B2549" t="inlineStr">
        <is>
          <t>Quinta</t>
        </is>
      </c>
      <c r="C2549" t="inlineStr">
        <is>
          <t>João Canzi</t>
        </is>
      </c>
      <c r="E2549" t="inlineStr">
        <is>
          <t>Vacal</t>
        </is>
      </c>
      <c r="F2549" t="inlineStr">
        <is>
          <t>João Canzi - Renasce</t>
        </is>
      </c>
      <c r="J2549" t="inlineStr">
        <is>
          <t>Atividade</t>
        </is>
      </c>
      <c r="K2549" t="inlineStr">
        <is>
          <t>Apoio</t>
        </is>
      </c>
      <c r="L2549" t="inlineStr">
        <is>
          <t>PDS colado 2026-05-21</t>
        </is>
      </c>
      <c r="M2549">
        <f>IF($A2549="","",TEXT($A2549,"mmmm/yyyy"))</f>
        <v/>
      </c>
      <c r="P2549">
        <f>IFERROR(XLOOKUP($N2549,Base_Enderecos!$A:$A,Base_Enderecos!$B:$B,""),"")</f>
        <v/>
      </c>
      <c r="Q2549">
        <f>IFERROR(XLOOKUP($N2549,Base_Enderecos!$A:$A,Base_Enderecos!$C:$C,""),"")</f>
        <v/>
      </c>
      <c r="R2549">
        <f>IF(ISNUMBER(SEARCH("HDD",$F2549)),"HDD",IF(ISNUMBER(SEARCH("VCA",$F2549)),"VCA","MND"))</f>
        <v/>
      </c>
      <c r="T2549">
        <f>TEXT($A2549,"yyyy-mm")&amp;"|"&amp;$C2549&amp;"|"&amp;$I2549</f>
        <v/>
      </c>
    </row>
    <row r="2550">
      <c r="A2550" s="36" t="n">
        <v>46163</v>
      </c>
      <c r="B2550" t="inlineStr">
        <is>
          <t>Quinta</t>
        </is>
      </c>
      <c r="C2550" t="inlineStr">
        <is>
          <t>João Canzi</t>
        </is>
      </c>
      <c r="E2550" t="inlineStr">
        <is>
          <t>Vacal</t>
        </is>
      </c>
      <c r="F2550" t="inlineStr">
        <is>
          <t>João Canzi - Henko</t>
        </is>
      </c>
      <c r="J2550" t="inlineStr">
        <is>
          <t>Atividade</t>
        </is>
      </c>
      <c r="K2550" t="inlineStr">
        <is>
          <t>Apoio</t>
        </is>
      </c>
      <c r="L2550" t="inlineStr">
        <is>
          <t>PDS colado 2026-05-21</t>
        </is>
      </c>
      <c r="M2550">
        <f>IF($A2550="","",TEXT($A2550,"mmmm/yyyy"))</f>
        <v/>
      </c>
      <c r="P2550">
        <f>IFERROR(XLOOKUP($N2550,Base_Enderecos!$A:$A,Base_Enderecos!$B:$B,""),"")</f>
        <v/>
      </c>
      <c r="Q2550">
        <f>IFERROR(XLOOKUP($N2550,Base_Enderecos!$A:$A,Base_Enderecos!$C:$C,""),"")</f>
        <v/>
      </c>
      <c r="R2550">
        <f>IF(ISNUMBER(SEARCH("HDD",$F2550)),"HDD",IF(ISNUMBER(SEARCH("VCA",$F2550)),"VCA","MND"))</f>
        <v/>
      </c>
      <c r="T2550">
        <f>TEXT($A2550,"yyyy-mm")&amp;"|"&amp;$C2550&amp;"|"&amp;$I2550</f>
        <v/>
      </c>
    </row>
    <row r="2551">
      <c r="A2551" s="36" t="n">
        <v>46163</v>
      </c>
      <c r="B2551" t="inlineStr">
        <is>
          <t>Quinta</t>
        </is>
      </c>
      <c r="C2551" t="inlineStr">
        <is>
          <t>Lourdes</t>
        </is>
      </c>
      <c r="E2551" t="inlineStr">
        <is>
          <t>Vacal</t>
        </is>
      </c>
      <c r="F2551" t="inlineStr">
        <is>
          <t>Lourdes - Hidrosol</t>
        </is>
      </c>
      <c r="J2551" t="inlineStr">
        <is>
          <t>Atividade</t>
        </is>
      </c>
      <c r="K2551" t="inlineStr">
        <is>
          <t>Apoio</t>
        </is>
      </c>
      <c r="L2551" t="inlineStr">
        <is>
          <t>PDS colado 2026-05-21</t>
        </is>
      </c>
      <c r="M2551">
        <f>IF($A2551="","",TEXT($A2551,"mmmm/yyyy"))</f>
        <v/>
      </c>
      <c r="P2551">
        <f>IFERROR(XLOOKUP($N2551,Base_Enderecos!$A:$A,Base_Enderecos!$B:$B,""),"")</f>
        <v/>
      </c>
      <c r="Q2551">
        <f>IFERROR(XLOOKUP($N2551,Base_Enderecos!$A:$A,Base_Enderecos!$C:$C,""),"")</f>
        <v/>
      </c>
      <c r="R2551">
        <f>IF(ISNUMBER(SEARCH("HDD",$F2551)),"HDD",IF(ISNUMBER(SEARCH("VCA",$F2551)),"VCA","MND"))</f>
        <v/>
      </c>
      <c r="T2551">
        <f>TEXT($A2551,"yyyy-mm")&amp;"|"&amp;$C2551&amp;"|"&amp;$I2551</f>
        <v/>
      </c>
    </row>
    <row r="2552">
      <c r="A2552" s="36" t="n">
        <v>46163</v>
      </c>
      <c r="B2552" t="inlineStr">
        <is>
          <t>Quinta</t>
        </is>
      </c>
      <c r="C2552" t="inlineStr">
        <is>
          <t>Lourdes</t>
        </is>
      </c>
      <c r="E2552" t="inlineStr">
        <is>
          <t>Vacal</t>
        </is>
      </c>
      <c r="F2552" t="inlineStr">
        <is>
          <t>Lourdes - Henko</t>
        </is>
      </c>
      <c r="J2552" t="inlineStr">
        <is>
          <t>Atividade</t>
        </is>
      </c>
      <c r="K2552" t="inlineStr">
        <is>
          <t>Apoio</t>
        </is>
      </c>
      <c r="L2552" t="inlineStr">
        <is>
          <t>PDS colado 2026-05-21</t>
        </is>
      </c>
      <c r="M2552">
        <f>IF($A2552="","",TEXT($A2552,"mmmm/yyyy"))</f>
        <v/>
      </c>
      <c r="P2552">
        <f>IFERROR(XLOOKUP($N2552,Base_Enderecos!$A:$A,Base_Enderecos!$B:$B,""),"")</f>
        <v/>
      </c>
      <c r="Q2552">
        <f>IFERROR(XLOOKUP($N2552,Base_Enderecos!$A:$A,Base_Enderecos!$C:$C,""),"")</f>
        <v/>
      </c>
      <c r="R2552">
        <f>IF(ISNUMBER(SEARCH("HDD",$F2552)),"HDD",IF(ISNUMBER(SEARCH("VCA",$F2552)),"VCA","MND"))</f>
        <v/>
      </c>
      <c r="T2552">
        <f>TEXT($A2552,"yyyy-mm")&amp;"|"&amp;$C2552&amp;"|"&amp;$I2552</f>
        <v/>
      </c>
    </row>
    <row r="2553">
      <c r="A2553" s="36" t="n">
        <v>46163</v>
      </c>
      <c r="B2553" t="inlineStr">
        <is>
          <t>Quinta</t>
        </is>
      </c>
      <c r="C2553" t="inlineStr">
        <is>
          <t>Guindauto</t>
        </is>
      </c>
      <c r="E2553" t="inlineStr">
        <is>
          <t>Guindauto</t>
        </is>
      </c>
      <c r="F2553" t="inlineStr">
        <is>
          <t>Marcio - Apoio as equipes</t>
        </is>
      </c>
      <c r="J2553" t="inlineStr">
        <is>
          <t>Atividade</t>
        </is>
      </c>
      <c r="K2553" t="inlineStr">
        <is>
          <t>Apoio</t>
        </is>
      </c>
      <c r="L2553" t="inlineStr">
        <is>
          <t>PDS colado 2026-05-21</t>
        </is>
      </c>
      <c r="M2553">
        <f>IF($A2553="","",TEXT($A2553,"mmmm/yyyy"))</f>
        <v/>
      </c>
      <c r="P2553">
        <f>IFERROR(XLOOKUP($N2553,Base_Enderecos!$A:$A,Base_Enderecos!$B:$B,""),"")</f>
        <v/>
      </c>
      <c r="Q2553">
        <f>IFERROR(XLOOKUP($N2553,Base_Enderecos!$A:$A,Base_Enderecos!$C:$C,""),"")</f>
        <v/>
      </c>
      <c r="R2553">
        <f>IF(ISNUMBER(SEARCH("HDD",$F2553)),"HDD",IF(ISNUMBER(SEARCH("VCA",$F2553)),"VCA","MND"))</f>
        <v/>
      </c>
      <c r="T2553">
        <f>TEXT($A2553,"yyyy-mm")&amp;"|"&amp;$C2553&amp;"|"&amp;$I2553</f>
        <v/>
      </c>
    </row>
    <row r="2554">
      <c r="A2554" s="36" t="n">
        <v>46163</v>
      </c>
      <c r="B2554" t="inlineStr">
        <is>
          <t>Quinta</t>
        </is>
      </c>
      <c r="C2554" t="inlineStr">
        <is>
          <t>Guindauto</t>
        </is>
      </c>
      <c r="E2554" t="inlineStr">
        <is>
          <t>Guindauto</t>
        </is>
      </c>
      <c r="F2554" t="inlineStr">
        <is>
          <t>Luiz Carlos - Apoio as equipes</t>
        </is>
      </c>
      <c r="J2554" t="inlineStr">
        <is>
          <t>Atividade</t>
        </is>
      </c>
      <c r="K2554" t="inlineStr">
        <is>
          <t>Apoio</t>
        </is>
      </c>
      <c r="L2554" t="inlineStr">
        <is>
          <t>PDS colado 2026-05-21</t>
        </is>
      </c>
      <c r="M2554">
        <f>IF($A2554="","",TEXT($A2554,"mmmm/yyyy"))</f>
        <v/>
      </c>
      <c r="P2554">
        <f>IFERROR(XLOOKUP($N2554,Base_Enderecos!$A:$A,Base_Enderecos!$B:$B,""),"")</f>
        <v/>
      </c>
      <c r="Q2554">
        <f>IFERROR(XLOOKUP($N2554,Base_Enderecos!$A:$A,Base_Enderecos!$C:$C,""),"")</f>
        <v/>
      </c>
      <c r="R2554">
        <f>IF(ISNUMBER(SEARCH("HDD",$F2554)),"HDD",IF(ISNUMBER(SEARCH("VCA",$F2554)),"VCA","MND"))</f>
        <v/>
      </c>
      <c r="T2554">
        <f>TEXT($A2554,"yyyy-mm")&amp;"|"&amp;$C2554&amp;"|"&amp;$I2554</f>
        <v/>
      </c>
    </row>
    <row r="2555">
      <c r="A2555" s="36" t="n">
        <v>46164</v>
      </c>
      <c r="B2555" t="inlineStr">
        <is>
          <t>Sexta</t>
        </is>
      </c>
      <c r="C2555" t="inlineStr">
        <is>
          <t>CT João Canzi</t>
        </is>
      </c>
      <c r="D2555" t="inlineStr">
        <is>
          <t>Valmir</t>
        </is>
      </c>
      <c r="E2555" t="inlineStr">
        <is>
          <t>Goiânia Drill</t>
        </is>
      </c>
      <c r="F2555" t="inlineStr">
        <is>
          <t>Furo piloto e puxe do PV-13 ao PV-14</t>
        </is>
      </c>
      <c r="G2555" t="inlineStr">
        <is>
          <t>13</t>
        </is>
      </c>
      <c r="H2555" t="inlineStr">
        <is>
          <t>14</t>
        </is>
      </c>
      <c r="I2555" t="inlineStr">
        <is>
          <t>13 ao 14</t>
        </is>
      </c>
      <c r="J2555" t="inlineStr">
        <is>
          <t>HDD</t>
        </is>
      </c>
      <c r="K2555" t="inlineStr">
        <is>
          <t>Planejamento</t>
        </is>
      </c>
      <c r="L2555" t="inlineStr">
        <is>
          <t>chat_codex_2026_05_22</t>
        </is>
      </c>
      <c r="M2555">
        <f>IF($A2555="","",TEXT($A2555,"mmmm/yyyy"))</f>
        <v/>
      </c>
      <c r="P2555">
        <f>IFERROR(XLOOKUP($N2555,Base_Enderecos!$A:$A,Base_Enderecos!$B:$B,""),"")</f>
        <v/>
      </c>
      <c r="Q2555">
        <f>IFERROR(XLOOKUP($N2555,Base_Enderecos!$A:$A,Base_Enderecos!$C:$C,""),"")</f>
        <v/>
      </c>
      <c r="R2555">
        <f>IF(ISNUMBER(SEARCH("HDD",$F2555)),"HDD",IF(ISNUMBER(SEARCH("VCA",$F2555)),"VCA","MND"))</f>
        <v/>
      </c>
      <c r="T2555">
        <f>TEXT($A2555,"yyyy-mm")&amp;"|"&amp;$C2555&amp;"|"&amp;$I2555</f>
        <v/>
      </c>
    </row>
    <row r="2556">
      <c r="A2556" s="36" t="n">
        <v>46164</v>
      </c>
      <c r="B2556" t="inlineStr">
        <is>
          <t>Sexta</t>
        </is>
      </c>
      <c r="C2556" t="inlineStr">
        <is>
          <t>CT João Canzi</t>
        </is>
      </c>
      <c r="D2556" t="inlineStr">
        <is>
          <t>Valmir</t>
        </is>
      </c>
      <c r="E2556" t="inlineStr">
        <is>
          <t>Bruno</t>
        </is>
      </c>
      <c r="F2556" t="inlineStr">
        <is>
          <t>Apoio ao HDD</t>
        </is>
      </c>
      <c r="J2556" t="inlineStr">
        <is>
          <t>HDD</t>
        </is>
      </c>
      <c r="K2556" t="inlineStr">
        <is>
          <t>Planejamento</t>
        </is>
      </c>
      <c r="L2556" t="inlineStr">
        <is>
          <t>chat_codex_2026_05_22</t>
        </is>
      </c>
      <c r="M2556">
        <f>IF($A2556="","",TEXT($A2556,"mmmm/yyyy"))</f>
        <v/>
      </c>
      <c r="P2556">
        <f>IFERROR(XLOOKUP($N2556,Base_Enderecos!$A:$A,Base_Enderecos!$B:$B,""),"")</f>
        <v/>
      </c>
      <c r="Q2556">
        <f>IFERROR(XLOOKUP($N2556,Base_Enderecos!$A:$A,Base_Enderecos!$C:$C,""),"")</f>
        <v/>
      </c>
      <c r="R2556">
        <f>IF(ISNUMBER(SEARCH("HDD",$F2556)),"HDD",IF(ISNUMBER(SEARCH("VCA",$F2556)),"VCA","MND"))</f>
        <v/>
      </c>
      <c r="T2556">
        <f>TEXT($A2556,"yyyy-mm")&amp;"|"&amp;$C2556&amp;"|"&amp;$I2556</f>
        <v/>
      </c>
    </row>
    <row r="2557">
      <c r="A2557" s="36" t="n">
        <v>46164</v>
      </c>
      <c r="B2557" t="inlineStr">
        <is>
          <t>Sexta</t>
        </is>
      </c>
      <c r="C2557" t="inlineStr">
        <is>
          <t>CT João Canzi</t>
        </is>
      </c>
      <c r="D2557" t="inlineStr">
        <is>
          <t>Valmir</t>
        </is>
      </c>
      <c r="E2557" t="inlineStr">
        <is>
          <t>Valter</t>
        </is>
      </c>
      <c r="F2557" t="inlineStr">
        <is>
          <t>Shaft PV 01* (ELVIRA/JOÃO CANZI)</t>
        </is>
      </c>
      <c r="G2557" t="inlineStr">
        <is>
          <t>01</t>
        </is>
      </c>
      <c r="I2557" t="inlineStr">
        <is>
          <t>01</t>
        </is>
      </c>
      <c r="J2557" t="inlineStr">
        <is>
          <t>Shaft</t>
        </is>
      </c>
      <c r="K2557" t="inlineStr">
        <is>
          <t>Planejamento</t>
        </is>
      </c>
      <c r="L2557" t="inlineStr">
        <is>
          <t>chat_codex_2026_05_22</t>
        </is>
      </c>
      <c r="M2557">
        <f>IF($A2557="","",TEXT($A2557,"mmmm/yyyy"))</f>
        <v/>
      </c>
      <c r="P2557">
        <f>IFERROR(XLOOKUP($N2557,Base_Enderecos!$A:$A,Base_Enderecos!$B:$B,""),"")</f>
        <v/>
      </c>
      <c r="Q2557">
        <f>IFERROR(XLOOKUP($N2557,Base_Enderecos!$A:$A,Base_Enderecos!$C:$C,""),"")</f>
        <v/>
      </c>
      <c r="R2557">
        <f>IF(ISNUMBER(SEARCH("HDD",$F2557)),"HDD",IF(ISNUMBER(SEARCH("VCA",$F2557)),"VCA","MND"))</f>
        <v/>
      </c>
      <c r="T2557">
        <f>TEXT($A2557,"yyyy-mm")&amp;"|"&amp;$C2557&amp;"|"&amp;$I2557</f>
        <v/>
      </c>
    </row>
    <row r="2558">
      <c r="A2558" s="36" t="n">
        <v>46164</v>
      </c>
      <c r="B2558" t="inlineStr">
        <is>
          <t>Sexta</t>
        </is>
      </c>
      <c r="C2558" t="inlineStr">
        <is>
          <t>CT João Canzi</t>
        </is>
      </c>
      <c r="D2558" t="inlineStr">
        <is>
          <t>Valmir</t>
        </is>
      </c>
      <c r="E2558" t="inlineStr">
        <is>
          <t>Marcelo</t>
        </is>
      </c>
      <c r="F2558" t="inlineStr">
        <is>
          <t>Transformação PV 08</t>
        </is>
      </c>
      <c r="G2558" t="inlineStr">
        <is>
          <t>08</t>
        </is>
      </c>
      <c r="I2558" t="inlineStr">
        <is>
          <t>08</t>
        </is>
      </c>
      <c r="J2558" t="inlineStr">
        <is>
          <t>Transformação</t>
        </is>
      </c>
      <c r="K2558" t="inlineStr">
        <is>
          <t>Planejamento</t>
        </is>
      </c>
      <c r="L2558" t="inlineStr">
        <is>
          <t>chat_codex_2026_05_22</t>
        </is>
      </c>
      <c r="M2558">
        <f>IF($A2558="","",TEXT($A2558,"mmmm/yyyy"))</f>
        <v/>
      </c>
      <c r="P2558">
        <f>IFERROR(XLOOKUP($N2558,Base_Enderecos!$A:$A,Base_Enderecos!$B:$B,""),"")</f>
        <v/>
      </c>
      <c r="Q2558">
        <f>IFERROR(XLOOKUP($N2558,Base_Enderecos!$A:$A,Base_Enderecos!$C:$C,""),"")</f>
        <v/>
      </c>
      <c r="R2558">
        <f>IF(ISNUMBER(SEARCH("HDD",$F2558)),"HDD",IF(ISNUMBER(SEARCH("VCA",$F2558)),"VCA","MND"))</f>
        <v/>
      </c>
      <c r="T2558">
        <f>TEXT($A2558,"yyyy-mm")&amp;"|"&amp;$C2558&amp;"|"&amp;$I2558</f>
        <v/>
      </c>
    </row>
    <row r="2559">
      <c r="A2559" s="36" t="n">
        <v>46164</v>
      </c>
      <c r="B2559" t="inlineStr">
        <is>
          <t>Sexta</t>
        </is>
      </c>
      <c r="C2559" t="inlineStr">
        <is>
          <t>RCE São Lucas</t>
        </is>
      </c>
      <c r="D2559" t="inlineStr">
        <is>
          <t>Fábio</t>
        </is>
      </c>
      <c r="E2559" t="inlineStr">
        <is>
          <t>Ricardo</t>
        </is>
      </c>
      <c r="F2559" t="inlineStr">
        <is>
          <t>VCA, PVs e Ligações (PI 07 ao PI 08)</t>
        </is>
      </c>
      <c r="G2559" t="inlineStr">
        <is>
          <t>07</t>
        </is>
      </c>
      <c r="H2559" t="inlineStr">
        <is>
          <t>08</t>
        </is>
      </c>
      <c r="I2559" t="inlineStr">
        <is>
          <t>07 ao 08</t>
        </is>
      </c>
      <c r="J2559" t="inlineStr">
        <is>
          <t>VCA</t>
        </is>
      </c>
      <c r="K2559" t="inlineStr">
        <is>
          <t>Planejamento</t>
        </is>
      </c>
      <c r="L2559" t="inlineStr">
        <is>
          <t>chat_codex_2026_05_22</t>
        </is>
      </c>
      <c r="M2559">
        <f>IF($A2559="","",TEXT($A2559,"mmmm/yyyy"))</f>
        <v/>
      </c>
      <c r="P2559">
        <f>IFERROR(XLOOKUP($N2559,Base_Enderecos!$A:$A,Base_Enderecos!$B:$B,""),"")</f>
        <v/>
      </c>
      <c r="Q2559">
        <f>IFERROR(XLOOKUP($N2559,Base_Enderecos!$A:$A,Base_Enderecos!$C:$C,""),"")</f>
        <v/>
      </c>
      <c r="R2559">
        <f>IF(ISNUMBER(SEARCH("HDD",$F2559)),"HDD",IF(ISNUMBER(SEARCH("VCA",$F2559)),"VCA","MND"))</f>
        <v/>
      </c>
      <c r="T2559">
        <f>TEXT($A2559,"yyyy-mm")&amp;"|"&amp;$C2559&amp;"|"&amp;$I2559</f>
        <v/>
      </c>
    </row>
    <row r="2560">
      <c r="A2560" s="36" t="n">
        <v>46164</v>
      </c>
      <c r="B2560" t="inlineStr">
        <is>
          <t>Sexta</t>
        </is>
      </c>
      <c r="C2560" t="inlineStr">
        <is>
          <t>RCE São Lucas</t>
        </is>
      </c>
      <c r="D2560" t="inlineStr">
        <is>
          <t>Fábio</t>
        </is>
      </c>
      <c r="E2560" t="inlineStr">
        <is>
          <t>Claudinei</t>
        </is>
      </c>
      <c r="F2560" t="inlineStr">
        <is>
          <t>VCA, PVs e Ligações (PV 40 ao PV 41)</t>
        </is>
      </c>
      <c r="G2560" t="inlineStr">
        <is>
          <t>40</t>
        </is>
      </c>
      <c r="H2560" t="inlineStr">
        <is>
          <t>41</t>
        </is>
      </c>
      <c r="I2560" t="inlineStr">
        <is>
          <t>40 ao 41</t>
        </is>
      </c>
      <c r="J2560" t="inlineStr">
        <is>
          <t>VCA</t>
        </is>
      </c>
      <c r="K2560" t="inlineStr">
        <is>
          <t>Planejamento</t>
        </is>
      </c>
      <c r="L2560" t="inlineStr">
        <is>
          <t>chat_codex_2026_05_22</t>
        </is>
      </c>
      <c r="M2560">
        <f>IF($A2560="","",TEXT($A2560,"mmmm/yyyy"))</f>
        <v/>
      </c>
      <c r="P2560">
        <f>IFERROR(XLOOKUP($N2560,Base_Enderecos!$A:$A,Base_Enderecos!$B:$B,""),"")</f>
        <v/>
      </c>
      <c r="Q2560">
        <f>IFERROR(XLOOKUP($N2560,Base_Enderecos!$A:$A,Base_Enderecos!$C:$C,""),"")</f>
        <v/>
      </c>
      <c r="R2560">
        <f>IF(ISNUMBER(SEARCH("HDD",$F2560)),"HDD",IF(ISNUMBER(SEARCH("VCA",$F2560)),"VCA","MND"))</f>
        <v/>
      </c>
      <c r="T2560">
        <f>TEXT($A2560,"yyyy-mm")&amp;"|"&amp;$C2560&amp;"|"&amp;$I2560</f>
        <v/>
      </c>
    </row>
    <row r="2561">
      <c r="A2561" s="36" t="n">
        <v>46164</v>
      </c>
      <c r="B2561" t="inlineStr">
        <is>
          <t>Sexta</t>
        </is>
      </c>
      <c r="C2561" t="inlineStr">
        <is>
          <t>RCE São Lucas</t>
        </is>
      </c>
      <c r="D2561" t="inlineStr">
        <is>
          <t>Fábio</t>
        </is>
      </c>
      <c r="E2561" t="inlineStr">
        <is>
          <t>Antonio</t>
        </is>
      </c>
      <c r="F2561" t="inlineStr">
        <is>
          <t>VCA, PVs e Ligações (PI 03 ao PI 04)</t>
        </is>
      </c>
      <c r="G2561" t="inlineStr">
        <is>
          <t>03</t>
        </is>
      </c>
      <c r="H2561" t="inlineStr">
        <is>
          <t>04</t>
        </is>
      </c>
      <c r="I2561" t="inlineStr">
        <is>
          <t>03 ao 04</t>
        </is>
      </c>
      <c r="J2561" t="inlineStr">
        <is>
          <t>VCA</t>
        </is>
      </c>
      <c r="K2561" t="inlineStr">
        <is>
          <t>Planejamento</t>
        </is>
      </c>
      <c r="L2561" t="inlineStr">
        <is>
          <t>chat_codex_2026_05_22</t>
        </is>
      </c>
      <c r="M2561">
        <f>IF($A2561="","",TEXT($A2561,"mmmm/yyyy"))</f>
        <v/>
      </c>
      <c r="P2561">
        <f>IFERROR(XLOOKUP($N2561,Base_Enderecos!$A:$A,Base_Enderecos!$B:$B,""),"")</f>
        <v/>
      </c>
      <c r="Q2561">
        <f>IFERROR(XLOOKUP($N2561,Base_Enderecos!$A:$A,Base_Enderecos!$C:$C,""),"")</f>
        <v/>
      </c>
      <c r="R2561">
        <f>IF(ISNUMBER(SEARCH("HDD",$F2561)),"HDD",IF(ISNUMBER(SEARCH("VCA",$F2561)),"VCA","MND"))</f>
        <v/>
      </c>
      <c r="T2561">
        <f>TEXT($A2561,"yyyy-mm")&amp;"|"&amp;$C2561&amp;"|"&amp;$I2561</f>
        <v/>
      </c>
    </row>
    <row r="2562">
      <c r="A2562" s="36" t="n">
        <v>46164</v>
      </c>
      <c r="B2562" t="inlineStr">
        <is>
          <t>Sexta</t>
        </is>
      </c>
      <c r="C2562" t="inlineStr">
        <is>
          <t>RCE São Lucas</t>
        </is>
      </c>
      <c r="D2562" t="inlineStr">
        <is>
          <t>Fábio</t>
        </is>
      </c>
      <c r="E2562" t="inlineStr">
        <is>
          <t>Emanuel GO-01</t>
        </is>
      </c>
      <c r="F2562" t="inlineStr">
        <is>
          <t>VCA, PVs e Ligações (PI 31 ao PI 32)</t>
        </is>
      </c>
      <c r="G2562" t="inlineStr">
        <is>
          <t>31</t>
        </is>
      </c>
      <c r="H2562" t="inlineStr">
        <is>
          <t>32</t>
        </is>
      </c>
      <c r="I2562" t="inlineStr">
        <is>
          <t>31 ao 32</t>
        </is>
      </c>
      <c r="J2562" t="inlineStr">
        <is>
          <t>VCA</t>
        </is>
      </c>
      <c r="K2562" t="inlineStr">
        <is>
          <t>Planejamento</t>
        </is>
      </c>
      <c r="L2562" t="inlineStr">
        <is>
          <t>chat_codex_2026_05_22</t>
        </is>
      </c>
      <c r="M2562">
        <f>IF($A2562="","",TEXT($A2562,"mmmm/yyyy"))</f>
        <v/>
      </c>
      <c r="P2562">
        <f>IFERROR(XLOOKUP($N2562,Base_Enderecos!$A:$A,Base_Enderecos!$B:$B,""),"")</f>
        <v/>
      </c>
      <c r="Q2562">
        <f>IFERROR(XLOOKUP($N2562,Base_Enderecos!$A:$A,Base_Enderecos!$C:$C,""),"")</f>
        <v/>
      </c>
      <c r="R2562">
        <f>IF(ISNUMBER(SEARCH("HDD",$F2562)),"HDD",IF(ISNUMBER(SEARCH("VCA",$F2562)),"VCA","MND"))</f>
        <v/>
      </c>
      <c r="T2562">
        <f>TEXT($A2562,"yyyy-mm")&amp;"|"&amp;$C2562&amp;"|"&amp;$I2562</f>
        <v/>
      </c>
    </row>
    <row r="2563">
      <c r="A2563" s="36" t="n">
        <v>46164</v>
      </c>
      <c r="B2563" t="inlineStr">
        <is>
          <t>Sexta</t>
        </is>
      </c>
      <c r="C2563" t="inlineStr">
        <is>
          <t>RCE São Lucas</t>
        </is>
      </c>
      <c r="D2563" t="inlineStr">
        <is>
          <t>Fábio</t>
        </is>
      </c>
      <c r="E2563" t="inlineStr">
        <is>
          <t>Miro GO-02</t>
        </is>
      </c>
      <c r="F2563" t="inlineStr">
        <is>
          <t>VCA, PVs e Ligações (PI 31 ao PI 32)</t>
        </is>
      </c>
      <c r="G2563" t="inlineStr">
        <is>
          <t>31</t>
        </is>
      </c>
      <c r="H2563" t="inlineStr">
        <is>
          <t>32</t>
        </is>
      </c>
      <c r="I2563" t="inlineStr">
        <is>
          <t>31 ao 32</t>
        </is>
      </c>
      <c r="J2563" t="inlineStr">
        <is>
          <t>VCA</t>
        </is>
      </c>
      <c r="K2563" t="inlineStr">
        <is>
          <t>Planejamento</t>
        </is>
      </c>
      <c r="L2563" t="inlineStr">
        <is>
          <t>chat_codex_2026_05_22</t>
        </is>
      </c>
      <c r="M2563">
        <f>IF($A2563="","",TEXT($A2563,"mmmm/yyyy"))</f>
        <v/>
      </c>
      <c r="P2563">
        <f>IFERROR(XLOOKUP($N2563,Base_Enderecos!$A:$A,Base_Enderecos!$B:$B,""),"")</f>
        <v/>
      </c>
      <c r="Q2563">
        <f>IFERROR(XLOOKUP($N2563,Base_Enderecos!$A:$A,Base_Enderecos!$C:$C,""),"")</f>
        <v/>
      </c>
      <c r="R2563">
        <f>IF(ISNUMBER(SEARCH("HDD",$F2563)),"HDD",IF(ISNUMBER(SEARCH("VCA",$F2563)),"VCA","MND"))</f>
        <v/>
      </c>
      <c r="T2563">
        <f>TEXT($A2563,"yyyy-mm")&amp;"|"&amp;$C2563&amp;"|"&amp;$I2563</f>
        <v/>
      </c>
    </row>
    <row r="2564">
      <c r="A2564" s="36" t="n">
        <v>46164</v>
      </c>
      <c r="B2564" t="inlineStr">
        <is>
          <t>Sexta</t>
        </is>
      </c>
      <c r="C2564" t="inlineStr">
        <is>
          <t>CTS Lourdes Complementar</t>
        </is>
      </c>
      <c r="D2564" t="inlineStr">
        <is>
          <t>Robson</t>
        </is>
      </c>
      <c r="E2564" t="inlineStr">
        <is>
          <t>GR Drill</t>
        </is>
      </c>
      <c r="F2564" t="inlineStr">
        <is>
          <t>Furo Piloto PV 02 ao PV 03</t>
        </is>
      </c>
      <c r="G2564" t="inlineStr">
        <is>
          <t>02</t>
        </is>
      </c>
      <c r="H2564" t="inlineStr">
        <is>
          <t>03</t>
        </is>
      </c>
      <c r="I2564" t="inlineStr">
        <is>
          <t>02 ao 03</t>
        </is>
      </c>
      <c r="J2564" t="inlineStr">
        <is>
          <t>HDD</t>
        </is>
      </c>
      <c r="K2564" t="inlineStr">
        <is>
          <t>Planejamento</t>
        </is>
      </c>
      <c r="L2564" t="inlineStr">
        <is>
          <t>chat_codex_2026_05_22</t>
        </is>
      </c>
      <c r="M2564">
        <f>IF($A2564="","",TEXT($A2564,"mmmm/yyyy"))</f>
        <v/>
      </c>
      <c r="P2564">
        <f>IFERROR(XLOOKUP($N2564,Base_Enderecos!$A:$A,Base_Enderecos!$B:$B,""),"")</f>
        <v/>
      </c>
      <c r="Q2564">
        <f>IFERROR(XLOOKUP($N2564,Base_Enderecos!$A:$A,Base_Enderecos!$C:$C,""),"")</f>
        <v/>
      </c>
      <c r="R2564">
        <f>IF(ISNUMBER(SEARCH("HDD",$F2564)),"HDD",IF(ISNUMBER(SEARCH("VCA",$F2564)),"VCA","MND"))</f>
        <v/>
      </c>
      <c r="T2564">
        <f>TEXT($A2564,"yyyy-mm")&amp;"|"&amp;$C2564&amp;"|"&amp;$I2564</f>
        <v/>
      </c>
    </row>
    <row r="2565">
      <c r="A2565" s="36" t="n">
        <v>46164</v>
      </c>
      <c r="B2565" t="inlineStr">
        <is>
          <t>Sexta</t>
        </is>
      </c>
      <c r="C2565" t="inlineStr">
        <is>
          <t>CTS Lourdes Complementar</t>
        </is>
      </c>
      <c r="D2565" t="inlineStr">
        <is>
          <t>Robson</t>
        </is>
      </c>
      <c r="E2565" t="inlineStr">
        <is>
          <t>Medeiros</t>
        </is>
      </c>
      <c r="F2565" t="inlineStr">
        <is>
          <t>Apoio HDD</t>
        </is>
      </c>
      <c r="J2565" t="inlineStr">
        <is>
          <t>HDD</t>
        </is>
      </c>
      <c r="K2565" t="inlineStr">
        <is>
          <t>Planejamento</t>
        </is>
      </c>
      <c r="L2565" t="inlineStr">
        <is>
          <t>chat_codex_2026_05_22</t>
        </is>
      </c>
      <c r="M2565">
        <f>IF($A2565="","",TEXT($A2565,"mmmm/yyyy"))</f>
        <v/>
      </c>
      <c r="P2565">
        <f>IFERROR(XLOOKUP($N2565,Base_Enderecos!$A:$A,Base_Enderecos!$B:$B,""),"")</f>
        <v/>
      </c>
      <c r="Q2565">
        <f>IFERROR(XLOOKUP($N2565,Base_Enderecos!$A:$A,Base_Enderecos!$C:$C,""),"")</f>
        <v/>
      </c>
      <c r="R2565">
        <f>IF(ISNUMBER(SEARCH("HDD",$F2565)),"HDD",IF(ISNUMBER(SEARCH("VCA",$F2565)),"VCA","MND"))</f>
        <v/>
      </c>
      <c r="T2565">
        <f>TEXT($A2565,"yyyy-mm")&amp;"|"&amp;$C2565&amp;"|"&amp;$I2565</f>
        <v/>
      </c>
    </row>
    <row r="2566">
      <c r="A2566" s="36" t="n">
        <v>46164</v>
      </c>
      <c r="B2566" t="inlineStr">
        <is>
          <t>Sexta</t>
        </is>
      </c>
      <c r="C2566" t="inlineStr">
        <is>
          <t>CTS Lourdes Complementar</t>
        </is>
      </c>
      <c r="D2566" t="inlineStr">
        <is>
          <t>Robson</t>
        </is>
      </c>
      <c r="E2566" t="inlineStr">
        <is>
          <t>Cesar</t>
        </is>
      </c>
      <c r="F2566" t="inlineStr">
        <is>
          <t>Transformação e interligação PV 01</t>
        </is>
      </c>
      <c r="G2566" t="inlineStr">
        <is>
          <t>01</t>
        </is>
      </c>
      <c r="I2566" t="inlineStr">
        <is>
          <t>01</t>
        </is>
      </c>
      <c r="J2566" t="inlineStr">
        <is>
          <t>Transformação</t>
        </is>
      </c>
      <c r="K2566" t="inlineStr">
        <is>
          <t>Planejamento</t>
        </is>
      </c>
      <c r="L2566" t="inlineStr">
        <is>
          <t>chat_codex_2026_05_22</t>
        </is>
      </c>
      <c r="M2566">
        <f>IF($A2566="","",TEXT($A2566,"mmmm/yyyy"))</f>
        <v/>
      </c>
      <c r="P2566">
        <f>IFERROR(XLOOKUP($N2566,Base_Enderecos!$A:$A,Base_Enderecos!$B:$B,""),"")</f>
        <v/>
      </c>
      <c r="Q2566">
        <f>IFERROR(XLOOKUP($N2566,Base_Enderecos!$A:$A,Base_Enderecos!$C:$C,""),"")</f>
        <v/>
      </c>
      <c r="R2566">
        <f>IF(ISNUMBER(SEARCH("HDD",$F2566)),"HDD",IF(ISNUMBER(SEARCH("VCA",$F2566)),"VCA","MND"))</f>
        <v/>
      </c>
      <c r="T2566">
        <f>TEXT($A2566,"yyyy-mm")&amp;"|"&amp;$C2566&amp;"|"&amp;$I2566</f>
        <v/>
      </c>
    </row>
    <row r="2567">
      <c r="A2567" s="36" t="n">
        <v>46164</v>
      </c>
      <c r="B2567" t="inlineStr">
        <is>
          <t>Sexta</t>
        </is>
      </c>
      <c r="C2567" t="inlineStr">
        <is>
          <t>CTS Mar de Coral</t>
        </is>
      </c>
      <c r="D2567" t="inlineStr">
        <is>
          <t>Silvestre</t>
        </is>
      </c>
      <c r="E2567" t="inlineStr">
        <is>
          <t>Edvando</t>
        </is>
      </c>
      <c r="F2567" t="inlineStr">
        <is>
          <t>VCA Condomínio</t>
        </is>
      </c>
      <c r="J2567" t="inlineStr">
        <is>
          <t>VCA</t>
        </is>
      </c>
      <c r="K2567" t="inlineStr">
        <is>
          <t>Planejamento</t>
        </is>
      </c>
      <c r="L2567" t="inlineStr">
        <is>
          <t>chat_codex_2026_05_22</t>
        </is>
      </c>
      <c r="M2567">
        <f>IF($A2567="","",TEXT($A2567,"mmmm/yyyy"))</f>
        <v/>
      </c>
      <c r="P2567">
        <f>IFERROR(XLOOKUP($N2567,Base_Enderecos!$A:$A,Base_Enderecos!$B:$B,""),"")</f>
        <v/>
      </c>
      <c r="Q2567">
        <f>IFERROR(XLOOKUP($N2567,Base_Enderecos!$A:$A,Base_Enderecos!$C:$C,""),"")</f>
        <v/>
      </c>
      <c r="R2567">
        <f>IF(ISNUMBER(SEARCH("HDD",$F2567)),"HDD",IF(ISNUMBER(SEARCH("VCA",$F2567)),"VCA","MND"))</f>
        <v/>
      </c>
      <c r="T2567">
        <f>TEXT($A2567,"yyyy-mm")&amp;"|"&amp;$C2567&amp;"|"&amp;$I2567</f>
        <v/>
      </c>
    </row>
    <row r="2568">
      <c r="A2568" s="36" t="n">
        <v>46164</v>
      </c>
      <c r="B2568" t="inlineStr">
        <is>
          <t>Sexta</t>
        </is>
      </c>
      <c r="C2568" t="inlineStr">
        <is>
          <t>CTS Mar de Coral</t>
        </is>
      </c>
      <c r="D2568" t="inlineStr">
        <is>
          <t>Silvestre</t>
        </is>
      </c>
      <c r="E2568" t="inlineStr">
        <is>
          <t>Jonathan</t>
        </is>
      </c>
      <c r="F2568" t="inlineStr">
        <is>
          <t>VCA Condomínio</t>
        </is>
      </c>
      <c r="J2568" t="inlineStr">
        <is>
          <t>VCA</t>
        </is>
      </c>
      <c r="K2568" t="inlineStr">
        <is>
          <t>Planejamento</t>
        </is>
      </c>
      <c r="L2568" t="inlineStr">
        <is>
          <t>chat_codex_2026_05_22</t>
        </is>
      </c>
      <c r="M2568">
        <f>IF($A2568="","",TEXT($A2568,"mmmm/yyyy"))</f>
        <v/>
      </c>
      <c r="P2568">
        <f>IFERROR(XLOOKUP($N2568,Base_Enderecos!$A:$A,Base_Enderecos!$B:$B,""),"")</f>
        <v/>
      </c>
      <c r="Q2568">
        <f>IFERROR(XLOOKUP($N2568,Base_Enderecos!$A:$A,Base_Enderecos!$C:$C,""),"")</f>
        <v/>
      </c>
      <c r="R2568">
        <f>IF(ISNUMBER(SEARCH("HDD",$F2568)),"HDD",IF(ISNUMBER(SEARCH("VCA",$F2568)),"VCA","MND"))</f>
        <v/>
      </c>
      <c r="T2568">
        <f>TEXT($A2568,"yyyy-mm")&amp;"|"&amp;$C2568&amp;"|"&amp;$I2568</f>
        <v/>
      </c>
    </row>
    <row r="2569">
      <c r="A2569" s="36" t="n">
        <v>46164</v>
      </c>
      <c r="B2569" t="inlineStr">
        <is>
          <t>Sexta</t>
        </is>
      </c>
      <c r="C2569" t="inlineStr">
        <is>
          <t>CTS Mar de Coral</t>
        </is>
      </c>
      <c r="D2569" t="inlineStr">
        <is>
          <t>Silvestre</t>
        </is>
      </c>
      <c r="E2569" t="inlineStr">
        <is>
          <t>Cidão</t>
        </is>
      </c>
      <c r="F2569" t="inlineStr">
        <is>
          <t>Adequação PV 23</t>
        </is>
      </c>
      <c r="G2569" t="inlineStr">
        <is>
          <t>23</t>
        </is>
      </c>
      <c r="I2569" t="inlineStr">
        <is>
          <t>23</t>
        </is>
      </c>
      <c r="J2569" t="inlineStr">
        <is>
          <t>Atividade</t>
        </is>
      </c>
      <c r="K2569" t="inlineStr">
        <is>
          <t>Planejamento</t>
        </is>
      </c>
      <c r="L2569" t="inlineStr">
        <is>
          <t>chat_codex_2026_05_22</t>
        </is>
      </c>
      <c r="M2569">
        <f>IF($A2569="","",TEXT($A2569,"mmmm/yyyy"))</f>
        <v/>
      </c>
      <c r="P2569">
        <f>IFERROR(XLOOKUP($N2569,Base_Enderecos!$A:$A,Base_Enderecos!$B:$B,""),"")</f>
        <v/>
      </c>
      <c r="Q2569">
        <f>IFERROR(XLOOKUP($N2569,Base_Enderecos!$A:$A,Base_Enderecos!$C:$C,""),"")</f>
        <v/>
      </c>
      <c r="R2569">
        <f>IF(ISNUMBER(SEARCH("HDD",$F2569)),"HDD",IF(ISNUMBER(SEARCH("VCA",$F2569)),"VCA","MND"))</f>
        <v/>
      </c>
      <c r="T2569">
        <f>TEXT($A2569,"yyyy-mm")&amp;"|"&amp;$C2569&amp;"|"&amp;$I2569</f>
        <v/>
      </c>
    </row>
    <row r="2570">
      <c r="A2570" s="36" t="n">
        <v>46164</v>
      </c>
      <c r="B2570" t="inlineStr">
        <is>
          <t>Sexta</t>
        </is>
      </c>
      <c r="C2570" t="inlineStr">
        <is>
          <t>CTS Mar de Coral</t>
        </is>
      </c>
      <c r="D2570" t="inlineStr">
        <is>
          <t>Silvestre</t>
        </is>
      </c>
      <c r="E2570" t="inlineStr">
        <is>
          <t>Marcio</t>
        </is>
      </c>
      <c r="F2570" t="inlineStr">
        <is>
          <t>Substituição rede - Cerâmica p/ PVC - PV 33</t>
        </is>
      </c>
      <c r="G2570" t="inlineStr">
        <is>
          <t>33</t>
        </is>
      </c>
      <c r="I2570" t="inlineStr">
        <is>
          <t>33</t>
        </is>
      </c>
      <c r="J2570" t="inlineStr">
        <is>
          <t>Atividade</t>
        </is>
      </c>
      <c r="K2570" t="inlineStr">
        <is>
          <t>Planejamento</t>
        </is>
      </c>
      <c r="L2570" t="inlineStr">
        <is>
          <t>chat_codex_2026_05_22</t>
        </is>
      </c>
      <c r="M2570">
        <f>IF($A2570="","",TEXT($A2570,"mmmm/yyyy"))</f>
        <v/>
      </c>
      <c r="P2570">
        <f>IFERROR(XLOOKUP($N2570,Base_Enderecos!$A:$A,Base_Enderecos!$B:$B,""),"")</f>
        <v/>
      </c>
      <c r="Q2570">
        <f>IFERROR(XLOOKUP($N2570,Base_Enderecos!$A:$A,Base_Enderecos!$C:$C,""),"")</f>
        <v/>
      </c>
      <c r="R2570">
        <f>IF(ISNUMBER(SEARCH("HDD",$F2570)),"HDD",IF(ISNUMBER(SEARCH("VCA",$F2570)),"VCA","MND"))</f>
        <v/>
      </c>
      <c r="T2570">
        <f>TEXT($A2570,"yyyy-mm")&amp;"|"&amp;$C2570&amp;"|"&amp;$I2570</f>
        <v/>
      </c>
    </row>
    <row r="2571">
      <c r="A2571" s="36" t="n">
        <v>46164</v>
      </c>
      <c r="B2571" t="inlineStr">
        <is>
          <t>Sexta</t>
        </is>
      </c>
      <c r="C2571" t="inlineStr">
        <is>
          <t>Serviços Reposição</t>
        </is>
      </c>
      <c r="D2571" t="inlineStr">
        <is>
          <t>Leandro</t>
        </is>
      </c>
      <c r="E2571" t="inlineStr">
        <is>
          <t>Reparos Gerais</t>
        </is>
      </c>
      <c r="F2571" t="inlineStr">
        <is>
          <t>Reparos Gerais</t>
        </is>
      </c>
      <c r="J2571" t="inlineStr">
        <is>
          <t>Apoio</t>
        </is>
      </c>
      <c r="K2571" t="inlineStr">
        <is>
          <t>Planejamento</t>
        </is>
      </c>
      <c r="L2571" t="inlineStr">
        <is>
          <t>chat_codex_2026_05_22</t>
        </is>
      </c>
      <c r="M2571">
        <f>IF($A2571="","",TEXT($A2571,"mmmm/yyyy"))</f>
        <v/>
      </c>
      <c r="P2571">
        <f>IFERROR(XLOOKUP($N2571,Base_Enderecos!$A:$A,Base_Enderecos!$B:$B,""),"")</f>
        <v/>
      </c>
      <c r="Q2571">
        <f>IFERROR(XLOOKUP($N2571,Base_Enderecos!$A:$A,Base_Enderecos!$C:$C,""),"")</f>
        <v/>
      </c>
      <c r="R2571">
        <f>IF(ISNUMBER(SEARCH("HDD",$F2571)),"HDD",IF(ISNUMBER(SEARCH("VCA",$F2571)),"VCA","MND"))</f>
        <v/>
      </c>
      <c r="T2571">
        <f>TEXT($A2571,"yyyy-mm")&amp;"|"&amp;$C2571&amp;"|"&amp;$I2571</f>
        <v/>
      </c>
    </row>
    <row r="2572">
      <c r="A2572" s="36" t="n">
        <v>46164</v>
      </c>
      <c r="B2572" t="inlineStr">
        <is>
          <t>Sexta</t>
        </is>
      </c>
      <c r="C2572" t="inlineStr">
        <is>
          <t>João Canzi</t>
        </is>
      </c>
      <c r="D2572" t="inlineStr">
        <is>
          <t>Leandro</t>
        </is>
      </c>
      <c r="E2572" t="inlineStr">
        <is>
          <t>Vacal</t>
        </is>
      </c>
      <c r="F2572" t="inlineStr">
        <is>
          <t>João Canzi - Renasce</t>
        </is>
      </c>
      <c r="J2572" t="inlineStr">
        <is>
          <t>Apoio</t>
        </is>
      </c>
      <c r="K2572" t="inlineStr">
        <is>
          <t>Apoio</t>
        </is>
      </c>
      <c r="L2572" t="inlineStr">
        <is>
          <t>chat_codex_2026_05_22</t>
        </is>
      </c>
      <c r="M2572">
        <f>IF($A2572="","",TEXT($A2572,"mmmm/yyyy"))</f>
        <v/>
      </c>
      <c r="P2572">
        <f>IFERROR(XLOOKUP($N2572,Base_Enderecos!$A:$A,Base_Enderecos!$B:$B,""),"")</f>
        <v/>
      </c>
      <c r="Q2572">
        <f>IFERROR(XLOOKUP($N2572,Base_Enderecos!$A:$A,Base_Enderecos!$C:$C,""),"")</f>
        <v/>
      </c>
      <c r="R2572">
        <f>IF(ISNUMBER(SEARCH("HDD",$F2572)),"HDD",IF(ISNUMBER(SEARCH("VCA",$F2572)),"VCA","MND"))</f>
        <v/>
      </c>
      <c r="T2572">
        <f>TEXT($A2572,"yyyy-mm")&amp;"|"&amp;$C2572&amp;"|"&amp;$I2572</f>
        <v/>
      </c>
    </row>
    <row r="2573">
      <c r="A2573" s="36" t="n">
        <v>46164</v>
      </c>
      <c r="B2573" t="inlineStr">
        <is>
          <t>Sexta</t>
        </is>
      </c>
      <c r="C2573" t="inlineStr">
        <is>
          <t>João Canzi</t>
        </is>
      </c>
      <c r="D2573" t="inlineStr">
        <is>
          <t>Leandro</t>
        </is>
      </c>
      <c r="E2573" t="inlineStr">
        <is>
          <t>Vacal</t>
        </is>
      </c>
      <c r="F2573" t="inlineStr">
        <is>
          <t>João Canzi - Henko</t>
        </is>
      </c>
      <c r="J2573" t="inlineStr">
        <is>
          <t>Apoio</t>
        </is>
      </c>
      <c r="K2573" t="inlineStr">
        <is>
          <t>Apoio</t>
        </is>
      </c>
      <c r="L2573" t="inlineStr">
        <is>
          <t>chat_codex_2026_05_22</t>
        </is>
      </c>
      <c r="M2573">
        <f>IF($A2573="","",TEXT($A2573,"mmmm/yyyy"))</f>
        <v/>
      </c>
      <c r="P2573">
        <f>IFERROR(XLOOKUP($N2573,Base_Enderecos!$A:$A,Base_Enderecos!$B:$B,""),"")</f>
        <v/>
      </c>
      <c r="Q2573">
        <f>IFERROR(XLOOKUP($N2573,Base_Enderecos!$A:$A,Base_Enderecos!$C:$C,""),"")</f>
        <v/>
      </c>
      <c r="R2573">
        <f>IF(ISNUMBER(SEARCH("HDD",$F2573)),"HDD",IF(ISNUMBER(SEARCH("VCA",$F2573)),"VCA","MND"))</f>
        <v/>
      </c>
      <c r="T2573">
        <f>TEXT($A2573,"yyyy-mm")&amp;"|"&amp;$C2573&amp;"|"&amp;$I2573</f>
        <v/>
      </c>
    </row>
    <row r="2574">
      <c r="A2574" s="36" t="n">
        <v>46164</v>
      </c>
      <c r="B2574" t="inlineStr">
        <is>
          <t>Sexta</t>
        </is>
      </c>
      <c r="C2574" t="inlineStr">
        <is>
          <t>Lourdes</t>
        </is>
      </c>
      <c r="D2574" t="inlineStr">
        <is>
          <t>Leandro</t>
        </is>
      </c>
      <c r="E2574" t="inlineStr">
        <is>
          <t>Vacal</t>
        </is>
      </c>
      <c r="F2574" t="inlineStr">
        <is>
          <t>Lourdes - Hidrosol</t>
        </is>
      </c>
      <c r="J2574" t="inlineStr">
        <is>
          <t>Apoio</t>
        </is>
      </c>
      <c r="K2574" t="inlineStr">
        <is>
          <t>Apoio</t>
        </is>
      </c>
      <c r="L2574" t="inlineStr">
        <is>
          <t>chat_codex_2026_05_22</t>
        </is>
      </c>
      <c r="M2574">
        <f>IF($A2574="","",TEXT($A2574,"mmmm/yyyy"))</f>
        <v/>
      </c>
      <c r="P2574">
        <f>IFERROR(XLOOKUP($N2574,Base_Enderecos!$A:$A,Base_Enderecos!$B:$B,""),"")</f>
        <v/>
      </c>
      <c r="Q2574">
        <f>IFERROR(XLOOKUP($N2574,Base_Enderecos!$A:$A,Base_Enderecos!$C:$C,""),"")</f>
        <v/>
      </c>
      <c r="R2574">
        <f>IF(ISNUMBER(SEARCH("HDD",$F2574)),"HDD",IF(ISNUMBER(SEARCH("VCA",$F2574)),"VCA","MND"))</f>
        <v/>
      </c>
      <c r="T2574">
        <f>TEXT($A2574,"yyyy-mm")&amp;"|"&amp;$C2574&amp;"|"&amp;$I2574</f>
        <v/>
      </c>
    </row>
    <row r="2575">
      <c r="A2575" s="36" t="n">
        <v>46164</v>
      </c>
      <c r="B2575" t="inlineStr">
        <is>
          <t>Sexta</t>
        </is>
      </c>
      <c r="C2575" t="inlineStr">
        <is>
          <t>Lourdes</t>
        </is>
      </c>
      <c r="D2575" t="inlineStr">
        <is>
          <t>Leandro</t>
        </is>
      </c>
      <c r="E2575" t="inlineStr">
        <is>
          <t>Vacal</t>
        </is>
      </c>
      <c r="F2575" t="inlineStr">
        <is>
          <t>Lourdes - Henko</t>
        </is>
      </c>
      <c r="J2575" t="inlineStr">
        <is>
          <t>Apoio</t>
        </is>
      </c>
      <c r="K2575" t="inlineStr">
        <is>
          <t>Apoio</t>
        </is>
      </c>
      <c r="L2575" t="inlineStr">
        <is>
          <t>chat_codex_2026_05_22</t>
        </is>
      </c>
      <c r="M2575">
        <f>IF($A2575="","",TEXT($A2575,"mmmm/yyyy"))</f>
        <v/>
      </c>
      <c r="P2575">
        <f>IFERROR(XLOOKUP($N2575,Base_Enderecos!$A:$A,Base_Enderecos!$B:$B,""),"")</f>
        <v/>
      </c>
      <c r="Q2575">
        <f>IFERROR(XLOOKUP($N2575,Base_Enderecos!$A:$A,Base_Enderecos!$C:$C,""),"")</f>
        <v/>
      </c>
      <c r="R2575">
        <f>IF(ISNUMBER(SEARCH("HDD",$F2575)),"HDD",IF(ISNUMBER(SEARCH("VCA",$F2575)),"VCA","MND"))</f>
        <v/>
      </c>
      <c r="T2575">
        <f>TEXT($A2575,"yyyy-mm")&amp;"|"&amp;$C2575&amp;"|"&amp;$I2575</f>
        <v/>
      </c>
    </row>
    <row r="2576">
      <c r="A2576" s="36" t="n">
        <v>46164</v>
      </c>
      <c r="B2576" t="inlineStr">
        <is>
          <t>Sexta</t>
        </is>
      </c>
      <c r="C2576" t="inlineStr">
        <is>
          <t>Guindauto</t>
        </is>
      </c>
      <c r="E2576" t="inlineStr">
        <is>
          <t>Marcio</t>
        </is>
      </c>
      <c r="F2576" t="inlineStr">
        <is>
          <t>Apoio as equipes</t>
        </is>
      </c>
      <c r="J2576" t="inlineStr">
        <is>
          <t>Apoio</t>
        </is>
      </c>
      <c r="K2576" t="inlineStr">
        <is>
          <t>Apoio</t>
        </is>
      </c>
      <c r="L2576" t="inlineStr">
        <is>
          <t>chat_codex_2026_05_22</t>
        </is>
      </c>
      <c r="M2576">
        <f>IF($A2576="","",TEXT($A2576,"mmmm/yyyy"))</f>
        <v/>
      </c>
      <c r="P2576">
        <f>IFERROR(XLOOKUP($N2576,Base_Enderecos!$A:$A,Base_Enderecos!$B:$B,""),"")</f>
        <v/>
      </c>
      <c r="Q2576">
        <f>IFERROR(XLOOKUP($N2576,Base_Enderecos!$A:$A,Base_Enderecos!$C:$C,""),"")</f>
        <v/>
      </c>
      <c r="R2576">
        <f>IF(ISNUMBER(SEARCH("HDD",$F2576)),"HDD",IF(ISNUMBER(SEARCH("VCA",$F2576)),"VCA","MND"))</f>
        <v/>
      </c>
      <c r="T2576">
        <f>TEXT($A2576,"yyyy-mm")&amp;"|"&amp;$C2576&amp;"|"&amp;$I2576</f>
        <v/>
      </c>
    </row>
    <row r="2577">
      <c r="A2577" s="36" t="n">
        <v>46164</v>
      </c>
      <c r="B2577" t="inlineStr">
        <is>
          <t>Sexta</t>
        </is>
      </c>
      <c r="C2577" t="inlineStr">
        <is>
          <t>Guindauto</t>
        </is>
      </c>
      <c r="E2577" t="inlineStr">
        <is>
          <t>Luiz Carlos</t>
        </is>
      </c>
      <c r="F2577" t="inlineStr">
        <is>
          <t>Apoio as equipes</t>
        </is>
      </c>
      <c r="J2577" t="inlineStr">
        <is>
          <t>Apoio</t>
        </is>
      </c>
      <c r="K2577" t="inlineStr">
        <is>
          <t>Apoio</t>
        </is>
      </c>
      <c r="L2577" t="inlineStr">
        <is>
          <t>chat_codex_2026_05_22</t>
        </is>
      </c>
      <c r="M2577">
        <f>IF($A2577="","",TEXT($A2577,"mmmm/yyyy"))</f>
        <v/>
      </c>
      <c r="P2577">
        <f>IFERROR(XLOOKUP($N2577,Base_Enderecos!$A:$A,Base_Enderecos!$B:$B,""),"")</f>
        <v/>
      </c>
      <c r="Q2577">
        <f>IFERROR(XLOOKUP($N2577,Base_Enderecos!$A:$A,Base_Enderecos!$C:$C,""),"")</f>
        <v/>
      </c>
      <c r="R2577">
        <f>IF(ISNUMBER(SEARCH("HDD",$F2577)),"HDD",IF(ISNUMBER(SEARCH("VCA",$F2577)),"VCA","MND"))</f>
        <v/>
      </c>
      <c r="T2577">
        <f>TEXT($A2577,"yyyy-mm")&amp;"|"&amp;$C2577&amp;"|"&amp;$I2577</f>
        <v/>
      </c>
    </row>
    <row r="2578">
      <c r="A2578" s="36" t="n">
        <v>46167</v>
      </c>
      <c r="B2578" t="inlineStr">
        <is>
          <t>Segunda</t>
        </is>
      </c>
      <c r="C2578" t="inlineStr">
        <is>
          <t>CT João Canzi</t>
        </is>
      </c>
      <c r="D2578" t="inlineStr">
        <is>
          <t>Valmir</t>
        </is>
      </c>
      <c r="E2578" t="inlineStr">
        <is>
          <t>Goiânia Drill</t>
        </is>
      </c>
      <c r="F2578" t="inlineStr">
        <is>
          <t>Furo piloto e puxe do PV-14 ao PV-15</t>
        </is>
      </c>
      <c r="G2578" t="inlineStr">
        <is>
          <t>14</t>
        </is>
      </c>
      <c r="H2578" t="inlineStr">
        <is>
          <t>15</t>
        </is>
      </c>
      <c r="I2578" t="inlineStr">
        <is>
          <t>14 ao 15</t>
        </is>
      </c>
      <c r="J2578" t="inlineStr">
        <is>
          <t>HDD</t>
        </is>
      </c>
      <c r="K2578" t="inlineStr">
        <is>
          <t>Planejamento</t>
        </is>
      </c>
      <c r="L2578" t="inlineStr">
        <is>
          <t>PDS-Maio.docx</t>
        </is>
      </c>
      <c r="M2578">
        <f>IF($A2578="","",TEXT($A2578,"mmmm/yyyy"))</f>
        <v/>
      </c>
      <c r="P2578">
        <f>IFERROR(XLOOKUP($N2578,Base_Enderecos!$A:$A,Base_Enderecos!$B:$B,""),"")</f>
        <v/>
      </c>
      <c r="Q2578">
        <f>IFERROR(XLOOKUP($N2578,Base_Enderecos!$A:$A,Base_Enderecos!$C:$C,""),"")</f>
        <v/>
      </c>
      <c r="R2578">
        <f>IF(ISNUMBER(SEARCH("HDD",$F2578)),"HDD",IF(ISNUMBER(SEARCH("VCA",$F2578)),"VCA","MND"))</f>
        <v/>
      </c>
      <c r="T2578">
        <f>TEXT($A2578,"yyyy-mm")&amp;"|"&amp;$C2578&amp;"|"&amp;$I2578</f>
        <v/>
      </c>
    </row>
    <row r="2579">
      <c r="A2579" s="36" t="n">
        <v>46167</v>
      </c>
      <c r="B2579" t="inlineStr">
        <is>
          <t>Segunda</t>
        </is>
      </c>
      <c r="C2579" t="inlineStr">
        <is>
          <t>CT João Canzi</t>
        </is>
      </c>
      <c r="D2579" t="inlineStr">
        <is>
          <t>Valmir</t>
        </is>
      </c>
      <c r="E2579" t="inlineStr">
        <is>
          <t>Bruno</t>
        </is>
      </c>
      <c r="F2579" t="inlineStr">
        <is>
          <t>Apoio ao HDD</t>
        </is>
      </c>
      <c r="J2579" t="inlineStr">
        <is>
          <t>HDD</t>
        </is>
      </c>
      <c r="K2579" t="inlineStr">
        <is>
          <t>Planejamento</t>
        </is>
      </c>
      <c r="L2579" t="inlineStr">
        <is>
          <t>PDS-Maio.docx</t>
        </is>
      </c>
      <c r="M2579">
        <f>IF($A2579="","",TEXT($A2579,"mmmm/yyyy"))</f>
        <v/>
      </c>
      <c r="P2579">
        <f>IFERROR(XLOOKUP($N2579,Base_Enderecos!$A:$A,Base_Enderecos!$B:$B,""),"")</f>
        <v/>
      </c>
      <c r="Q2579">
        <f>IFERROR(XLOOKUP($N2579,Base_Enderecos!$A:$A,Base_Enderecos!$C:$C,""),"")</f>
        <v/>
      </c>
      <c r="R2579">
        <f>IF(ISNUMBER(SEARCH("HDD",$F2579)),"HDD",IF(ISNUMBER(SEARCH("VCA",$F2579)),"VCA","MND"))</f>
        <v/>
      </c>
      <c r="T2579">
        <f>TEXT($A2579,"yyyy-mm")&amp;"|"&amp;$C2579&amp;"|"&amp;$I2579</f>
        <v/>
      </c>
    </row>
    <row r="2580">
      <c r="A2580" s="36" t="n">
        <v>46167</v>
      </c>
      <c r="B2580" t="inlineStr">
        <is>
          <t>Segunda</t>
        </is>
      </c>
      <c r="C2580" t="inlineStr">
        <is>
          <t>CT João Canzi</t>
        </is>
      </c>
      <c r="D2580" t="inlineStr">
        <is>
          <t>Valmir</t>
        </is>
      </c>
      <c r="E2580" t="inlineStr">
        <is>
          <t>Valter</t>
        </is>
      </c>
      <c r="F2580" t="inlineStr">
        <is>
          <t>Shaft PV 01* (ELVIRA/JOÃO CANZI)</t>
        </is>
      </c>
      <c r="G2580" t="inlineStr">
        <is>
          <t>01</t>
        </is>
      </c>
      <c r="I2580" t="inlineStr">
        <is>
          <t>01</t>
        </is>
      </c>
      <c r="J2580" t="inlineStr">
        <is>
          <t>Shaft</t>
        </is>
      </c>
      <c r="K2580" t="inlineStr">
        <is>
          <t>Planejamento</t>
        </is>
      </c>
      <c r="L2580" t="inlineStr">
        <is>
          <t>PDS-Maio.docx</t>
        </is>
      </c>
      <c r="M2580">
        <f>IF($A2580="","",TEXT($A2580,"mmmm/yyyy"))</f>
        <v/>
      </c>
      <c r="P2580">
        <f>IFERROR(XLOOKUP($N2580,Base_Enderecos!$A:$A,Base_Enderecos!$B:$B,""),"")</f>
        <v/>
      </c>
      <c r="Q2580">
        <f>IFERROR(XLOOKUP($N2580,Base_Enderecos!$A:$A,Base_Enderecos!$C:$C,""),"")</f>
        <v/>
      </c>
      <c r="R2580">
        <f>IF(ISNUMBER(SEARCH("HDD",$F2580)),"HDD",IF(ISNUMBER(SEARCH("VCA",$F2580)),"VCA","MND"))</f>
        <v/>
      </c>
      <c r="T2580">
        <f>TEXT($A2580,"yyyy-mm")&amp;"|"&amp;$C2580&amp;"|"&amp;$I2580</f>
        <v/>
      </c>
    </row>
    <row r="2581">
      <c r="A2581" s="36" t="n">
        <v>46167</v>
      </c>
      <c r="B2581" t="inlineStr">
        <is>
          <t>Segunda</t>
        </is>
      </c>
      <c r="C2581" t="inlineStr">
        <is>
          <t>CT João Canzi</t>
        </is>
      </c>
      <c r="D2581" t="inlineStr">
        <is>
          <t>Valmir</t>
        </is>
      </c>
      <c r="E2581" t="inlineStr">
        <is>
          <t>Marcelo</t>
        </is>
      </c>
      <c r="F2581" t="inlineStr">
        <is>
          <t>Transformação PV 08</t>
        </is>
      </c>
      <c r="G2581" t="inlineStr">
        <is>
          <t>08</t>
        </is>
      </c>
      <c r="I2581" t="inlineStr">
        <is>
          <t>08</t>
        </is>
      </c>
      <c r="J2581" t="inlineStr">
        <is>
          <t>Transformação</t>
        </is>
      </c>
      <c r="K2581" t="inlineStr">
        <is>
          <t>Planejamento</t>
        </is>
      </c>
      <c r="L2581" t="inlineStr">
        <is>
          <t>PDS-Maio.docx</t>
        </is>
      </c>
      <c r="M2581">
        <f>IF($A2581="","",TEXT($A2581,"mmmm/yyyy"))</f>
        <v/>
      </c>
      <c r="P2581">
        <f>IFERROR(XLOOKUP($N2581,Base_Enderecos!$A:$A,Base_Enderecos!$B:$B,""),"")</f>
        <v/>
      </c>
      <c r="Q2581">
        <f>IFERROR(XLOOKUP($N2581,Base_Enderecos!$A:$A,Base_Enderecos!$C:$C,""),"")</f>
        <v/>
      </c>
      <c r="R2581">
        <f>IF(ISNUMBER(SEARCH("HDD",$F2581)),"HDD",IF(ISNUMBER(SEARCH("VCA",$F2581)),"VCA","MND"))</f>
        <v/>
      </c>
      <c r="T2581">
        <f>TEXT($A2581,"yyyy-mm")&amp;"|"&amp;$C2581&amp;"|"&amp;$I2581</f>
        <v/>
      </c>
    </row>
    <row r="2582">
      <c r="A2582" s="36" t="n">
        <v>46167</v>
      </c>
      <c r="B2582" t="inlineStr">
        <is>
          <t>Segunda</t>
        </is>
      </c>
      <c r="C2582" t="inlineStr">
        <is>
          <t>CT João Canzi</t>
        </is>
      </c>
      <c r="D2582" t="inlineStr">
        <is>
          <t>Valmir</t>
        </is>
      </c>
      <c r="E2582" t="inlineStr">
        <is>
          <t>Cidão</t>
        </is>
      </c>
      <c r="F2582" t="inlineStr">
        <is>
          <t>Transformação PV 13</t>
        </is>
      </c>
      <c r="G2582" t="inlineStr">
        <is>
          <t>13</t>
        </is>
      </c>
      <c r="I2582" t="inlineStr">
        <is>
          <t>13</t>
        </is>
      </c>
      <c r="J2582" t="inlineStr">
        <is>
          <t>Transformação</t>
        </is>
      </c>
      <c r="K2582" t="inlineStr">
        <is>
          <t>Planejamento</t>
        </is>
      </c>
      <c r="L2582" t="inlineStr">
        <is>
          <t>PDS-Maio.docx</t>
        </is>
      </c>
      <c r="M2582">
        <f>IF($A2582="","",TEXT($A2582,"mmmm/yyyy"))</f>
        <v/>
      </c>
      <c r="P2582">
        <f>IFERROR(XLOOKUP($N2582,Base_Enderecos!$A:$A,Base_Enderecos!$B:$B,""),"")</f>
        <v/>
      </c>
      <c r="Q2582">
        <f>IFERROR(XLOOKUP($N2582,Base_Enderecos!$A:$A,Base_Enderecos!$C:$C,""),"")</f>
        <v/>
      </c>
      <c r="R2582">
        <f>IF(ISNUMBER(SEARCH("HDD",$F2582)),"HDD",IF(ISNUMBER(SEARCH("VCA",$F2582)),"VCA","MND"))</f>
        <v/>
      </c>
      <c r="T2582">
        <f>TEXT($A2582,"yyyy-mm")&amp;"|"&amp;$C2582&amp;"|"&amp;$I2582</f>
        <v/>
      </c>
    </row>
    <row r="2583">
      <c r="A2583" s="36" t="n">
        <v>46167</v>
      </c>
      <c r="B2583" t="inlineStr">
        <is>
          <t>Segunda</t>
        </is>
      </c>
      <c r="C2583" t="inlineStr">
        <is>
          <t>RCE São Lucas</t>
        </is>
      </c>
      <c r="D2583" t="inlineStr">
        <is>
          <t>Fábio</t>
        </is>
      </c>
      <c r="E2583" t="inlineStr">
        <is>
          <t>Ricardo</t>
        </is>
      </c>
      <c r="F2583" t="inlineStr">
        <is>
          <t>VCA, PVs e Ligações (PI 03 ao PI 04) (RCE RUA SÃO JOÃO)</t>
        </is>
      </c>
      <c r="G2583" t="inlineStr">
        <is>
          <t>03</t>
        </is>
      </c>
      <c r="H2583" t="inlineStr">
        <is>
          <t>04</t>
        </is>
      </c>
      <c r="I2583" t="inlineStr">
        <is>
          <t>03 ao 04</t>
        </is>
      </c>
      <c r="J2583" t="inlineStr">
        <is>
          <t>VCA</t>
        </is>
      </c>
      <c r="K2583" t="inlineStr">
        <is>
          <t>Planejamento</t>
        </is>
      </c>
      <c r="L2583" t="inlineStr">
        <is>
          <t>PDS-Maio.docx</t>
        </is>
      </c>
      <c r="M2583">
        <f>IF($A2583="","",TEXT($A2583,"mmmm/yyyy"))</f>
        <v/>
      </c>
      <c r="P2583">
        <f>IFERROR(XLOOKUP($N2583,Base_Enderecos!$A:$A,Base_Enderecos!$B:$B,""),"")</f>
        <v/>
      </c>
      <c r="Q2583">
        <f>IFERROR(XLOOKUP($N2583,Base_Enderecos!$A:$A,Base_Enderecos!$C:$C,""),"")</f>
        <v/>
      </c>
      <c r="R2583">
        <f>IF(ISNUMBER(SEARCH("HDD",$F2583)),"HDD",IF(ISNUMBER(SEARCH("VCA",$F2583)),"VCA","MND"))</f>
        <v/>
      </c>
      <c r="T2583">
        <f>TEXT($A2583,"yyyy-mm")&amp;"|"&amp;$C2583&amp;"|"&amp;$I2583</f>
        <v/>
      </c>
    </row>
    <row r="2584">
      <c r="A2584" s="36" t="n">
        <v>46167</v>
      </c>
      <c r="B2584" t="inlineStr">
        <is>
          <t>Segunda</t>
        </is>
      </c>
      <c r="C2584" t="inlineStr">
        <is>
          <t>RCE São Lucas</t>
        </is>
      </c>
      <c r="D2584" t="inlineStr">
        <is>
          <t>Fábio</t>
        </is>
      </c>
      <c r="E2584" t="inlineStr">
        <is>
          <t>Claudinei</t>
        </is>
      </c>
      <c r="F2584" t="inlineStr">
        <is>
          <t>VCA, PVs e Ligações (PI 40 ao PI 41) (RCE RUA SÃO JOÃO)</t>
        </is>
      </c>
      <c r="G2584" t="inlineStr">
        <is>
          <t>40</t>
        </is>
      </c>
      <c r="H2584" t="inlineStr">
        <is>
          <t>41</t>
        </is>
      </c>
      <c r="I2584" t="inlineStr">
        <is>
          <t>40 ao 41</t>
        </is>
      </c>
      <c r="J2584" t="inlineStr">
        <is>
          <t>VCA</t>
        </is>
      </c>
      <c r="K2584" t="inlineStr">
        <is>
          <t>Planejamento</t>
        </is>
      </c>
      <c r="L2584" t="inlineStr">
        <is>
          <t>PDS-Maio.docx</t>
        </is>
      </c>
      <c r="M2584">
        <f>IF($A2584="","",TEXT($A2584,"mmmm/yyyy"))</f>
        <v/>
      </c>
      <c r="P2584">
        <f>IFERROR(XLOOKUP($N2584,Base_Enderecos!$A:$A,Base_Enderecos!$B:$B,""),"")</f>
        <v/>
      </c>
      <c r="Q2584">
        <f>IFERROR(XLOOKUP($N2584,Base_Enderecos!$A:$A,Base_Enderecos!$C:$C,""),"")</f>
        <v/>
      </c>
      <c r="R2584">
        <f>IF(ISNUMBER(SEARCH("HDD",$F2584)),"HDD",IF(ISNUMBER(SEARCH("VCA",$F2584)),"VCA","MND"))</f>
        <v/>
      </c>
      <c r="T2584">
        <f>TEXT($A2584,"yyyy-mm")&amp;"|"&amp;$C2584&amp;"|"&amp;$I2584</f>
        <v/>
      </c>
    </row>
    <row r="2585">
      <c r="A2585" s="36" t="n">
        <v>46167</v>
      </c>
      <c r="B2585" t="inlineStr">
        <is>
          <t>Segunda</t>
        </is>
      </c>
      <c r="C2585" t="inlineStr">
        <is>
          <t>RCE São Lucas</t>
        </is>
      </c>
      <c r="D2585" t="inlineStr">
        <is>
          <t>Fábio</t>
        </is>
      </c>
      <c r="E2585" t="inlineStr">
        <is>
          <t>Antonio</t>
        </is>
      </c>
      <c r="F2585" t="inlineStr">
        <is>
          <t>VCA, PVs e Ligações (PI 01 ao PI 02)* (RCE RUA SÃO JOÃO)</t>
        </is>
      </c>
      <c r="G2585" t="inlineStr">
        <is>
          <t>01</t>
        </is>
      </c>
      <c r="H2585" t="inlineStr">
        <is>
          <t>02</t>
        </is>
      </c>
      <c r="I2585" t="inlineStr">
        <is>
          <t>01 ao 02</t>
        </is>
      </c>
      <c r="J2585" t="inlineStr">
        <is>
          <t>VCA</t>
        </is>
      </c>
      <c r="K2585" t="inlineStr">
        <is>
          <t>Planejamento</t>
        </is>
      </c>
      <c r="L2585" t="inlineStr">
        <is>
          <t>PDS-Maio.docx</t>
        </is>
      </c>
      <c r="M2585">
        <f>IF($A2585="","",TEXT($A2585,"mmmm/yyyy"))</f>
        <v/>
      </c>
      <c r="P2585">
        <f>IFERROR(XLOOKUP($N2585,Base_Enderecos!$A:$A,Base_Enderecos!$B:$B,""),"")</f>
        <v/>
      </c>
      <c r="Q2585">
        <f>IFERROR(XLOOKUP($N2585,Base_Enderecos!$A:$A,Base_Enderecos!$C:$C,""),"")</f>
        <v/>
      </c>
      <c r="R2585">
        <f>IF(ISNUMBER(SEARCH("HDD",$F2585)),"HDD",IF(ISNUMBER(SEARCH("VCA",$F2585)),"VCA","MND"))</f>
        <v/>
      </c>
      <c r="T2585">
        <f>TEXT($A2585,"yyyy-mm")&amp;"|"&amp;$C2585&amp;"|"&amp;$I2585</f>
        <v/>
      </c>
    </row>
    <row r="2586">
      <c r="A2586" s="36" t="n">
        <v>46167</v>
      </c>
      <c r="B2586" t="inlineStr">
        <is>
          <t>Segunda</t>
        </is>
      </c>
      <c r="C2586" t="inlineStr">
        <is>
          <t>RCE São Lucas</t>
        </is>
      </c>
      <c r="D2586" t="inlineStr">
        <is>
          <t>Fábio</t>
        </is>
      </c>
      <c r="E2586" t="inlineStr">
        <is>
          <t>Emanuel GO-01</t>
        </is>
      </c>
      <c r="F2586" t="inlineStr">
        <is>
          <t>VCA, PVs e Ligações (PI 32 ao PI 33) (RCE RUA SÃO JOÃO)</t>
        </is>
      </c>
      <c r="G2586" t="inlineStr">
        <is>
          <t>32</t>
        </is>
      </c>
      <c r="H2586" t="inlineStr">
        <is>
          <t>33</t>
        </is>
      </c>
      <c r="I2586" t="inlineStr">
        <is>
          <t>32 ao 33</t>
        </is>
      </c>
      <c r="J2586" t="inlineStr">
        <is>
          <t>VCA</t>
        </is>
      </c>
      <c r="K2586" t="inlineStr">
        <is>
          <t>Planejamento</t>
        </is>
      </c>
      <c r="L2586" t="inlineStr">
        <is>
          <t>PDS-Maio.docx</t>
        </is>
      </c>
      <c r="M2586">
        <f>IF($A2586="","",TEXT($A2586,"mmmm/yyyy"))</f>
        <v/>
      </c>
      <c r="P2586">
        <f>IFERROR(XLOOKUP($N2586,Base_Enderecos!$A:$A,Base_Enderecos!$B:$B,""),"")</f>
        <v/>
      </c>
      <c r="Q2586">
        <f>IFERROR(XLOOKUP($N2586,Base_Enderecos!$A:$A,Base_Enderecos!$C:$C,""),"")</f>
        <v/>
      </c>
      <c r="R2586">
        <f>IF(ISNUMBER(SEARCH("HDD",$F2586)),"HDD",IF(ISNUMBER(SEARCH("VCA",$F2586)),"VCA","MND"))</f>
        <v/>
      </c>
      <c r="T2586">
        <f>TEXT($A2586,"yyyy-mm")&amp;"|"&amp;$C2586&amp;"|"&amp;$I2586</f>
        <v/>
      </c>
    </row>
    <row r="2587">
      <c r="A2587" s="36" t="n">
        <v>46167</v>
      </c>
      <c r="B2587" t="inlineStr">
        <is>
          <t>Segunda</t>
        </is>
      </c>
      <c r="C2587" t="inlineStr">
        <is>
          <t>RCE São Lucas</t>
        </is>
      </c>
      <c r="D2587" t="inlineStr">
        <is>
          <t>Fábio</t>
        </is>
      </c>
      <c r="E2587" t="inlineStr">
        <is>
          <t>Miro GO-02</t>
        </is>
      </c>
      <c r="F2587" t="inlineStr">
        <is>
          <t>VCA, PVs e Ligações (PI 32 ao PI 33) (RCE RUA SÃO JOÃO)</t>
        </is>
      </c>
      <c r="G2587" t="inlineStr">
        <is>
          <t>32</t>
        </is>
      </c>
      <c r="H2587" t="inlineStr">
        <is>
          <t>33</t>
        </is>
      </c>
      <c r="I2587" t="inlineStr">
        <is>
          <t>32 ao 33</t>
        </is>
      </c>
      <c r="J2587" t="inlineStr">
        <is>
          <t>VCA</t>
        </is>
      </c>
      <c r="K2587" t="inlineStr">
        <is>
          <t>Planejamento</t>
        </is>
      </c>
      <c r="L2587" t="inlineStr">
        <is>
          <t>PDS-Maio.docx</t>
        </is>
      </c>
      <c r="M2587">
        <f>IF($A2587="","",TEXT($A2587,"mmmm/yyyy"))</f>
        <v/>
      </c>
      <c r="P2587">
        <f>IFERROR(XLOOKUP($N2587,Base_Enderecos!$A:$A,Base_Enderecos!$B:$B,""),"")</f>
        <v/>
      </c>
      <c r="Q2587">
        <f>IFERROR(XLOOKUP($N2587,Base_Enderecos!$A:$A,Base_Enderecos!$C:$C,""),"")</f>
        <v/>
      </c>
      <c r="R2587">
        <f>IF(ISNUMBER(SEARCH("HDD",$F2587)),"HDD",IF(ISNUMBER(SEARCH("VCA",$F2587)),"VCA","MND"))</f>
        <v/>
      </c>
      <c r="T2587">
        <f>TEXT($A2587,"yyyy-mm")&amp;"|"&amp;$C2587&amp;"|"&amp;$I2587</f>
        <v/>
      </c>
    </row>
    <row r="2588">
      <c r="A2588" s="36" t="n">
        <v>46167</v>
      </c>
      <c r="B2588" t="inlineStr">
        <is>
          <t>Segunda</t>
        </is>
      </c>
      <c r="C2588" t="inlineStr">
        <is>
          <t>CTS Lourdes Complementar</t>
        </is>
      </c>
      <c r="D2588" t="inlineStr">
        <is>
          <t>Robson</t>
        </is>
      </c>
      <c r="E2588" t="inlineStr">
        <is>
          <t>GR Drill</t>
        </is>
      </c>
      <c r="F2588" t="inlineStr">
        <is>
          <t>Furo Piloto e puxe PV 03 ao PV 04</t>
        </is>
      </c>
      <c r="G2588" t="inlineStr">
        <is>
          <t>03</t>
        </is>
      </c>
      <c r="H2588" t="inlineStr">
        <is>
          <t>04</t>
        </is>
      </c>
      <c r="I2588" t="inlineStr">
        <is>
          <t>03 ao 04</t>
        </is>
      </c>
      <c r="J2588" t="inlineStr">
        <is>
          <t>HDD</t>
        </is>
      </c>
      <c r="K2588" t="inlineStr">
        <is>
          <t>Planejamento</t>
        </is>
      </c>
      <c r="L2588" t="inlineStr">
        <is>
          <t>PDS-Maio.docx</t>
        </is>
      </c>
      <c r="M2588">
        <f>IF($A2588="","",TEXT($A2588,"mmmm/yyyy"))</f>
        <v/>
      </c>
      <c r="P2588">
        <f>IFERROR(XLOOKUP($N2588,Base_Enderecos!$A:$A,Base_Enderecos!$B:$B,""),"")</f>
        <v/>
      </c>
      <c r="Q2588">
        <f>IFERROR(XLOOKUP($N2588,Base_Enderecos!$A:$A,Base_Enderecos!$C:$C,""),"")</f>
        <v/>
      </c>
      <c r="R2588">
        <f>IF(ISNUMBER(SEARCH("HDD",$F2588)),"HDD",IF(ISNUMBER(SEARCH("VCA",$F2588)),"VCA","MND"))</f>
        <v/>
      </c>
      <c r="T2588">
        <f>TEXT($A2588,"yyyy-mm")&amp;"|"&amp;$C2588&amp;"|"&amp;$I2588</f>
        <v/>
      </c>
    </row>
    <row r="2589">
      <c r="A2589" s="36" t="n">
        <v>46167</v>
      </c>
      <c r="B2589" t="inlineStr">
        <is>
          <t>Segunda</t>
        </is>
      </c>
      <c r="C2589" t="inlineStr">
        <is>
          <t>CTS Lourdes Complementar</t>
        </is>
      </c>
      <c r="D2589" t="inlineStr">
        <is>
          <t>Robson</t>
        </is>
      </c>
      <c r="E2589" t="inlineStr">
        <is>
          <t>Medeiros</t>
        </is>
      </c>
      <c r="F2589" t="inlineStr">
        <is>
          <t>Apoio HDD</t>
        </is>
      </c>
      <c r="J2589" t="inlineStr">
        <is>
          <t>HDD</t>
        </is>
      </c>
      <c r="K2589" t="inlineStr">
        <is>
          <t>Planejamento</t>
        </is>
      </c>
      <c r="L2589" t="inlineStr">
        <is>
          <t>PDS-Maio.docx</t>
        </is>
      </c>
      <c r="M2589">
        <f>IF($A2589="","",TEXT($A2589,"mmmm/yyyy"))</f>
        <v/>
      </c>
      <c r="P2589">
        <f>IFERROR(XLOOKUP($N2589,Base_Enderecos!$A:$A,Base_Enderecos!$B:$B,""),"")</f>
        <v/>
      </c>
      <c r="Q2589">
        <f>IFERROR(XLOOKUP($N2589,Base_Enderecos!$A:$A,Base_Enderecos!$C:$C,""),"")</f>
        <v/>
      </c>
      <c r="R2589">
        <f>IF(ISNUMBER(SEARCH("HDD",$F2589)),"HDD",IF(ISNUMBER(SEARCH("VCA",$F2589)),"VCA","MND"))</f>
        <v/>
      </c>
      <c r="T2589">
        <f>TEXT($A2589,"yyyy-mm")&amp;"|"&amp;$C2589&amp;"|"&amp;$I2589</f>
        <v/>
      </c>
    </row>
    <row r="2590">
      <c r="A2590" s="36" t="n">
        <v>46167</v>
      </c>
      <c r="B2590" t="inlineStr">
        <is>
          <t>Segunda</t>
        </is>
      </c>
      <c r="C2590" t="inlineStr">
        <is>
          <t>CTS Lourdes Complementar</t>
        </is>
      </c>
      <c r="D2590" t="inlineStr">
        <is>
          <t>Robson</t>
        </is>
      </c>
      <c r="E2590" t="inlineStr">
        <is>
          <t>Cesar</t>
        </is>
      </c>
      <c r="F2590" t="inlineStr">
        <is>
          <t>Transformação e interligação PV 01</t>
        </is>
      </c>
      <c r="G2590" t="inlineStr">
        <is>
          <t>01</t>
        </is>
      </c>
      <c r="I2590" t="inlineStr">
        <is>
          <t>01</t>
        </is>
      </c>
      <c r="J2590" t="inlineStr">
        <is>
          <t>Transformação</t>
        </is>
      </c>
      <c r="K2590" t="inlineStr">
        <is>
          <t>Planejamento</t>
        </is>
      </c>
      <c r="L2590" t="inlineStr">
        <is>
          <t>PDS-Maio.docx</t>
        </is>
      </c>
      <c r="M2590">
        <f>IF($A2590="","",TEXT($A2590,"mmmm/yyyy"))</f>
        <v/>
      </c>
      <c r="P2590">
        <f>IFERROR(XLOOKUP($N2590,Base_Enderecos!$A:$A,Base_Enderecos!$B:$B,""),"")</f>
        <v/>
      </c>
      <c r="Q2590">
        <f>IFERROR(XLOOKUP($N2590,Base_Enderecos!$A:$A,Base_Enderecos!$C:$C,""),"")</f>
        <v/>
      </c>
      <c r="R2590">
        <f>IF(ISNUMBER(SEARCH("HDD",$F2590)),"HDD",IF(ISNUMBER(SEARCH("VCA",$F2590)),"VCA","MND"))</f>
        <v/>
      </c>
      <c r="T2590">
        <f>TEXT($A2590,"yyyy-mm")&amp;"|"&amp;$C2590&amp;"|"&amp;$I2590</f>
        <v/>
      </c>
    </row>
    <row r="2591">
      <c r="A2591" s="36" t="n">
        <v>46167</v>
      </c>
      <c r="B2591" t="inlineStr">
        <is>
          <t>Segunda</t>
        </is>
      </c>
      <c r="C2591" t="inlineStr">
        <is>
          <t>CTS Mar de Coral</t>
        </is>
      </c>
      <c r="D2591" t="inlineStr">
        <is>
          <t>Silvestre</t>
        </is>
      </c>
      <c r="E2591" t="inlineStr">
        <is>
          <t>Edvando</t>
        </is>
      </c>
      <c r="F2591" t="inlineStr">
        <is>
          <t>VCA Condomínio</t>
        </is>
      </c>
      <c r="J2591" t="inlineStr">
        <is>
          <t>VCA</t>
        </is>
      </c>
      <c r="K2591" t="inlineStr">
        <is>
          <t>Planejamento</t>
        </is>
      </c>
      <c r="L2591" t="inlineStr">
        <is>
          <t>PDS-Maio.docx</t>
        </is>
      </c>
      <c r="M2591">
        <f>IF($A2591="","",TEXT($A2591,"mmmm/yyyy"))</f>
        <v/>
      </c>
      <c r="P2591">
        <f>IFERROR(XLOOKUP($N2591,Base_Enderecos!$A:$A,Base_Enderecos!$B:$B,""),"")</f>
        <v/>
      </c>
      <c r="Q2591">
        <f>IFERROR(XLOOKUP($N2591,Base_Enderecos!$A:$A,Base_Enderecos!$C:$C,""),"")</f>
        <v/>
      </c>
      <c r="R2591">
        <f>IF(ISNUMBER(SEARCH("HDD",$F2591)),"HDD",IF(ISNUMBER(SEARCH("VCA",$F2591)),"VCA","MND"))</f>
        <v/>
      </c>
      <c r="T2591">
        <f>TEXT($A2591,"yyyy-mm")&amp;"|"&amp;$C2591&amp;"|"&amp;$I2591</f>
        <v/>
      </c>
    </row>
    <row r="2592">
      <c r="A2592" s="36" t="n">
        <v>46167</v>
      </c>
      <c r="B2592" t="inlineStr">
        <is>
          <t>Segunda</t>
        </is>
      </c>
      <c r="C2592" t="inlineStr">
        <is>
          <t>CTS Mar de Coral</t>
        </is>
      </c>
      <c r="D2592" t="inlineStr">
        <is>
          <t>Silvestre</t>
        </is>
      </c>
      <c r="E2592" t="inlineStr">
        <is>
          <t>Jonathan</t>
        </is>
      </c>
      <c r="F2592" t="inlineStr">
        <is>
          <t>VCA Condomínio</t>
        </is>
      </c>
      <c r="J2592" t="inlineStr">
        <is>
          <t>VCA</t>
        </is>
      </c>
      <c r="K2592" t="inlineStr">
        <is>
          <t>Planejamento</t>
        </is>
      </c>
      <c r="L2592" t="inlineStr">
        <is>
          <t>PDS-Maio.docx</t>
        </is>
      </c>
      <c r="M2592">
        <f>IF($A2592="","",TEXT($A2592,"mmmm/yyyy"))</f>
        <v/>
      </c>
      <c r="P2592">
        <f>IFERROR(XLOOKUP($N2592,Base_Enderecos!$A:$A,Base_Enderecos!$B:$B,""),"")</f>
        <v/>
      </c>
      <c r="Q2592">
        <f>IFERROR(XLOOKUP($N2592,Base_Enderecos!$A:$A,Base_Enderecos!$C:$C,""),"")</f>
        <v/>
      </c>
      <c r="R2592">
        <f>IF(ISNUMBER(SEARCH("HDD",$F2592)),"HDD",IF(ISNUMBER(SEARCH("VCA",$F2592)),"VCA","MND"))</f>
        <v/>
      </c>
      <c r="T2592">
        <f>TEXT($A2592,"yyyy-mm")&amp;"|"&amp;$C2592&amp;"|"&amp;$I2592</f>
        <v/>
      </c>
    </row>
    <row r="2593">
      <c r="A2593" s="36" t="n">
        <v>46167</v>
      </c>
      <c r="B2593" t="inlineStr">
        <is>
          <t>Segunda</t>
        </is>
      </c>
      <c r="C2593" t="inlineStr">
        <is>
          <t>CTS Mar de Coral</t>
        </is>
      </c>
      <c r="D2593" t="inlineStr">
        <is>
          <t>Silvestre</t>
        </is>
      </c>
      <c r="E2593" t="inlineStr">
        <is>
          <t>Marcio</t>
        </is>
      </c>
      <c r="F2593" t="inlineStr">
        <is>
          <t>Substituição rede - Cerâmica p/ PVC - PV 33</t>
        </is>
      </c>
      <c r="G2593" t="inlineStr">
        <is>
          <t>33</t>
        </is>
      </c>
      <c r="I2593" t="inlineStr">
        <is>
          <t>33</t>
        </is>
      </c>
      <c r="J2593" t="inlineStr">
        <is>
          <t>Atividade</t>
        </is>
      </c>
      <c r="K2593" t="inlineStr">
        <is>
          <t>Planejamento</t>
        </is>
      </c>
      <c r="L2593" t="inlineStr">
        <is>
          <t>PDS-Maio.docx</t>
        </is>
      </c>
      <c r="M2593">
        <f>IF($A2593="","",TEXT($A2593,"mmmm/yyyy"))</f>
        <v/>
      </c>
      <c r="P2593">
        <f>IFERROR(XLOOKUP($N2593,Base_Enderecos!$A:$A,Base_Enderecos!$B:$B,""),"")</f>
        <v/>
      </c>
      <c r="Q2593">
        <f>IFERROR(XLOOKUP($N2593,Base_Enderecos!$A:$A,Base_Enderecos!$C:$C,""),"")</f>
        <v/>
      </c>
      <c r="R2593">
        <f>IF(ISNUMBER(SEARCH("HDD",$F2593)),"HDD",IF(ISNUMBER(SEARCH("VCA",$F2593)),"VCA","MND"))</f>
        <v/>
      </c>
      <c r="T2593">
        <f>TEXT($A2593,"yyyy-mm")&amp;"|"&amp;$C2593&amp;"|"&amp;$I2593</f>
        <v/>
      </c>
    </row>
    <row r="2594">
      <c r="A2594" s="36" t="n">
        <v>46167</v>
      </c>
      <c r="B2594" t="inlineStr">
        <is>
          <t>Segunda</t>
        </is>
      </c>
      <c r="C2594" t="inlineStr">
        <is>
          <t>Serviços Reposição</t>
        </is>
      </c>
      <c r="D2594" t="inlineStr">
        <is>
          <t>Leandro</t>
        </is>
      </c>
      <c r="E2594" t="inlineStr">
        <is>
          <t>Reparos Gerais</t>
        </is>
      </c>
      <c r="F2594" t="inlineStr">
        <is>
          <t>Reparos Gerais</t>
        </is>
      </c>
      <c r="J2594" t="inlineStr">
        <is>
          <t>Apoio</t>
        </is>
      </c>
      <c r="K2594" t="inlineStr">
        <is>
          <t>Planejamento</t>
        </is>
      </c>
      <c r="L2594" t="inlineStr">
        <is>
          <t>PDS-Maio.docx</t>
        </is>
      </c>
      <c r="M2594">
        <f>IF($A2594="","",TEXT($A2594,"mmmm/yyyy"))</f>
        <v/>
      </c>
      <c r="P2594">
        <f>IFERROR(XLOOKUP($N2594,Base_Enderecos!$A:$A,Base_Enderecos!$B:$B,""),"")</f>
        <v/>
      </c>
      <c r="Q2594">
        <f>IFERROR(XLOOKUP($N2594,Base_Enderecos!$A:$A,Base_Enderecos!$C:$C,""),"")</f>
        <v/>
      </c>
      <c r="R2594">
        <f>IF(ISNUMBER(SEARCH("HDD",$F2594)),"HDD",IF(ISNUMBER(SEARCH("VCA",$F2594)),"VCA","MND"))</f>
        <v/>
      </c>
      <c r="T2594">
        <f>TEXT($A2594,"yyyy-mm")&amp;"|"&amp;$C2594&amp;"|"&amp;$I2594</f>
        <v/>
      </c>
    </row>
    <row r="2595">
      <c r="A2595" s="36" t="n">
        <v>46167</v>
      </c>
      <c r="B2595" t="inlineStr">
        <is>
          <t>Segunda</t>
        </is>
      </c>
      <c r="C2595" t="inlineStr">
        <is>
          <t>João Canzi</t>
        </is>
      </c>
      <c r="E2595" t="inlineStr">
        <is>
          <t>Vacal</t>
        </is>
      </c>
      <c r="F2595" t="inlineStr">
        <is>
          <t>João Canzi - Renasce</t>
        </is>
      </c>
      <c r="J2595" t="inlineStr">
        <is>
          <t>Apoio</t>
        </is>
      </c>
      <c r="K2595" t="inlineStr">
        <is>
          <t>Apoio</t>
        </is>
      </c>
      <c r="L2595" t="inlineStr">
        <is>
          <t>PDS-Maio.docx</t>
        </is>
      </c>
      <c r="M2595">
        <f>IF($A2595="","",TEXT($A2595,"mmmm/yyyy"))</f>
        <v/>
      </c>
      <c r="P2595">
        <f>IFERROR(XLOOKUP($N2595,Base_Enderecos!$A:$A,Base_Enderecos!$B:$B,""),"")</f>
        <v/>
      </c>
      <c r="Q2595">
        <f>IFERROR(XLOOKUP($N2595,Base_Enderecos!$A:$A,Base_Enderecos!$C:$C,""),"")</f>
        <v/>
      </c>
      <c r="R2595">
        <f>IF(ISNUMBER(SEARCH("HDD",$F2595)),"HDD",IF(ISNUMBER(SEARCH("VCA",$F2595)),"VCA","MND"))</f>
        <v/>
      </c>
      <c r="T2595">
        <f>TEXT($A2595,"yyyy-mm")&amp;"|"&amp;$C2595&amp;"|"&amp;$I2595</f>
        <v/>
      </c>
    </row>
    <row r="2596">
      <c r="A2596" s="36" t="n">
        <v>46167</v>
      </c>
      <c r="B2596" t="inlineStr">
        <is>
          <t>Segunda</t>
        </is>
      </c>
      <c r="C2596" t="inlineStr">
        <is>
          <t>João Canzi</t>
        </is>
      </c>
      <c r="E2596" t="inlineStr">
        <is>
          <t>Vacal</t>
        </is>
      </c>
      <c r="F2596" t="inlineStr">
        <is>
          <t>João Canzi - Henko</t>
        </is>
      </c>
      <c r="J2596" t="inlineStr">
        <is>
          <t>Apoio</t>
        </is>
      </c>
      <c r="K2596" t="inlineStr">
        <is>
          <t>Apoio</t>
        </is>
      </c>
      <c r="L2596" t="inlineStr">
        <is>
          <t>PDS-Maio.docx</t>
        </is>
      </c>
      <c r="M2596">
        <f>IF($A2596="","",TEXT($A2596,"mmmm/yyyy"))</f>
        <v/>
      </c>
      <c r="P2596">
        <f>IFERROR(XLOOKUP($N2596,Base_Enderecos!$A:$A,Base_Enderecos!$B:$B,""),"")</f>
        <v/>
      </c>
      <c r="Q2596">
        <f>IFERROR(XLOOKUP($N2596,Base_Enderecos!$A:$A,Base_Enderecos!$C:$C,""),"")</f>
        <v/>
      </c>
      <c r="R2596">
        <f>IF(ISNUMBER(SEARCH("HDD",$F2596)),"HDD",IF(ISNUMBER(SEARCH("VCA",$F2596)),"VCA","MND"))</f>
        <v/>
      </c>
      <c r="T2596">
        <f>TEXT($A2596,"yyyy-mm")&amp;"|"&amp;$C2596&amp;"|"&amp;$I2596</f>
        <v/>
      </c>
    </row>
    <row r="2597">
      <c r="A2597" s="36" t="n">
        <v>46167</v>
      </c>
      <c r="B2597" t="inlineStr">
        <is>
          <t>Segunda</t>
        </is>
      </c>
      <c r="C2597" t="inlineStr">
        <is>
          <t>Lourdes</t>
        </is>
      </c>
      <c r="E2597" t="inlineStr">
        <is>
          <t>Vacal</t>
        </is>
      </c>
      <c r="F2597" t="inlineStr">
        <is>
          <t>Lourdes - Hidrosol</t>
        </is>
      </c>
      <c r="J2597" t="inlineStr">
        <is>
          <t>Apoio</t>
        </is>
      </c>
      <c r="K2597" t="inlineStr">
        <is>
          <t>Apoio</t>
        </is>
      </c>
      <c r="L2597" t="inlineStr">
        <is>
          <t>PDS-Maio.docx</t>
        </is>
      </c>
      <c r="M2597">
        <f>IF($A2597="","",TEXT($A2597,"mmmm/yyyy"))</f>
        <v/>
      </c>
      <c r="P2597">
        <f>IFERROR(XLOOKUP($N2597,Base_Enderecos!$A:$A,Base_Enderecos!$B:$B,""),"")</f>
        <v/>
      </c>
      <c r="Q2597">
        <f>IFERROR(XLOOKUP($N2597,Base_Enderecos!$A:$A,Base_Enderecos!$C:$C,""),"")</f>
        <v/>
      </c>
      <c r="R2597">
        <f>IF(ISNUMBER(SEARCH("HDD",$F2597)),"HDD",IF(ISNUMBER(SEARCH("VCA",$F2597)),"VCA","MND"))</f>
        <v/>
      </c>
      <c r="T2597">
        <f>TEXT($A2597,"yyyy-mm")&amp;"|"&amp;$C2597&amp;"|"&amp;$I2597</f>
        <v/>
      </c>
    </row>
    <row r="2598">
      <c r="A2598" s="36" t="n">
        <v>46167</v>
      </c>
      <c r="B2598" t="inlineStr">
        <is>
          <t>Segunda</t>
        </is>
      </c>
      <c r="C2598" t="inlineStr">
        <is>
          <t>Lourdes</t>
        </is>
      </c>
      <c r="E2598" t="inlineStr">
        <is>
          <t>Vacal</t>
        </is>
      </c>
      <c r="F2598" t="inlineStr">
        <is>
          <t>Lourdes - Henko</t>
        </is>
      </c>
      <c r="J2598" t="inlineStr">
        <is>
          <t>Apoio</t>
        </is>
      </c>
      <c r="K2598" t="inlineStr">
        <is>
          <t>Apoio</t>
        </is>
      </c>
      <c r="L2598" t="inlineStr">
        <is>
          <t>PDS-Maio.docx</t>
        </is>
      </c>
      <c r="M2598">
        <f>IF($A2598="","",TEXT($A2598,"mmmm/yyyy"))</f>
        <v/>
      </c>
      <c r="P2598">
        <f>IFERROR(XLOOKUP($N2598,Base_Enderecos!$A:$A,Base_Enderecos!$B:$B,""),"")</f>
        <v/>
      </c>
      <c r="Q2598">
        <f>IFERROR(XLOOKUP($N2598,Base_Enderecos!$A:$A,Base_Enderecos!$C:$C,""),"")</f>
        <v/>
      </c>
      <c r="R2598">
        <f>IF(ISNUMBER(SEARCH("HDD",$F2598)),"HDD",IF(ISNUMBER(SEARCH("VCA",$F2598)),"VCA","MND"))</f>
        <v/>
      </c>
      <c r="T2598">
        <f>TEXT($A2598,"yyyy-mm")&amp;"|"&amp;$C2598&amp;"|"&amp;$I2598</f>
        <v/>
      </c>
    </row>
    <row r="2599">
      <c r="A2599" s="36" t="n">
        <v>46167</v>
      </c>
      <c r="B2599" t="inlineStr">
        <is>
          <t>Segunda</t>
        </is>
      </c>
      <c r="C2599" t="inlineStr">
        <is>
          <t>Guindauto</t>
        </is>
      </c>
      <c r="E2599" t="inlineStr">
        <is>
          <t>Marcio</t>
        </is>
      </c>
      <c r="F2599" t="inlineStr">
        <is>
          <t>Apoio as equipes</t>
        </is>
      </c>
      <c r="J2599" t="inlineStr">
        <is>
          <t>Apoio</t>
        </is>
      </c>
      <c r="K2599" t="inlineStr">
        <is>
          <t>Apoio</t>
        </is>
      </c>
      <c r="L2599" t="inlineStr">
        <is>
          <t>PDS-Maio.docx</t>
        </is>
      </c>
      <c r="M2599">
        <f>IF($A2599="","",TEXT($A2599,"mmmm/yyyy"))</f>
        <v/>
      </c>
      <c r="P2599">
        <f>IFERROR(XLOOKUP($N2599,Base_Enderecos!$A:$A,Base_Enderecos!$B:$B,""),"")</f>
        <v/>
      </c>
      <c r="Q2599">
        <f>IFERROR(XLOOKUP($N2599,Base_Enderecos!$A:$A,Base_Enderecos!$C:$C,""),"")</f>
        <v/>
      </c>
      <c r="R2599">
        <f>IF(ISNUMBER(SEARCH("HDD",$F2599)),"HDD",IF(ISNUMBER(SEARCH("VCA",$F2599)),"VCA","MND"))</f>
        <v/>
      </c>
      <c r="T2599">
        <f>TEXT($A2599,"yyyy-mm")&amp;"|"&amp;$C2599&amp;"|"&amp;$I2599</f>
        <v/>
      </c>
    </row>
    <row r="2600">
      <c r="A2600" s="36" t="n">
        <v>46167</v>
      </c>
      <c r="B2600" t="inlineStr">
        <is>
          <t>Segunda</t>
        </is>
      </c>
      <c r="C2600" t="inlineStr">
        <is>
          <t>Guindauto</t>
        </is>
      </c>
      <c r="E2600" t="inlineStr">
        <is>
          <t>Luiz Carlos</t>
        </is>
      </c>
      <c r="F2600" t="inlineStr">
        <is>
          <t>Apoio as equipes</t>
        </is>
      </c>
      <c r="J2600" t="inlineStr">
        <is>
          <t>Apoio</t>
        </is>
      </c>
      <c r="K2600" t="inlineStr">
        <is>
          <t>Apoio</t>
        </is>
      </c>
      <c r="L2600" t="inlineStr">
        <is>
          <t>PDS-Maio.docx</t>
        </is>
      </c>
      <c r="M2600">
        <f>IF($A2600="","",TEXT($A2600,"mmmm/yyyy"))</f>
        <v/>
      </c>
      <c r="P2600">
        <f>IFERROR(XLOOKUP($N2600,Base_Enderecos!$A:$A,Base_Enderecos!$B:$B,""),"")</f>
        <v/>
      </c>
      <c r="Q2600">
        <f>IFERROR(XLOOKUP($N2600,Base_Enderecos!$A:$A,Base_Enderecos!$C:$C,""),"")</f>
        <v/>
      </c>
      <c r="R2600">
        <f>IF(ISNUMBER(SEARCH("HDD",$F2600)),"HDD",IF(ISNUMBER(SEARCH("VCA",$F2600)),"VCA","MND"))</f>
        <v/>
      </c>
      <c r="T2600">
        <f>TEXT($A2600,"yyyy-mm")&amp;"|"&amp;$C2600&amp;"|"&amp;$I2600</f>
        <v/>
      </c>
    </row>
    <row r="2601">
      <c r="A2601" s="36" t="n">
        <v>46168</v>
      </c>
      <c r="B2601" t="inlineStr">
        <is>
          <t>Terça</t>
        </is>
      </c>
      <c r="C2601" t="inlineStr">
        <is>
          <t>CT João Canzi</t>
        </is>
      </c>
      <c r="D2601" t="inlineStr">
        <is>
          <t>Valmir</t>
        </is>
      </c>
      <c r="E2601" t="inlineStr">
        <is>
          <t>Goiânia Drill</t>
        </is>
      </c>
      <c r="F2601" t="inlineStr">
        <is>
          <t>Furo piloto e puxe do PV-14 ao PV-15</t>
        </is>
      </c>
      <c r="G2601" t="inlineStr">
        <is>
          <t>14</t>
        </is>
      </c>
      <c r="H2601" t="inlineStr">
        <is>
          <t>15</t>
        </is>
      </c>
      <c r="I2601" t="inlineStr">
        <is>
          <t>14 ao 15</t>
        </is>
      </c>
      <c r="J2601" t="inlineStr">
        <is>
          <t>HDD</t>
        </is>
      </c>
      <c r="K2601" t="inlineStr">
        <is>
          <t>Planejamento</t>
        </is>
      </c>
      <c r="L2601" t="inlineStr">
        <is>
          <t>chat_pds_2026-05-26</t>
        </is>
      </c>
    </row>
    <row r="2602">
      <c r="A2602" s="36" t="n">
        <v>46168</v>
      </c>
      <c r="B2602" t="inlineStr">
        <is>
          <t>Terça</t>
        </is>
      </c>
      <c r="C2602" t="inlineStr">
        <is>
          <t>CT João Canzi</t>
        </is>
      </c>
      <c r="D2602" t="inlineStr">
        <is>
          <t>Valmir</t>
        </is>
      </c>
      <c r="E2602" t="inlineStr">
        <is>
          <t>Bruno</t>
        </is>
      </c>
      <c r="F2602" t="inlineStr">
        <is>
          <t>Apoio ao HDD</t>
        </is>
      </c>
      <c r="J2602" t="inlineStr">
        <is>
          <t>HDD</t>
        </is>
      </c>
      <c r="K2602" t="inlineStr">
        <is>
          <t>Planejamento</t>
        </is>
      </c>
      <c r="L2602" t="inlineStr">
        <is>
          <t>chat_pds_2026-05-26</t>
        </is>
      </c>
    </row>
    <row r="2603">
      <c r="A2603" s="36" t="n">
        <v>46168</v>
      </c>
      <c r="B2603" t="inlineStr">
        <is>
          <t>Terça</t>
        </is>
      </c>
      <c r="C2603" t="inlineStr">
        <is>
          <t>CT João Canzi</t>
        </is>
      </c>
      <c r="D2603" t="inlineStr">
        <is>
          <t>Valmir</t>
        </is>
      </c>
      <c r="E2603" t="inlineStr">
        <is>
          <t>Valter</t>
        </is>
      </c>
      <c r="F2603" t="inlineStr">
        <is>
          <t>Transformação PV 01 (ELVIRA/JOÃO CANZI)</t>
        </is>
      </c>
      <c r="G2603" t="inlineStr">
        <is>
          <t>01</t>
        </is>
      </c>
      <c r="I2603" t="inlineStr">
        <is>
          <t>01</t>
        </is>
      </c>
      <c r="J2603" t="inlineStr">
        <is>
          <t>Transformação</t>
        </is>
      </c>
      <c r="K2603" t="inlineStr">
        <is>
          <t>Planejamento</t>
        </is>
      </c>
      <c r="L2603" t="inlineStr">
        <is>
          <t>chat_pds_2026-05-26</t>
        </is>
      </c>
    </row>
    <row r="2604">
      <c r="A2604" s="36" t="n">
        <v>46168</v>
      </c>
      <c r="B2604" t="inlineStr">
        <is>
          <t>Terça</t>
        </is>
      </c>
      <c r="C2604" t="inlineStr">
        <is>
          <t>CT João Canzi</t>
        </is>
      </c>
      <c r="D2604" t="inlineStr">
        <is>
          <t>Valmir</t>
        </is>
      </c>
      <c r="E2604" t="inlineStr">
        <is>
          <t>Marcelo</t>
        </is>
      </c>
      <c r="F2604" t="inlineStr">
        <is>
          <t>Transformação PV 08</t>
        </is>
      </c>
      <c r="G2604" t="inlineStr">
        <is>
          <t>08</t>
        </is>
      </c>
      <c r="I2604" t="inlineStr">
        <is>
          <t>08</t>
        </is>
      </c>
      <c r="J2604" t="inlineStr">
        <is>
          <t>Transformação</t>
        </is>
      </c>
      <c r="K2604" t="inlineStr">
        <is>
          <t>Planejamento</t>
        </is>
      </c>
      <c r="L2604" t="inlineStr">
        <is>
          <t>chat_pds_2026-05-26</t>
        </is>
      </c>
    </row>
    <row r="2605">
      <c r="A2605" s="36" t="n">
        <v>46168</v>
      </c>
      <c r="B2605" t="inlineStr">
        <is>
          <t>Terça</t>
        </is>
      </c>
      <c r="C2605" t="inlineStr">
        <is>
          <t>CT João Canzi</t>
        </is>
      </c>
      <c r="D2605" t="inlineStr">
        <is>
          <t>Valmir</t>
        </is>
      </c>
      <c r="E2605" t="inlineStr">
        <is>
          <t>Cidão</t>
        </is>
      </c>
      <c r="F2605" t="inlineStr">
        <is>
          <t>Transformação PV 13</t>
        </is>
      </c>
      <c r="G2605" t="inlineStr">
        <is>
          <t>13</t>
        </is>
      </c>
      <c r="I2605" t="inlineStr">
        <is>
          <t>13</t>
        </is>
      </c>
      <c r="J2605" t="inlineStr">
        <is>
          <t>Transformação</t>
        </is>
      </c>
      <c r="K2605" t="inlineStr">
        <is>
          <t>Planejamento</t>
        </is>
      </c>
      <c r="L2605" t="inlineStr">
        <is>
          <t>chat_pds_2026-05-26</t>
        </is>
      </c>
    </row>
    <row r="2606">
      <c r="A2606" s="36" t="n">
        <v>46168</v>
      </c>
      <c r="B2606" t="inlineStr">
        <is>
          <t>Terça</t>
        </is>
      </c>
      <c r="C2606" t="inlineStr">
        <is>
          <t>RCE São Lucas</t>
        </is>
      </c>
      <c r="D2606" t="inlineStr">
        <is>
          <t>Fábio</t>
        </is>
      </c>
      <c r="E2606" t="inlineStr">
        <is>
          <t>Ricardo</t>
        </is>
      </c>
      <c r="F2606" t="inlineStr">
        <is>
          <t>VCA, PVs e Ligações (PI 03 ao PI 04)</t>
        </is>
      </c>
      <c r="G2606" t="inlineStr">
        <is>
          <t>03</t>
        </is>
      </c>
      <c r="H2606" t="inlineStr">
        <is>
          <t>04</t>
        </is>
      </c>
      <c r="I2606" t="inlineStr">
        <is>
          <t>03 ao 04</t>
        </is>
      </c>
      <c r="J2606" t="inlineStr">
        <is>
          <t>VCA</t>
        </is>
      </c>
      <c r="K2606" t="inlineStr">
        <is>
          <t>Planejamento</t>
        </is>
      </c>
      <c r="L2606" t="inlineStr">
        <is>
          <t>chat_pds_2026-05-26</t>
        </is>
      </c>
    </row>
    <row r="2607">
      <c r="A2607" s="36" t="n">
        <v>46168</v>
      </c>
      <c r="B2607" t="inlineStr">
        <is>
          <t>Terça</t>
        </is>
      </c>
      <c r="C2607" t="inlineStr">
        <is>
          <t>RCE São Lucas</t>
        </is>
      </c>
      <c r="D2607" t="inlineStr">
        <is>
          <t>Fábio</t>
        </is>
      </c>
      <c r="E2607" t="inlineStr">
        <is>
          <t>Claudinei</t>
        </is>
      </c>
      <c r="F2607" t="inlineStr">
        <is>
          <t>VCA, PVs e Ligações (PI 37 ao PI 38)</t>
        </is>
      </c>
      <c r="G2607" t="inlineStr">
        <is>
          <t>37</t>
        </is>
      </c>
      <c r="H2607" t="inlineStr">
        <is>
          <t>38</t>
        </is>
      </c>
      <c r="I2607" t="inlineStr">
        <is>
          <t>37 ao 38</t>
        </is>
      </c>
      <c r="J2607" t="inlineStr">
        <is>
          <t>VCA</t>
        </is>
      </c>
      <c r="K2607" t="inlineStr">
        <is>
          <t>Planejamento</t>
        </is>
      </c>
      <c r="L2607" t="inlineStr">
        <is>
          <t>chat_pds_2026-05-26</t>
        </is>
      </c>
    </row>
    <row r="2608">
      <c r="A2608" s="36" t="n">
        <v>46168</v>
      </c>
      <c r="B2608" t="inlineStr">
        <is>
          <t>Terça</t>
        </is>
      </c>
      <c r="C2608" t="inlineStr">
        <is>
          <t>RCE São Lucas</t>
        </is>
      </c>
      <c r="D2608" t="inlineStr">
        <is>
          <t>Fábio</t>
        </is>
      </c>
      <c r="E2608" t="inlineStr">
        <is>
          <t>Antonio</t>
        </is>
      </c>
      <c r="F2608" t="inlineStr">
        <is>
          <t>VCA, PVs e Ligações (PI 01 ao PI 02)</t>
        </is>
      </c>
      <c r="G2608" t="inlineStr">
        <is>
          <t>01</t>
        </is>
      </c>
      <c r="H2608" t="inlineStr">
        <is>
          <t>02</t>
        </is>
      </c>
      <c r="I2608" t="inlineStr">
        <is>
          <t>01 ao 02</t>
        </is>
      </c>
      <c r="J2608" t="inlineStr">
        <is>
          <t>VCA</t>
        </is>
      </c>
      <c r="K2608" t="inlineStr">
        <is>
          <t>Planejamento</t>
        </is>
      </c>
      <c r="L2608" t="inlineStr">
        <is>
          <t>chat_pds_2026-05-26</t>
        </is>
      </c>
    </row>
    <row r="2609">
      <c r="A2609" s="36" t="n">
        <v>46168</v>
      </c>
      <c r="B2609" t="inlineStr">
        <is>
          <t>Terça</t>
        </is>
      </c>
      <c r="C2609" t="inlineStr">
        <is>
          <t>RCE São Lucas</t>
        </is>
      </c>
      <c r="D2609" t="inlineStr">
        <is>
          <t>Fábio</t>
        </is>
      </c>
      <c r="E2609" t="inlineStr">
        <is>
          <t>Emanuel GO-01</t>
        </is>
      </c>
      <c r="F2609" t="inlineStr">
        <is>
          <t>VCA, PVs e Ligações (PI 32 ao PI 33)</t>
        </is>
      </c>
      <c r="G2609" t="inlineStr">
        <is>
          <t>32</t>
        </is>
      </c>
      <c r="H2609" t="inlineStr">
        <is>
          <t>33</t>
        </is>
      </c>
      <c r="I2609" t="inlineStr">
        <is>
          <t>32 ao 33</t>
        </is>
      </c>
      <c r="J2609" t="inlineStr">
        <is>
          <t>VCA</t>
        </is>
      </c>
      <c r="K2609" t="inlineStr">
        <is>
          <t>Planejamento</t>
        </is>
      </c>
      <c r="L2609" t="inlineStr">
        <is>
          <t>chat_pds_2026-05-26</t>
        </is>
      </c>
    </row>
    <row r="2610">
      <c r="A2610" s="36" t="n">
        <v>46168</v>
      </c>
      <c r="B2610" t="inlineStr">
        <is>
          <t>Terça</t>
        </is>
      </c>
      <c r="C2610" t="inlineStr">
        <is>
          <t>RCE São Lucas</t>
        </is>
      </c>
      <c r="D2610" t="inlineStr">
        <is>
          <t>Fábio</t>
        </is>
      </c>
      <c r="E2610" t="inlineStr">
        <is>
          <t>Miro GO-02</t>
        </is>
      </c>
      <c r="F2610" t="inlineStr">
        <is>
          <t>VCA, PVs e Ligações (PI 32 ao PI 33)</t>
        </is>
      </c>
      <c r="G2610" t="inlineStr">
        <is>
          <t>32</t>
        </is>
      </c>
      <c r="H2610" t="inlineStr">
        <is>
          <t>33</t>
        </is>
      </c>
      <c r="I2610" t="inlineStr">
        <is>
          <t>32 ao 33</t>
        </is>
      </c>
      <c r="J2610" t="inlineStr">
        <is>
          <t>VCA</t>
        </is>
      </c>
      <c r="K2610" t="inlineStr">
        <is>
          <t>Planejamento</t>
        </is>
      </c>
      <c r="L2610" t="inlineStr">
        <is>
          <t>chat_pds_2026-05-26</t>
        </is>
      </c>
    </row>
    <row r="2611">
      <c r="A2611" s="36" t="n">
        <v>46168</v>
      </c>
      <c r="B2611" t="inlineStr">
        <is>
          <t>Terça</t>
        </is>
      </c>
      <c r="C2611" t="inlineStr">
        <is>
          <t>CTS Lourdes Complementar</t>
        </is>
      </c>
      <c r="D2611" t="inlineStr">
        <is>
          <t>Robson</t>
        </is>
      </c>
      <c r="E2611" t="inlineStr">
        <is>
          <t>GR Drill</t>
        </is>
      </c>
      <c r="F2611" t="inlineStr">
        <is>
          <t>Furo Piloto e puxe PV 03 ao PV 04</t>
        </is>
      </c>
      <c r="G2611" t="inlineStr">
        <is>
          <t>03</t>
        </is>
      </c>
      <c r="H2611" t="inlineStr">
        <is>
          <t>04</t>
        </is>
      </c>
      <c r="I2611" t="inlineStr">
        <is>
          <t>03 ao 04</t>
        </is>
      </c>
      <c r="J2611" t="inlineStr">
        <is>
          <t>HDD</t>
        </is>
      </c>
      <c r="K2611" t="inlineStr">
        <is>
          <t>Planejamento</t>
        </is>
      </c>
      <c r="L2611" t="inlineStr">
        <is>
          <t>chat_pds_2026-05-26</t>
        </is>
      </c>
    </row>
    <row r="2612">
      <c r="A2612" s="36" t="n">
        <v>46168</v>
      </c>
      <c r="B2612" t="inlineStr">
        <is>
          <t>Terça</t>
        </is>
      </c>
      <c r="C2612" t="inlineStr">
        <is>
          <t>CTS Lourdes Complementar</t>
        </is>
      </c>
      <c r="D2612" t="inlineStr">
        <is>
          <t>Robson</t>
        </is>
      </c>
      <c r="E2612" t="inlineStr">
        <is>
          <t>Medeiros</t>
        </is>
      </c>
      <c r="F2612" t="inlineStr">
        <is>
          <t>Apoio HDD</t>
        </is>
      </c>
      <c r="J2612" t="inlineStr">
        <is>
          <t>HDD</t>
        </is>
      </c>
      <c r="K2612" t="inlineStr">
        <is>
          <t>Planejamento</t>
        </is>
      </c>
      <c r="L2612" t="inlineStr">
        <is>
          <t>chat_pds_2026-05-26</t>
        </is>
      </c>
    </row>
    <row r="2613">
      <c r="A2613" s="36" t="n">
        <v>46168</v>
      </c>
      <c r="B2613" t="inlineStr">
        <is>
          <t>Terça</t>
        </is>
      </c>
      <c r="C2613" t="inlineStr">
        <is>
          <t>CTS Lourdes Complementar</t>
        </is>
      </c>
      <c r="D2613" t="inlineStr">
        <is>
          <t>Robson</t>
        </is>
      </c>
      <c r="E2613" t="inlineStr">
        <is>
          <t>Cesar</t>
        </is>
      </c>
      <c r="F2613" t="inlineStr">
        <is>
          <t>Transformação e interligação PV 01</t>
        </is>
      </c>
      <c r="G2613" t="inlineStr">
        <is>
          <t>01</t>
        </is>
      </c>
      <c r="I2613" t="inlineStr">
        <is>
          <t>01</t>
        </is>
      </c>
      <c r="J2613" t="inlineStr">
        <is>
          <t>Transformação</t>
        </is>
      </c>
      <c r="K2613" t="inlineStr">
        <is>
          <t>Planejamento</t>
        </is>
      </c>
      <c r="L2613" t="inlineStr">
        <is>
          <t>chat_pds_2026-05-26</t>
        </is>
      </c>
    </row>
    <row r="2614">
      <c r="A2614" s="36" t="n">
        <v>46168</v>
      </c>
      <c r="B2614" t="inlineStr">
        <is>
          <t>Terça</t>
        </is>
      </c>
      <c r="C2614" t="inlineStr">
        <is>
          <t>CTS Lourdes Complementar</t>
        </is>
      </c>
      <c r="D2614" t="inlineStr">
        <is>
          <t>Robson</t>
        </is>
      </c>
      <c r="E2614" t="inlineStr">
        <is>
          <t>Edvando</t>
        </is>
      </c>
      <c r="F2614" t="inlineStr">
        <is>
          <t>Transformação PV 02</t>
        </is>
      </c>
      <c r="G2614" t="inlineStr">
        <is>
          <t>02</t>
        </is>
      </c>
      <c r="I2614" t="inlineStr">
        <is>
          <t>02</t>
        </is>
      </c>
      <c r="J2614" t="inlineStr">
        <is>
          <t>Transformação</t>
        </is>
      </c>
      <c r="K2614" t="inlineStr">
        <is>
          <t>Planejamento</t>
        </is>
      </c>
      <c r="L2614" t="inlineStr">
        <is>
          <t>chat_pds_2026-05-26</t>
        </is>
      </c>
    </row>
    <row r="2615">
      <c r="A2615" s="36" t="n">
        <v>46168</v>
      </c>
      <c r="B2615" t="inlineStr">
        <is>
          <t>Terça</t>
        </is>
      </c>
      <c r="C2615" t="inlineStr">
        <is>
          <t>CTS Mar De Coral</t>
        </is>
      </c>
      <c r="D2615" t="inlineStr">
        <is>
          <t>Silvestre</t>
        </is>
      </c>
      <c r="E2615" t="inlineStr">
        <is>
          <t>Jonathan</t>
        </is>
      </c>
      <c r="F2615" t="inlineStr">
        <is>
          <t>VCA Condomínio</t>
        </is>
      </c>
      <c r="J2615" t="inlineStr">
        <is>
          <t>VCA</t>
        </is>
      </c>
      <c r="K2615" t="inlineStr">
        <is>
          <t>Planejamento</t>
        </is>
      </c>
      <c r="L2615" t="inlineStr">
        <is>
          <t>chat_pds_2026-05-26</t>
        </is>
      </c>
    </row>
    <row r="2616">
      <c r="A2616" s="36" t="n">
        <v>46168</v>
      </c>
      <c r="B2616" t="inlineStr">
        <is>
          <t>Terça</t>
        </is>
      </c>
      <c r="C2616" t="inlineStr">
        <is>
          <t>CTS Mar De Coral</t>
        </is>
      </c>
      <c r="D2616" t="inlineStr">
        <is>
          <t>Silvestre</t>
        </is>
      </c>
      <c r="E2616" t="inlineStr">
        <is>
          <t>Marcio</t>
        </is>
      </c>
      <c r="F2616" t="inlineStr">
        <is>
          <t>Substituição rede - Cerâmica p/ PVC - PV 33</t>
        </is>
      </c>
      <c r="G2616" t="inlineStr">
        <is>
          <t>33</t>
        </is>
      </c>
      <c r="I2616" t="inlineStr">
        <is>
          <t>33</t>
        </is>
      </c>
      <c r="J2616" t="inlineStr">
        <is>
          <t>Atividade</t>
        </is>
      </c>
      <c r="K2616" t="inlineStr">
        <is>
          <t>Planejamento</t>
        </is>
      </c>
      <c r="L2616" t="inlineStr">
        <is>
          <t>chat_pds_2026-05-26</t>
        </is>
      </c>
    </row>
    <row r="2617">
      <c r="A2617" s="36" t="n">
        <v>46168</v>
      </c>
      <c r="B2617" t="inlineStr">
        <is>
          <t>Terça</t>
        </is>
      </c>
      <c r="C2617" t="inlineStr">
        <is>
          <t>Serviços Reposição</t>
        </is>
      </c>
      <c r="D2617" t="inlineStr">
        <is>
          <t>Leandro</t>
        </is>
      </c>
      <c r="E2617" t="inlineStr">
        <is>
          <t>Reposição</t>
        </is>
      </c>
      <c r="F2617" t="inlineStr">
        <is>
          <t>Reparos Gerais</t>
        </is>
      </c>
      <c r="J2617" t="inlineStr">
        <is>
          <t>Atividade</t>
        </is>
      </c>
      <c r="K2617" t="inlineStr">
        <is>
          <t>Planejamento</t>
        </is>
      </c>
      <c r="L2617" t="inlineStr">
        <is>
          <t>chat_pds_2026-05-26</t>
        </is>
      </c>
    </row>
    <row r="2618">
      <c r="A2618" s="36" t="n">
        <v>46168</v>
      </c>
      <c r="B2618" t="inlineStr">
        <is>
          <t>Terça</t>
        </is>
      </c>
      <c r="C2618" t="inlineStr">
        <is>
          <t>João Canzi</t>
        </is>
      </c>
      <c r="E2618" t="inlineStr">
        <is>
          <t>Vacal</t>
        </is>
      </c>
      <c r="F2618" t="inlineStr">
        <is>
          <t>Vacal João Canzi - Renasce</t>
        </is>
      </c>
      <c r="J2618" t="inlineStr">
        <is>
          <t>Apoio</t>
        </is>
      </c>
      <c r="K2618" t="inlineStr">
        <is>
          <t>Planejamento</t>
        </is>
      </c>
      <c r="L2618" t="inlineStr">
        <is>
          <t>chat_pds_2026-05-26</t>
        </is>
      </c>
    </row>
    <row r="2619">
      <c r="A2619" s="36" t="n">
        <v>46168</v>
      </c>
      <c r="B2619" t="inlineStr">
        <is>
          <t>Terça</t>
        </is>
      </c>
      <c r="C2619" t="inlineStr">
        <is>
          <t>João Canzi</t>
        </is>
      </c>
      <c r="E2619" t="inlineStr">
        <is>
          <t>Vacal</t>
        </is>
      </c>
      <c r="F2619" t="inlineStr">
        <is>
          <t>Vacal João Canzi - Henko</t>
        </is>
      </c>
      <c r="J2619" t="inlineStr">
        <is>
          <t>Apoio</t>
        </is>
      </c>
      <c r="K2619" t="inlineStr">
        <is>
          <t>Planejamento</t>
        </is>
      </c>
      <c r="L2619" t="inlineStr">
        <is>
          <t>chat_pds_2026-05-26</t>
        </is>
      </c>
    </row>
    <row r="2620">
      <c r="A2620" s="36" t="n">
        <v>46168</v>
      </c>
      <c r="B2620" t="inlineStr">
        <is>
          <t>Terça</t>
        </is>
      </c>
      <c r="C2620" t="inlineStr">
        <is>
          <t>Lourdes</t>
        </is>
      </c>
      <c r="E2620" t="inlineStr">
        <is>
          <t>Vacal</t>
        </is>
      </c>
      <c r="F2620" t="inlineStr">
        <is>
          <t>Vacal Lourdes - Hidrosol</t>
        </is>
      </c>
      <c r="J2620" t="inlineStr">
        <is>
          <t>Apoio</t>
        </is>
      </c>
      <c r="K2620" t="inlineStr">
        <is>
          <t>Planejamento</t>
        </is>
      </c>
      <c r="L2620" t="inlineStr">
        <is>
          <t>chat_pds_2026-05-26</t>
        </is>
      </c>
    </row>
    <row r="2621">
      <c r="A2621" s="36" t="n">
        <v>46168</v>
      </c>
      <c r="B2621" t="inlineStr">
        <is>
          <t>Terça</t>
        </is>
      </c>
      <c r="C2621" t="inlineStr">
        <is>
          <t>Lourdes</t>
        </is>
      </c>
      <c r="E2621" t="inlineStr">
        <is>
          <t>Vacal</t>
        </is>
      </c>
      <c r="F2621" t="inlineStr">
        <is>
          <t>Vacal Lourdes - Henko</t>
        </is>
      </c>
      <c r="J2621" t="inlineStr">
        <is>
          <t>Apoio</t>
        </is>
      </c>
      <c r="K2621" t="inlineStr">
        <is>
          <t>Planejamento</t>
        </is>
      </c>
      <c r="L2621" t="inlineStr">
        <is>
          <t>chat_pds_2026-05-26</t>
        </is>
      </c>
    </row>
    <row r="2622">
      <c r="A2622" s="36" t="n">
        <v>46168</v>
      </c>
      <c r="B2622" t="inlineStr">
        <is>
          <t>Terça</t>
        </is>
      </c>
      <c r="C2622" t="inlineStr">
        <is>
          <t>Lourdes</t>
        </is>
      </c>
      <c r="E2622" t="inlineStr">
        <is>
          <t>Vacal</t>
        </is>
      </c>
      <c r="F2622" t="inlineStr">
        <is>
          <t>Vacal Lourdes - Henko</t>
        </is>
      </c>
      <c r="J2622" t="inlineStr">
        <is>
          <t>Apoio</t>
        </is>
      </c>
      <c r="K2622" t="inlineStr">
        <is>
          <t>Planejamento</t>
        </is>
      </c>
      <c r="L2622" t="inlineStr">
        <is>
          <t>chat_pds_2026-05-26</t>
        </is>
      </c>
    </row>
    <row r="2623">
      <c r="A2623" s="36" t="n">
        <v>46168</v>
      </c>
      <c r="B2623" t="inlineStr">
        <is>
          <t>Terça</t>
        </is>
      </c>
      <c r="C2623" t="inlineStr">
        <is>
          <t>Guindauto</t>
        </is>
      </c>
      <c r="E2623" t="inlineStr">
        <is>
          <t>Marcio</t>
        </is>
      </c>
      <c r="F2623" t="inlineStr">
        <is>
          <t>Apoio as equipes</t>
        </is>
      </c>
      <c r="J2623" t="inlineStr">
        <is>
          <t>Apoio</t>
        </is>
      </c>
      <c r="K2623" t="inlineStr">
        <is>
          <t>Planejamento</t>
        </is>
      </c>
      <c r="L2623" t="inlineStr">
        <is>
          <t>chat_pds_2026-05-26</t>
        </is>
      </c>
    </row>
    <row r="2624">
      <c r="A2624" s="36" t="n">
        <v>46168</v>
      </c>
      <c r="B2624" t="inlineStr">
        <is>
          <t>Terça</t>
        </is>
      </c>
      <c r="C2624" t="inlineStr">
        <is>
          <t>Guindauto</t>
        </is>
      </c>
      <c r="E2624" t="inlineStr">
        <is>
          <t>Luiz Carlos</t>
        </is>
      </c>
      <c r="F2624" t="inlineStr">
        <is>
          <t>Apoio as equipes</t>
        </is>
      </c>
      <c r="J2624" t="inlineStr">
        <is>
          <t>Apoio</t>
        </is>
      </c>
      <c r="K2624" t="inlineStr">
        <is>
          <t>Planejamento</t>
        </is>
      </c>
      <c r="L2624" t="inlineStr">
        <is>
          <t>chat_pds_2026-05-26</t>
        </is>
      </c>
    </row>
    <row r="2625">
      <c r="A2625" s="36" t="n">
        <v>46170</v>
      </c>
      <c r="B2625" t="inlineStr">
        <is>
          <t>Quinta</t>
        </is>
      </c>
      <c r="C2625" t="inlineStr">
        <is>
          <t>CT Joo Canzi Valmir</t>
        </is>
      </c>
      <c r="E2625" t="inlineStr">
        <is>
          <t>Goinia Drill</t>
        </is>
      </c>
      <c r="F2625" t="inlineStr">
        <is>
          <t>Furo piloto e puxe do PV-15 ao PV-16</t>
        </is>
      </c>
      <c r="G2625" t="inlineStr">
        <is>
          <t>15</t>
        </is>
      </c>
      <c r="H2625" t="inlineStr">
        <is>
          <t>16</t>
        </is>
      </c>
      <c r="I2625" t="inlineStr">
        <is>
          <t>15 ao 16</t>
        </is>
      </c>
      <c r="J2625" t="inlineStr">
        <is>
          <t>HDD</t>
        </is>
      </c>
      <c r="K2625" t="inlineStr">
        <is>
          <t>Planejamento</t>
        </is>
      </c>
      <c r="L2625" t="inlineStr">
        <is>
          <t>PDS_chat_2026-05-29</t>
        </is>
      </c>
      <c r="M2625">
        <f>IF($A2625="","",TEXT($A2625,"mmmm/yyyy"))</f>
        <v/>
      </c>
      <c r="R2625">
        <f>IF(ISNUMBER(SEARCH("HDD",$F2625)),"HDD",IF(ISNUMBER(SEARCH("VCA",$F2625)),"VCA","MND"))</f>
        <v/>
      </c>
      <c r="T2625">
        <f>TEXT($A2625,"yyyy-mm")&amp;"|"&amp;$C2625&amp;"|"&amp;$I2625</f>
        <v/>
      </c>
    </row>
    <row r="2626">
      <c r="A2626" s="36" t="n">
        <v>46170</v>
      </c>
      <c r="B2626" t="inlineStr">
        <is>
          <t>Quinta</t>
        </is>
      </c>
      <c r="C2626" t="inlineStr">
        <is>
          <t>CT Joo Canzi Valmir</t>
        </is>
      </c>
      <c r="E2626" t="inlineStr">
        <is>
          <t>Bruno</t>
        </is>
      </c>
      <c r="F2626" t="inlineStr">
        <is>
          <t>Apoio ao HDD</t>
        </is>
      </c>
      <c r="J2626" t="inlineStr">
        <is>
          <t>HDD</t>
        </is>
      </c>
      <c r="K2626" t="inlineStr">
        <is>
          <t>Planejamento</t>
        </is>
      </c>
      <c r="L2626" t="inlineStr">
        <is>
          <t>PDS_chat_2026-05-29</t>
        </is>
      </c>
      <c r="M2626">
        <f>IF($A2626="","",TEXT($A2626,"mmmm/yyyy"))</f>
        <v/>
      </c>
      <c r="R2626">
        <f>IF(ISNUMBER(SEARCH("HDD",$F2626)),"HDD",IF(ISNUMBER(SEARCH("VCA",$F2626)),"VCA","MND"))</f>
        <v/>
      </c>
      <c r="T2626">
        <f>TEXT($A2626,"yyyy-mm")&amp;"|"&amp;$C2626&amp;"|"&amp;$I2626</f>
        <v/>
      </c>
    </row>
    <row r="2627">
      <c r="A2627" s="36" t="n">
        <v>46170</v>
      </c>
      <c r="B2627" t="inlineStr">
        <is>
          <t>Quinta</t>
        </is>
      </c>
      <c r="C2627" t="inlineStr">
        <is>
          <t>CT Joo Canzi Valmir</t>
        </is>
      </c>
      <c r="E2627" t="inlineStr">
        <is>
          <t>Mrcio</t>
        </is>
      </c>
      <c r="F2627" t="inlineStr">
        <is>
          <t>Transformao PV 14</t>
        </is>
      </c>
      <c r="G2627" t="inlineStr">
        <is>
          <t>14</t>
        </is>
      </c>
      <c r="I2627" t="inlineStr">
        <is>
          <t>14</t>
        </is>
      </c>
      <c r="J2627" t="inlineStr">
        <is>
          <t>Transforma??o</t>
        </is>
      </c>
      <c r="K2627" t="inlineStr">
        <is>
          <t>Planejamento</t>
        </is>
      </c>
      <c r="L2627" t="inlineStr">
        <is>
          <t>PDS_chat_2026-05-29</t>
        </is>
      </c>
      <c r="M2627">
        <f>IF($A2627="","",TEXT($A2627,"mmmm/yyyy"))</f>
        <v/>
      </c>
      <c r="R2627">
        <f>IF(ISNUMBER(SEARCH("HDD",$F2627)),"HDD",IF(ISNUMBER(SEARCH("VCA",$F2627)),"VCA","MND"))</f>
        <v/>
      </c>
      <c r="T2627">
        <f>TEXT($A2627,"yyyy-mm")&amp;"|"&amp;$C2627&amp;"|"&amp;$I2627</f>
        <v/>
      </c>
    </row>
    <row r="2628">
      <c r="A2628" s="36" t="n">
        <v>46170</v>
      </c>
      <c r="B2628" t="inlineStr">
        <is>
          <t>Quinta</t>
        </is>
      </c>
      <c r="C2628" t="inlineStr">
        <is>
          <t>CT Joo Canzi Valmir</t>
        </is>
      </c>
      <c r="E2628" t="inlineStr">
        <is>
          <t>Marcelo</t>
        </is>
      </c>
      <c r="F2628" t="inlineStr">
        <is>
          <t>Shaft PV 09</t>
        </is>
      </c>
      <c r="G2628" t="inlineStr">
        <is>
          <t>09</t>
        </is>
      </c>
      <c r="I2628" t="inlineStr">
        <is>
          <t>09</t>
        </is>
      </c>
      <c r="J2628" t="inlineStr">
        <is>
          <t>Shaft</t>
        </is>
      </c>
      <c r="K2628" t="inlineStr">
        <is>
          <t>Planejamento</t>
        </is>
      </c>
      <c r="L2628" t="inlineStr">
        <is>
          <t>PDS_chat_2026-05-29</t>
        </is>
      </c>
      <c r="M2628">
        <f>IF($A2628="","",TEXT($A2628,"mmmm/yyyy"))</f>
        <v/>
      </c>
      <c r="R2628">
        <f>IF(ISNUMBER(SEARCH("HDD",$F2628)),"HDD",IF(ISNUMBER(SEARCH("VCA",$F2628)),"VCA","MND"))</f>
        <v/>
      </c>
      <c r="T2628">
        <f>TEXT($A2628,"yyyy-mm")&amp;"|"&amp;$C2628&amp;"|"&amp;$I2628</f>
        <v/>
      </c>
    </row>
    <row r="2629">
      <c r="A2629" s="36" t="n">
        <v>46170</v>
      </c>
      <c r="B2629" t="inlineStr">
        <is>
          <t>Quinta</t>
        </is>
      </c>
      <c r="C2629" t="inlineStr">
        <is>
          <t>RCE Elvira / CT Joo Canzi Valmir</t>
        </is>
      </c>
      <c r="E2629" t="inlineStr">
        <is>
          <t>Valter</t>
        </is>
      </c>
      <c r="F2629" t="inlineStr">
        <is>
          <t>Rede secundria e ligaes PI 1.1</t>
        </is>
      </c>
      <c r="G2629" t="inlineStr">
        <is>
          <t>1.1</t>
        </is>
      </c>
      <c r="I2629" t="inlineStr">
        <is>
          <t>1.1</t>
        </is>
      </c>
      <c r="J2629" t="inlineStr">
        <is>
          <t>Atividade</t>
        </is>
      </c>
      <c r="K2629" t="inlineStr">
        <is>
          <t>Planejamento</t>
        </is>
      </c>
      <c r="L2629" t="inlineStr">
        <is>
          <t>PDS_chat_2026-05-29</t>
        </is>
      </c>
      <c r="M2629">
        <f>IF($A2629="","",TEXT($A2629,"mmmm/yyyy"))</f>
        <v/>
      </c>
      <c r="R2629">
        <f>IF(ISNUMBER(SEARCH("HDD",$F2629)),"HDD",IF(ISNUMBER(SEARCH("VCA",$F2629)),"VCA","MND"))</f>
        <v/>
      </c>
      <c r="T2629">
        <f>TEXT($A2629,"yyyy-mm")&amp;"|"&amp;$C2629&amp;"|"&amp;$I2629</f>
        <v/>
      </c>
    </row>
    <row r="2630">
      <c r="A2630" s="36" t="n">
        <v>46170</v>
      </c>
      <c r="B2630" t="inlineStr">
        <is>
          <t>Quinta</t>
        </is>
      </c>
      <c r="C2630" t="inlineStr">
        <is>
          <t>RCE Elias Sleiman / CT Joo Canzi Silvestre</t>
        </is>
      </c>
      <c r="E2630" t="inlineStr">
        <is>
          <t>Cesar</t>
        </is>
      </c>
      <c r="F2630" t="inlineStr">
        <is>
          <t>VCA + interl PV 17 ao PV 22</t>
        </is>
      </c>
      <c r="G2630" t="inlineStr">
        <is>
          <t>17</t>
        </is>
      </c>
      <c r="H2630" t="inlineStr">
        <is>
          <t>22</t>
        </is>
      </c>
      <c r="I2630" t="inlineStr">
        <is>
          <t>17 ao 22</t>
        </is>
      </c>
      <c r="J2630" t="inlineStr">
        <is>
          <t>VCA</t>
        </is>
      </c>
      <c r="K2630" t="inlineStr">
        <is>
          <t>Planejamento</t>
        </is>
      </c>
      <c r="L2630" t="inlineStr">
        <is>
          <t>PDS_chat_2026-05-29</t>
        </is>
      </c>
      <c r="M2630">
        <f>IF($A2630="","",TEXT($A2630,"mmmm/yyyy"))</f>
        <v/>
      </c>
      <c r="R2630">
        <f>IF(ISNUMBER(SEARCH("HDD",$F2630)),"HDD",IF(ISNUMBER(SEARCH("VCA",$F2630)),"VCA","MND"))</f>
        <v/>
      </c>
      <c r="T2630">
        <f>TEXT($A2630,"yyyy-mm")&amp;"|"&amp;$C2630&amp;"|"&amp;$I2630</f>
        <v/>
      </c>
    </row>
    <row r="2631">
      <c r="A2631" s="36" t="n">
        <v>46170</v>
      </c>
      <c r="B2631" t="inlineStr">
        <is>
          <t>Quinta</t>
        </is>
      </c>
      <c r="C2631" t="inlineStr">
        <is>
          <t>RCE Conj. Unio Silvestre</t>
        </is>
      </c>
      <c r="E2631" t="inlineStr">
        <is>
          <t>Jonathan</t>
        </is>
      </c>
      <c r="F2631" t="inlineStr">
        <is>
          <t>Shaft PV 40.1</t>
        </is>
      </c>
      <c r="G2631" t="inlineStr">
        <is>
          <t>40.1</t>
        </is>
      </c>
      <c r="I2631" t="inlineStr">
        <is>
          <t>40.1</t>
        </is>
      </c>
      <c r="J2631" t="inlineStr">
        <is>
          <t>Shaft</t>
        </is>
      </c>
      <c r="K2631" t="inlineStr">
        <is>
          <t>Planejamento</t>
        </is>
      </c>
      <c r="L2631" t="inlineStr">
        <is>
          <t>PDS_chat_2026-05-29</t>
        </is>
      </c>
      <c r="M2631">
        <f>IF($A2631="","",TEXT($A2631,"mmmm/yyyy"))</f>
        <v/>
      </c>
      <c r="R2631">
        <f>IF(ISNUMBER(SEARCH("HDD",$F2631)),"HDD",IF(ISNUMBER(SEARCH("VCA",$F2631)),"VCA","MND"))</f>
        <v/>
      </c>
      <c r="T2631">
        <f>TEXT($A2631,"yyyy-mm")&amp;"|"&amp;$C2631&amp;"|"&amp;$I2631</f>
        <v/>
      </c>
    </row>
    <row r="2632">
      <c r="A2632" s="36" t="n">
        <v>46170</v>
      </c>
      <c r="B2632" t="inlineStr">
        <is>
          <t>Quinta</t>
        </is>
      </c>
      <c r="C2632" t="inlineStr">
        <is>
          <t>CTS Agua Boa Caroline</t>
        </is>
      </c>
      <c r="E2632" t="inlineStr">
        <is>
          <t>Cido</t>
        </is>
      </c>
      <c r="F2632" t="inlineStr">
        <is>
          <t>Implantao TLs Se Liga na Rede</t>
        </is>
      </c>
      <c r="J2632" t="inlineStr">
        <is>
          <t>Atividade</t>
        </is>
      </c>
      <c r="K2632" t="inlineStr">
        <is>
          <t>Planejamento</t>
        </is>
      </c>
      <c r="L2632" t="inlineStr">
        <is>
          <t>PDS_chat_2026-05-29</t>
        </is>
      </c>
      <c r="M2632">
        <f>IF($A2632="","",TEXT($A2632,"mmmm/yyyy"))</f>
        <v/>
      </c>
      <c r="R2632">
        <f>IF(ISNUMBER(SEARCH("HDD",$F2632)),"HDD",IF(ISNUMBER(SEARCH("VCA",$F2632)),"VCA","MND"))</f>
        <v/>
      </c>
      <c r="T2632">
        <f>TEXT($A2632,"yyyy-mm")&amp;"|"&amp;$C2632&amp;"|"&amp;$I2632</f>
        <v/>
      </c>
    </row>
    <row r="2633">
      <c r="A2633" s="36" t="n">
        <v>46170</v>
      </c>
      <c r="B2633" t="inlineStr">
        <is>
          <t>Quinta</t>
        </is>
      </c>
      <c r="C2633" t="inlineStr">
        <is>
          <t>RCE So Lucas Fbio</t>
        </is>
      </c>
      <c r="E2633" t="inlineStr">
        <is>
          <t>Ricardo (PI 04 Ao PI 06)</t>
        </is>
      </c>
      <c r="F2633" t="inlineStr">
        <is>
          <t>VCA, PVs e Ligaes</t>
        </is>
      </c>
      <c r="G2633" t="inlineStr">
        <is>
          <t>04</t>
        </is>
      </c>
      <c r="H2633" t="inlineStr">
        <is>
          <t>06</t>
        </is>
      </c>
      <c r="I2633" t="inlineStr">
        <is>
          <t>04 ao 06</t>
        </is>
      </c>
      <c r="J2633" t="inlineStr">
        <is>
          <t>VCA</t>
        </is>
      </c>
      <c r="K2633" t="inlineStr">
        <is>
          <t>Planejamento</t>
        </is>
      </c>
      <c r="L2633" t="inlineStr">
        <is>
          <t>PDS_chat_2026-05-29</t>
        </is>
      </c>
      <c r="M2633">
        <f>IF($A2633="","",TEXT($A2633,"mmmm/yyyy"))</f>
        <v/>
      </c>
      <c r="R2633">
        <f>IF(ISNUMBER(SEARCH("HDD",$F2633)),"HDD",IF(ISNUMBER(SEARCH("VCA",$F2633)),"VCA","MND"))</f>
        <v/>
      </c>
      <c r="T2633">
        <f>TEXT($A2633,"yyyy-mm")&amp;"|"&amp;$C2633&amp;"|"&amp;$I2633</f>
        <v/>
      </c>
    </row>
    <row r="2634">
      <c r="A2634" s="36" t="n">
        <v>46170</v>
      </c>
      <c r="B2634" t="inlineStr">
        <is>
          <t>Quinta</t>
        </is>
      </c>
      <c r="C2634" t="inlineStr">
        <is>
          <t>RCE So Lucas Fbio</t>
        </is>
      </c>
      <c r="E2634" t="inlineStr">
        <is>
          <t>Claudinei (PI 37 Ao PI 38)</t>
        </is>
      </c>
      <c r="F2634" t="inlineStr">
        <is>
          <t>VCA, PVs e Ligaes</t>
        </is>
      </c>
      <c r="G2634" t="inlineStr">
        <is>
          <t>37</t>
        </is>
      </c>
      <c r="H2634" t="inlineStr">
        <is>
          <t>38</t>
        </is>
      </c>
      <c r="I2634" t="inlineStr">
        <is>
          <t>37 ao 38</t>
        </is>
      </c>
      <c r="J2634" t="inlineStr">
        <is>
          <t>VCA</t>
        </is>
      </c>
      <c r="K2634" t="inlineStr">
        <is>
          <t>Planejamento</t>
        </is>
      </c>
      <c r="L2634" t="inlineStr">
        <is>
          <t>PDS_chat_2026-05-29</t>
        </is>
      </c>
      <c r="M2634">
        <f>IF($A2634="","",TEXT($A2634,"mmmm/yyyy"))</f>
        <v/>
      </c>
      <c r="R2634">
        <f>IF(ISNUMBER(SEARCH("HDD",$F2634)),"HDD",IF(ISNUMBER(SEARCH("VCA",$F2634)),"VCA","MND"))</f>
        <v/>
      </c>
      <c r="T2634">
        <f>TEXT($A2634,"yyyy-mm")&amp;"|"&amp;$C2634&amp;"|"&amp;$I2634</f>
        <v/>
      </c>
    </row>
    <row r="2635">
      <c r="A2635" s="36" t="n">
        <v>46170</v>
      </c>
      <c r="B2635" t="inlineStr">
        <is>
          <t>Quinta</t>
        </is>
      </c>
      <c r="C2635" t="inlineStr">
        <is>
          <t>RCE So Lucas Fbio</t>
        </is>
      </c>
      <c r="E2635" t="inlineStr">
        <is>
          <t>Emanuel GO-01</t>
        </is>
      </c>
      <c r="F2635" t="inlineStr">
        <is>
          <t>VCA, PVs e Ligaes; (PI 33 ao PI 34)</t>
        </is>
      </c>
      <c r="G2635" t="inlineStr">
        <is>
          <t>33</t>
        </is>
      </c>
      <c r="H2635" t="inlineStr">
        <is>
          <t>34</t>
        </is>
      </c>
      <c r="I2635" t="inlineStr">
        <is>
          <t>33 ao 34</t>
        </is>
      </c>
      <c r="J2635" t="inlineStr">
        <is>
          <t>VCA</t>
        </is>
      </c>
      <c r="K2635" t="inlineStr">
        <is>
          <t>Planejamento</t>
        </is>
      </c>
      <c r="L2635" t="inlineStr">
        <is>
          <t>PDS_chat_2026-05-29</t>
        </is>
      </c>
      <c r="M2635">
        <f>IF($A2635="","",TEXT($A2635,"mmmm/yyyy"))</f>
        <v/>
      </c>
      <c r="R2635">
        <f>IF(ISNUMBER(SEARCH("HDD",$F2635)),"HDD",IF(ISNUMBER(SEARCH("VCA",$F2635)),"VCA","MND"))</f>
        <v/>
      </c>
      <c r="T2635">
        <f>TEXT($A2635,"yyyy-mm")&amp;"|"&amp;$C2635&amp;"|"&amp;$I2635</f>
        <v/>
      </c>
    </row>
    <row r="2636">
      <c r="A2636" s="36" t="n">
        <v>46170</v>
      </c>
      <c r="B2636" t="inlineStr">
        <is>
          <t>Quinta</t>
        </is>
      </c>
      <c r="C2636" t="inlineStr">
        <is>
          <t>RCE So Lucas Fbio</t>
        </is>
      </c>
      <c r="E2636" t="inlineStr">
        <is>
          <t>Miro GO-02</t>
        </is>
      </c>
      <c r="F2636" t="inlineStr">
        <is>
          <t>VCA, PVs e Ligaes; (PI 33 ao PI 34)</t>
        </is>
      </c>
      <c r="G2636" t="inlineStr">
        <is>
          <t>33</t>
        </is>
      </c>
      <c r="H2636" t="inlineStr">
        <is>
          <t>34</t>
        </is>
      </c>
      <c r="I2636" t="inlineStr">
        <is>
          <t>33 ao 34</t>
        </is>
      </c>
      <c r="J2636" t="inlineStr">
        <is>
          <t>VCA</t>
        </is>
      </c>
      <c r="K2636" t="inlineStr">
        <is>
          <t>Planejamento</t>
        </is>
      </c>
      <c r="L2636" t="inlineStr">
        <is>
          <t>PDS_chat_2026-05-29</t>
        </is>
      </c>
      <c r="M2636">
        <f>IF($A2636="","",TEXT($A2636,"mmmm/yyyy"))</f>
        <v/>
      </c>
      <c r="R2636">
        <f>IF(ISNUMBER(SEARCH("HDD",$F2636)),"HDD",IF(ISNUMBER(SEARCH("VCA",$F2636)),"VCA","MND"))</f>
        <v/>
      </c>
      <c r="T2636">
        <f>TEXT($A2636,"yyyy-mm")&amp;"|"&amp;$C2636&amp;"|"&amp;$I2636</f>
        <v/>
      </c>
    </row>
    <row r="2637">
      <c r="A2637" s="36" t="n">
        <v>46170</v>
      </c>
      <c r="B2637" t="inlineStr">
        <is>
          <t>Quinta</t>
        </is>
      </c>
      <c r="C2637" t="inlineStr">
        <is>
          <t>RCE Rua So Joo Fbio</t>
        </is>
      </c>
      <c r="E2637" t="inlineStr">
        <is>
          <t>Antonio (PI 01 Ao PI 02)*</t>
        </is>
      </c>
      <c r="F2637" t="inlineStr">
        <is>
          <t>VCA, PVs e Ligaes</t>
        </is>
      </c>
      <c r="G2637" t="inlineStr">
        <is>
          <t>01</t>
        </is>
      </c>
      <c r="H2637" t="inlineStr">
        <is>
          <t>02</t>
        </is>
      </c>
      <c r="I2637" t="inlineStr">
        <is>
          <t>01 ao 02</t>
        </is>
      </c>
      <c r="J2637" t="inlineStr">
        <is>
          <t>VCA</t>
        </is>
      </c>
      <c r="K2637" t="inlineStr">
        <is>
          <t>Planejamento</t>
        </is>
      </c>
      <c r="L2637" t="inlineStr">
        <is>
          <t>PDS_chat_2026-05-29</t>
        </is>
      </c>
      <c r="M2637">
        <f>IF($A2637="","",TEXT($A2637,"mmmm/yyyy"))</f>
        <v/>
      </c>
      <c r="R2637">
        <f>IF(ISNUMBER(SEARCH("HDD",$F2637)),"HDD",IF(ISNUMBER(SEARCH("VCA",$F2637)),"VCA","MND"))</f>
        <v/>
      </c>
      <c r="T2637">
        <f>TEXT($A2637,"yyyy-mm")&amp;"|"&amp;$C2637&amp;"|"&amp;$I2637</f>
        <v/>
      </c>
    </row>
    <row r="2638">
      <c r="A2638" s="36" t="n">
        <v>46170</v>
      </c>
      <c r="B2638" t="inlineStr">
        <is>
          <t>Quinta</t>
        </is>
      </c>
      <c r="C2638" t="inlineStr">
        <is>
          <t>CTS Lourdes Complementar Robson</t>
        </is>
      </c>
      <c r="E2638" t="inlineStr">
        <is>
          <t>Gr Drill</t>
        </is>
      </c>
      <c r="F2638" t="inlineStr">
        <is>
          <t>Furo Piloto e puxe PV 03 ao PV 05</t>
        </is>
      </c>
      <c r="G2638" t="inlineStr">
        <is>
          <t>03</t>
        </is>
      </c>
      <c r="H2638" t="inlineStr">
        <is>
          <t>05</t>
        </is>
      </c>
      <c r="I2638" t="inlineStr">
        <is>
          <t>03 ao 05</t>
        </is>
      </c>
      <c r="J2638" t="inlineStr">
        <is>
          <t>HDD</t>
        </is>
      </c>
      <c r="K2638" t="inlineStr">
        <is>
          <t>Planejamento</t>
        </is>
      </c>
      <c r="L2638" t="inlineStr">
        <is>
          <t>PDS_chat_2026-05-29</t>
        </is>
      </c>
      <c r="M2638">
        <f>IF($A2638="","",TEXT($A2638,"mmmm/yyyy"))</f>
        <v/>
      </c>
      <c r="R2638">
        <f>IF(ISNUMBER(SEARCH("HDD",$F2638)),"HDD",IF(ISNUMBER(SEARCH("VCA",$F2638)),"VCA","MND"))</f>
        <v/>
      </c>
      <c r="T2638">
        <f>TEXT($A2638,"yyyy-mm")&amp;"|"&amp;$C2638&amp;"|"&amp;$I2638</f>
        <v/>
      </c>
    </row>
    <row r="2639">
      <c r="A2639" s="36" t="n">
        <v>46170</v>
      </c>
      <c r="B2639" t="inlineStr">
        <is>
          <t>Quinta</t>
        </is>
      </c>
      <c r="C2639" t="inlineStr">
        <is>
          <t>CTS Lourdes Complementar Robson</t>
        </is>
      </c>
      <c r="E2639" t="inlineStr">
        <is>
          <t>Medeiros</t>
        </is>
      </c>
      <c r="F2639" t="inlineStr">
        <is>
          <t>Apoio HDD</t>
        </is>
      </c>
      <c r="J2639" t="inlineStr">
        <is>
          <t>HDD</t>
        </is>
      </c>
      <c r="K2639" t="inlineStr">
        <is>
          <t>Planejamento</t>
        </is>
      </c>
      <c r="L2639" t="inlineStr">
        <is>
          <t>PDS_chat_2026-05-29</t>
        </is>
      </c>
      <c r="M2639">
        <f>IF($A2639="","",TEXT($A2639,"mmmm/yyyy"))</f>
        <v/>
      </c>
      <c r="R2639">
        <f>IF(ISNUMBER(SEARCH("HDD",$F2639)),"HDD",IF(ISNUMBER(SEARCH("VCA",$F2639)),"VCA","MND"))</f>
        <v/>
      </c>
      <c r="T2639">
        <f>TEXT($A2639,"yyyy-mm")&amp;"|"&amp;$C2639&amp;"|"&amp;$I2639</f>
        <v/>
      </c>
    </row>
    <row r="2640">
      <c r="A2640" s="36" t="n">
        <v>46170</v>
      </c>
      <c r="B2640" t="inlineStr">
        <is>
          <t>Quinta</t>
        </is>
      </c>
      <c r="C2640" t="inlineStr">
        <is>
          <t>CTS Lourdes Complementar Robson</t>
        </is>
      </c>
      <c r="E2640" t="inlineStr">
        <is>
          <t>Edvando</t>
        </is>
      </c>
      <c r="F2640" t="inlineStr">
        <is>
          <t>Transformao PV 02</t>
        </is>
      </c>
      <c r="G2640" t="inlineStr">
        <is>
          <t>02</t>
        </is>
      </c>
      <c r="I2640" t="inlineStr">
        <is>
          <t>02</t>
        </is>
      </c>
      <c r="J2640" t="inlineStr">
        <is>
          <t>Transforma??o</t>
        </is>
      </c>
      <c r="K2640" t="inlineStr">
        <is>
          <t>Planejamento</t>
        </is>
      </c>
      <c r="L2640" t="inlineStr">
        <is>
          <t>PDS_chat_2026-05-29</t>
        </is>
      </c>
      <c r="M2640">
        <f>IF($A2640="","",TEXT($A2640,"mmmm/yyyy"))</f>
        <v/>
      </c>
      <c r="R2640">
        <f>IF(ISNUMBER(SEARCH("HDD",$F2640)),"HDD",IF(ISNUMBER(SEARCH("VCA",$F2640)),"VCA","MND"))</f>
        <v/>
      </c>
      <c r="T2640">
        <f>TEXT($A2640,"yyyy-mm")&amp;"|"&amp;$C2640&amp;"|"&amp;$I2640</f>
        <v/>
      </c>
    </row>
    <row r="2641">
      <c r="A2641" s="36" t="n">
        <v>46170</v>
      </c>
      <c r="B2641" t="inlineStr">
        <is>
          <t>Quinta</t>
        </is>
      </c>
      <c r="C2641" t="inlineStr">
        <is>
          <t>CTS Lourdes Complementar Robson</t>
        </is>
      </c>
      <c r="E2641" t="inlineStr">
        <is>
          <t>Edvando</t>
        </is>
      </c>
      <c r="F2641" t="inlineStr">
        <is>
          <t>SERVIOS REPOSIO LEANDRO</t>
        </is>
      </c>
      <c r="J2641" t="inlineStr">
        <is>
          <t>Atividade</t>
        </is>
      </c>
      <c r="K2641" t="inlineStr">
        <is>
          <t>Planejamento</t>
        </is>
      </c>
      <c r="L2641" t="inlineStr">
        <is>
          <t>PDS_chat_2026-05-29</t>
        </is>
      </c>
      <c r="M2641">
        <f>IF($A2641="","",TEXT($A2641,"mmmm/yyyy"))</f>
        <v/>
      </c>
      <c r="R2641">
        <f>IF(ISNUMBER(SEARCH("HDD",$F2641)),"HDD",IF(ISNUMBER(SEARCH("VCA",$F2641)),"VCA","MND"))</f>
        <v/>
      </c>
      <c r="T2641">
        <f>TEXT($A2641,"yyyy-mm")&amp;"|"&amp;$C2641&amp;"|"&amp;$I2641</f>
        <v/>
      </c>
    </row>
    <row r="2642">
      <c r="A2642" s="36" t="n">
        <v>46170</v>
      </c>
      <c r="B2642" t="inlineStr">
        <is>
          <t>Quinta</t>
        </is>
      </c>
      <c r="C2642" t="inlineStr">
        <is>
          <t>CTS Lourdes Complementar Robson</t>
        </is>
      </c>
      <c r="E2642" t="inlineStr">
        <is>
          <t>Edvando</t>
        </is>
      </c>
      <c r="F2642" t="inlineStr">
        <is>
          <t>Reparos Gerais</t>
        </is>
      </c>
      <c r="J2642" t="inlineStr">
        <is>
          <t>Reposi??o</t>
        </is>
      </c>
      <c r="K2642" t="inlineStr">
        <is>
          <t>Planejamento</t>
        </is>
      </c>
      <c r="L2642" t="inlineStr">
        <is>
          <t>PDS_chat_2026-05-29</t>
        </is>
      </c>
      <c r="M2642">
        <f>IF($A2642="","",TEXT($A2642,"mmmm/yyyy"))</f>
        <v/>
      </c>
      <c r="R2642">
        <f>IF(ISNUMBER(SEARCH("HDD",$F2642)),"HDD",IF(ISNUMBER(SEARCH("VCA",$F2642)),"VCA","MND"))</f>
        <v/>
      </c>
      <c r="T2642">
        <f>TEXT($A2642,"yyyy-mm")&amp;"|"&amp;$C2642&amp;"|"&amp;$I2642</f>
        <v/>
      </c>
    </row>
    <row r="2643">
      <c r="A2643" s="36" t="n">
        <v>46170</v>
      </c>
      <c r="B2643" t="inlineStr">
        <is>
          <t>Quinta</t>
        </is>
      </c>
      <c r="C2643" t="inlineStr">
        <is>
          <t>Servi?os Reposi??o</t>
        </is>
      </c>
      <c r="D2643" t="inlineStr">
        <is>
          <t>Leandro</t>
        </is>
      </c>
      <c r="E2643" t="inlineStr">
        <is>
          <t>Vacal</t>
        </is>
      </c>
      <c r="F2643" t="inlineStr">
        <is>
          <t>Joo Canzi Renasce</t>
        </is>
      </c>
      <c r="J2643" t="inlineStr">
        <is>
          <t>Atividade</t>
        </is>
      </c>
      <c r="K2643" t="inlineStr">
        <is>
          <t>Planejamento</t>
        </is>
      </c>
      <c r="L2643" t="inlineStr">
        <is>
          <t>PDS_chat_2026-05-29</t>
        </is>
      </c>
      <c r="M2643">
        <f>IF($A2643="","",TEXT($A2643,"mmmm/yyyy"))</f>
        <v/>
      </c>
      <c r="R2643">
        <f>IF(ISNUMBER(SEARCH("HDD",$F2643)),"HDD",IF(ISNUMBER(SEARCH("VCA",$F2643)),"VCA","MND"))</f>
        <v/>
      </c>
      <c r="T2643">
        <f>TEXT($A2643,"yyyy-mm")&amp;"|"&amp;$C2643&amp;"|"&amp;$I2643</f>
        <v/>
      </c>
    </row>
    <row r="2644">
      <c r="A2644" s="36" t="n">
        <v>46170</v>
      </c>
      <c r="B2644" t="inlineStr">
        <is>
          <t>Quinta</t>
        </is>
      </c>
      <c r="C2644" t="inlineStr">
        <is>
          <t>Servi?os Reposi??o</t>
        </is>
      </c>
      <c r="D2644" t="inlineStr">
        <is>
          <t>Leandro</t>
        </is>
      </c>
      <c r="E2644" t="inlineStr">
        <is>
          <t>Vacal</t>
        </is>
      </c>
      <c r="F2644" t="inlineStr">
        <is>
          <t>Joo Canzi Henko</t>
        </is>
      </c>
      <c r="J2644" t="inlineStr">
        <is>
          <t>Atividade</t>
        </is>
      </c>
      <c r="K2644" t="inlineStr">
        <is>
          <t>Planejamento</t>
        </is>
      </c>
      <c r="L2644" t="inlineStr">
        <is>
          <t>PDS_chat_2026-05-29</t>
        </is>
      </c>
      <c r="M2644">
        <f>IF($A2644="","",TEXT($A2644,"mmmm/yyyy"))</f>
        <v/>
      </c>
      <c r="R2644">
        <f>IF(ISNUMBER(SEARCH("HDD",$F2644)),"HDD",IF(ISNUMBER(SEARCH("VCA",$F2644)),"VCA","MND"))</f>
        <v/>
      </c>
      <c r="T2644">
        <f>TEXT($A2644,"yyyy-mm")&amp;"|"&amp;$C2644&amp;"|"&amp;$I2644</f>
        <v/>
      </c>
    </row>
    <row r="2645">
      <c r="A2645" s="36" t="n">
        <v>46170</v>
      </c>
      <c r="B2645" t="inlineStr">
        <is>
          <t>Quinta</t>
        </is>
      </c>
      <c r="C2645" t="inlineStr">
        <is>
          <t>Servi?os Reposi??o</t>
        </is>
      </c>
      <c r="D2645" t="inlineStr">
        <is>
          <t>Leandro</t>
        </is>
      </c>
      <c r="E2645" t="inlineStr">
        <is>
          <t>Vacal</t>
        </is>
      </c>
      <c r="F2645" t="inlineStr">
        <is>
          <t>Lourdes Hidrosol</t>
        </is>
      </c>
      <c r="J2645" t="inlineStr">
        <is>
          <t>Atividade</t>
        </is>
      </c>
      <c r="K2645" t="inlineStr">
        <is>
          <t>Planejamento</t>
        </is>
      </c>
      <c r="L2645" t="inlineStr">
        <is>
          <t>PDS_chat_2026-05-29</t>
        </is>
      </c>
      <c r="M2645">
        <f>IF($A2645="","",TEXT($A2645,"mmmm/yyyy"))</f>
        <v/>
      </c>
      <c r="R2645">
        <f>IF(ISNUMBER(SEARCH("HDD",$F2645)),"HDD",IF(ISNUMBER(SEARCH("VCA",$F2645)),"VCA","MND"))</f>
        <v/>
      </c>
      <c r="T2645">
        <f>TEXT($A2645,"yyyy-mm")&amp;"|"&amp;$C2645&amp;"|"&amp;$I2645</f>
        <v/>
      </c>
    </row>
    <row r="2646">
      <c r="A2646" s="36" t="n">
        <v>46170</v>
      </c>
      <c r="B2646" t="inlineStr">
        <is>
          <t>Quinta</t>
        </is>
      </c>
      <c r="C2646" t="inlineStr">
        <is>
          <t>Servi?os Reposi??o</t>
        </is>
      </c>
      <c r="D2646" t="inlineStr">
        <is>
          <t>Leandro</t>
        </is>
      </c>
      <c r="E2646" t="inlineStr">
        <is>
          <t>Vacal</t>
        </is>
      </c>
      <c r="F2646" t="inlineStr">
        <is>
          <t>Lourdes Henko</t>
        </is>
      </c>
      <c r="J2646" t="inlineStr">
        <is>
          <t>Atividade</t>
        </is>
      </c>
      <c r="K2646" t="inlineStr">
        <is>
          <t>Planejamento</t>
        </is>
      </c>
      <c r="L2646" t="inlineStr">
        <is>
          <t>PDS_chat_2026-05-29</t>
        </is>
      </c>
      <c r="M2646">
        <f>IF($A2646="","",TEXT($A2646,"mmmm/yyyy"))</f>
        <v/>
      </c>
      <c r="R2646">
        <f>IF(ISNUMBER(SEARCH("HDD",$F2646)),"HDD",IF(ISNUMBER(SEARCH("VCA",$F2646)),"VCA","MND"))</f>
        <v/>
      </c>
      <c r="T2646">
        <f>TEXT($A2646,"yyyy-mm")&amp;"|"&amp;$C2646&amp;"|"&amp;$I2646</f>
        <v/>
      </c>
    </row>
    <row r="2647">
      <c r="A2647" s="36" t="n">
        <v>46170</v>
      </c>
      <c r="B2647" t="inlineStr">
        <is>
          <t>Quinta</t>
        </is>
      </c>
      <c r="C2647" t="inlineStr">
        <is>
          <t>Servi?os Reposi??o</t>
        </is>
      </c>
      <c r="D2647" t="inlineStr">
        <is>
          <t>Leandro</t>
        </is>
      </c>
      <c r="E2647" t="inlineStr">
        <is>
          <t>Vacal</t>
        </is>
      </c>
      <c r="F2647" t="inlineStr">
        <is>
          <t>Lourdes Henko</t>
        </is>
      </c>
      <c r="J2647" t="inlineStr">
        <is>
          <t>Atividade</t>
        </is>
      </c>
      <c r="K2647" t="inlineStr">
        <is>
          <t>Planejamento</t>
        </is>
      </c>
      <c r="L2647" t="inlineStr">
        <is>
          <t>PDS_chat_2026-05-29</t>
        </is>
      </c>
      <c r="M2647">
        <f>IF($A2647="","",TEXT($A2647,"mmmm/yyyy"))</f>
        <v/>
      </c>
      <c r="R2647">
        <f>IF(ISNUMBER(SEARCH("HDD",$F2647)),"HDD",IF(ISNUMBER(SEARCH("VCA",$F2647)),"VCA","MND"))</f>
        <v/>
      </c>
      <c r="T2647">
        <f>TEXT($A2647,"yyyy-mm")&amp;"|"&amp;$C2647&amp;"|"&amp;$I2647</f>
        <v/>
      </c>
    </row>
    <row r="2648">
      <c r="A2648" s="36" t="n">
        <v>46170</v>
      </c>
      <c r="B2648" t="inlineStr">
        <is>
          <t>Quinta</t>
        </is>
      </c>
      <c r="C2648" t="inlineStr">
        <is>
          <t>Servi?os Reposi??o</t>
        </is>
      </c>
      <c r="D2648" t="inlineStr">
        <is>
          <t>Leandro</t>
        </is>
      </c>
      <c r="E2648" t="inlineStr">
        <is>
          <t>Guindauto: Marcio</t>
        </is>
      </c>
      <c r="F2648" t="inlineStr">
        <is>
          <t>Marcio - Apoio as equipes</t>
        </is>
      </c>
      <c r="J2648" t="inlineStr">
        <is>
          <t>Atividade</t>
        </is>
      </c>
      <c r="K2648" t="inlineStr">
        <is>
          <t>Planejamento</t>
        </is>
      </c>
      <c r="L2648" t="inlineStr">
        <is>
          <t>PDS_chat_2026-05-29</t>
        </is>
      </c>
      <c r="M2648">
        <f>IF($A2648="","",TEXT($A2648,"mmmm/yyyy"))</f>
        <v/>
      </c>
      <c r="R2648">
        <f>IF(ISNUMBER(SEARCH("HDD",$F2648)),"HDD",IF(ISNUMBER(SEARCH("VCA",$F2648)),"VCA","MND"))</f>
        <v/>
      </c>
      <c r="T2648">
        <f>TEXT($A2648,"yyyy-mm")&amp;"|"&amp;$C2648&amp;"|"&amp;$I2648</f>
        <v/>
      </c>
    </row>
    <row r="2649">
      <c r="A2649" s="36" t="n">
        <v>46170</v>
      </c>
      <c r="B2649" t="inlineStr">
        <is>
          <t>Quinta</t>
        </is>
      </c>
      <c r="C2649" t="inlineStr">
        <is>
          <t>Servi?os Reposi??o</t>
        </is>
      </c>
      <c r="D2649" t="inlineStr">
        <is>
          <t>Leandro</t>
        </is>
      </c>
      <c r="E2649" t="inlineStr">
        <is>
          <t>Guindauto: Luiz Carlos</t>
        </is>
      </c>
      <c r="F2649" t="inlineStr">
        <is>
          <t>Luiz Carlos - Apoio as equipes</t>
        </is>
      </c>
      <c r="J2649" t="inlineStr">
        <is>
          <t>Atividade</t>
        </is>
      </c>
      <c r="K2649" t="inlineStr">
        <is>
          <t>Planejamento</t>
        </is>
      </c>
      <c r="L2649" t="inlineStr">
        <is>
          <t>PDS_chat_2026-05-29</t>
        </is>
      </c>
      <c r="M2649">
        <f>IF($A2649="","",TEXT($A2649,"mmmm/yyyy"))</f>
        <v/>
      </c>
      <c r="R2649">
        <f>IF(ISNUMBER(SEARCH("HDD",$F2649)),"HDD",IF(ISNUMBER(SEARCH("VCA",$F2649)),"VCA","MND"))</f>
        <v/>
      </c>
      <c r="T2649">
        <f>TEXT($A2649,"yyyy-mm")&amp;"|"&amp;$C2649&amp;"|"&amp;$I2649</f>
        <v/>
      </c>
    </row>
    <row r="2650">
      <c r="A2650" s="36" t="n">
        <v>46171</v>
      </c>
      <c r="B2650" t="inlineStr">
        <is>
          <t>Sexta</t>
        </is>
      </c>
      <c r="C2650" t="inlineStr">
        <is>
          <t>CT Joo Canzi Valmir</t>
        </is>
      </c>
      <c r="E2650" t="inlineStr">
        <is>
          <t>Goinia Drill</t>
        </is>
      </c>
      <c r="F2650" t="inlineStr">
        <is>
          <t>Furo piloto e puxe do PV-10 ao PV-11</t>
        </is>
      </c>
      <c r="G2650" t="inlineStr">
        <is>
          <t>10</t>
        </is>
      </c>
      <c r="H2650" t="inlineStr">
        <is>
          <t>11</t>
        </is>
      </c>
      <c r="I2650" t="inlineStr">
        <is>
          <t>10 ao 11</t>
        </is>
      </c>
      <c r="J2650" t="inlineStr">
        <is>
          <t>HDD</t>
        </is>
      </c>
      <c r="K2650" t="inlineStr">
        <is>
          <t>Planejamento</t>
        </is>
      </c>
      <c r="L2650" t="inlineStr">
        <is>
          <t>PDS_chat_2026-05-29</t>
        </is>
      </c>
      <c r="M2650">
        <f>IF($A2650="","",TEXT($A2650,"mmmm/yyyy"))</f>
        <v/>
      </c>
      <c r="R2650">
        <f>IF(ISNUMBER(SEARCH("HDD",$F2650)),"HDD",IF(ISNUMBER(SEARCH("VCA",$F2650)),"VCA","MND"))</f>
        <v/>
      </c>
      <c r="T2650">
        <f>TEXT($A2650,"yyyy-mm")&amp;"|"&amp;$C2650&amp;"|"&amp;$I2650</f>
        <v/>
      </c>
    </row>
    <row r="2651">
      <c r="A2651" s="36" t="n">
        <v>46171</v>
      </c>
      <c r="B2651" t="inlineStr">
        <is>
          <t>Sexta</t>
        </is>
      </c>
      <c r="C2651" t="inlineStr">
        <is>
          <t>CT Joo Canzi Valmir</t>
        </is>
      </c>
      <c r="E2651" t="inlineStr">
        <is>
          <t>Bruno</t>
        </is>
      </c>
      <c r="F2651" t="inlineStr">
        <is>
          <t>Apoio ao HDD</t>
        </is>
      </c>
      <c r="J2651" t="inlineStr">
        <is>
          <t>HDD</t>
        </is>
      </c>
      <c r="K2651" t="inlineStr">
        <is>
          <t>Planejamento</t>
        </is>
      </c>
      <c r="L2651" t="inlineStr">
        <is>
          <t>PDS_chat_2026-05-29</t>
        </is>
      </c>
      <c r="M2651">
        <f>IF($A2651="","",TEXT($A2651,"mmmm/yyyy"))</f>
        <v/>
      </c>
      <c r="R2651">
        <f>IF(ISNUMBER(SEARCH("HDD",$F2651)),"HDD",IF(ISNUMBER(SEARCH("VCA",$F2651)),"VCA","MND"))</f>
        <v/>
      </c>
      <c r="T2651">
        <f>TEXT($A2651,"yyyy-mm")&amp;"|"&amp;$C2651&amp;"|"&amp;$I2651</f>
        <v/>
      </c>
    </row>
    <row r="2652">
      <c r="A2652" s="36" t="n">
        <v>46171</v>
      </c>
      <c r="B2652" t="inlineStr">
        <is>
          <t>Sexta</t>
        </is>
      </c>
      <c r="C2652" t="inlineStr">
        <is>
          <t>CT Joo Canzi Valmir</t>
        </is>
      </c>
      <c r="E2652" t="inlineStr">
        <is>
          <t>Mrcio</t>
        </is>
      </c>
      <c r="F2652" t="inlineStr">
        <is>
          <t>Transformao PV 14</t>
        </is>
      </c>
      <c r="G2652" t="inlineStr">
        <is>
          <t>14</t>
        </is>
      </c>
      <c r="I2652" t="inlineStr">
        <is>
          <t>14</t>
        </is>
      </c>
      <c r="J2652" t="inlineStr">
        <is>
          <t>Transforma??o</t>
        </is>
      </c>
      <c r="K2652" t="inlineStr">
        <is>
          <t>Planejamento</t>
        </is>
      </c>
      <c r="L2652" t="inlineStr">
        <is>
          <t>PDS_chat_2026-05-29</t>
        </is>
      </c>
      <c r="M2652">
        <f>IF($A2652="","",TEXT($A2652,"mmmm/yyyy"))</f>
        <v/>
      </c>
      <c r="R2652">
        <f>IF(ISNUMBER(SEARCH("HDD",$F2652)),"HDD",IF(ISNUMBER(SEARCH("VCA",$F2652)),"VCA","MND"))</f>
        <v/>
      </c>
      <c r="T2652">
        <f>TEXT($A2652,"yyyy-mm")&amp;"|"&amp;$C2652&amp;"|"&amp;$I2652</f>
        <v/>
      </c>
    </row>
    <row r="2653">
      <c r="A2653" s="36" t="n">
        <v>46171</v>
      </c>
      <c r="B2653" t="inlineStr">
        <is>
          <t>Sexta</t>
        </is>
      </c>
      <c r="C2653" t="inlineStr">
        <is>
          <t>CT Joo Canzi Valmir</t>
        </is>
      </c>
      <c r="E2653" t="inlineStr">
        <is>
          <t>Marcelo</t>
        </is>
      </c>
      <c r="F2653" t="inlineStr">
        <is>
          <t>Shaft PV 09</t>
        </is>
      </c>
      <c r="G2653" t="inlineStr">
        <is>
          <t>09</t>
        </is>
      </c>
      <c r="I2653" t="inlineStr">
        <is>
          <t>09</t>
        </is>
      </c>
      <c r="J2653" t="inlineStr">
        <is>
          <t>Shaft</t>
        </is>
      </c>
      <c r="K2653" t="inlineStr">
        <is>
          <t>Planejamento</t>
        </is>
      </c>
      <c r="L2653" t="inlineStr">
        <is>
          <t>PDS_chat_2026-05-29</t>
        </is>
      </c>
      <c r="M2653">
        <f>IF($A2653="","",TEXT($A2653,"mmmm/yyyy"))</f>
        <v/>
      </c>
      <c r="R2653">
        <f>IF(ISNUMBER(SEARCH("HDD",$F2653)),"HDD",IF(ISNUMBER(SEARCH("VCA",$F2653)),"VCA","MND"))</f>
        <v/>
      </c>
      <c r="T2653">
        <f>TEXT($A2653,"yyyy-mm")&amp;"|"&amp;$C2653&amp;"|"&amp;$I2653</f>
        <v/>
      </c>
    </row>
    <row r="2654">
      <c r="A2654" s="36" t="n">
        <v>46171</v>
      </c>
      <c r="B2654" t="inlineStr">
        <is>
          <t>Sexta</t>
        </is>
      </c>
      <c r="C2654" t="inlineStr">
        <is>
          <t>CT Joo Canzi Valmir</t>
        </is>
      </c>
      <c r="E2654" t="inlineStr">
        <is>
          <t>Valter</t>
        </is>
      </c>
      <c r="F2654" t="inlineStr">
        <is>
          <t>Shaft PV 11</t>
        </is>
      </c>
      <c r="G2654" t="inlineStr">
        <is>
          <t>11</t>
        </is>
      </c>
      <c r="I2654" t="inlineStr">
        <is>
          <t>11</t>
        </is>
      </c>
      <c r="J2654" t="inlineStr">
        <is>
          <t>Shaft</t>
        </is>
      </c>
      <c r="K2654" t="inlineStr">
        <is>
          <t>Planejamento</t>
        </is>
      </c>
      <c r="L2654" t="inlineStr">
        <is>
          <t>PDS_chat_2026-05-29</t>
        </is>
      </c>
      <c r="M2654">
        <f>IF($A2654="","",TEXT($A2654,"mmmm/yyyy"))</f>
        <v/>
      </c>
      <c r="R2654">
        <f>IF(ISNUMBER(SEARCH("HDD",$F2654)),"HDD",IF(ISNUMBER(SEARCH("VCA",$F2654)),"VCA","MND"))</f>
        <v/>
      </c>
      <c r="T2654">
        <f>TEXT($A2654,"yyyy-mm")&amp;"|"&amp;$C2654&amp;"|"&amp;$I2654</f>
        <v/>
      </c>
    </row>
    <row r="2655">
      <c r="A2655" s="36" t="n">
        <v>46171</v>
      </c>
      <c r="B2655" t="inlineStr">
        <is>
          <t>Sexta</t>
        </is>
      </c>
      <c r="C2655" t="inlineStr">
        <is>
          <t>RCE Conj. Unio Caroline E Silvestre</t>
        </is>
      </c>
      <c r="E2655" t="inlineStr">
        <is>
          <t>Jonathan</t>
        </is>
      </c>
      <c r="F2655" t="inlineStr">
        <is>
          <t>Shaft PV 40.1</t>
        </is>
      </c>
      <c r="G2655" t="inlineStr">
        <is>
          <t>40.1</t>
        </is>
      </c>
      <c r="I2655" t="inlineStr">
        <is>
          <t>40.1</t>
        </is>
      </c>
      <c r="J2655" t="inlineStr">
        <is>
          <t>Shaft</t>
        </is>
      </c>
      <c r="K2655" t="inlineStr">
        <is>
          <t>Planejamento</t>
        </is>
      </c>
      <c r="L2655" t="inlineStr">
        <is>
          <t>PDS_chat_2026-05-29</t>
        </is>
      </c>
      <c r="M2655">
        <f>IF($A2655="","",TEXT($A2655,"mmmm/yyyy"))</f>
        <v/>
      </c>
      <c r="R2655">
        <f>IF(ISNUMBER(SEARCH("HDD",$F2655)),"HDD",IF(ISNUMBER(SEARCH("VCA",$F2655)),"VCA","MND"))</f>
        <v/>
      </c>
      <c r="T2655">
        <f>TEXT($A2655,"yyyy-mm")&amp;"|"&amp;$C2655&amp;"|"&amp;$I2655</f>
        <v/>
      </c>
    </row>
    <row r="2656">
      <c r="A2656" s="36" t="n">
        <v>46171</v>
      </c>
      <c r="B2656" t="inlineStr">
        <is>
          <t>Sexta</t>
        </is>
      </c>
      <c r="C2656" t="inlineStr">
        <is>
          <t>RCE So Lucas Fbio</t>
        </is>
      </c>
      <c r="E2656" t="inlineStr">
        <is>
          <t>Ricardo (PI 04 Ao PI 06)</t>
        </is>
      </c>
      <c r="F2656" t="inlineStr">
        <is>
          <t>VCA, PVs e Ligaes</t>
        </is>
      </c>
      <c r="G2656" t="inlineStr">
        <is>
          <t>04</t>
        </is>
      </c>
      <c r="H2656" t="inlineStr">
        <is>
          <t>06</t>
        </is>
      </c>
      <c r="I2656" t="inlineStr">
        <is>
          <t>04 ao 06</t>
        </is>
      </c>
      <c r="J2656" t="inlineStr">
        <is>
          <t>VCA</t>
        </is>
      </c>
      <c r="K2656" t="inlineStr">
        <is>
          <t>Planejamento</t>
        </is>
      </c>
      <c r="L2656" t="inlineStr">
        <is>
          <t>PDS_chat_2026-05-29</t>
        </is>
      </c>
      <c r="M2656">
        <f>IF($A2656="","",TEXT($A2656,"mmmm/yyyy"))</f>
        <v/>
      </c>
      <c r="R2656">
        <f>IF(ISNUMBER(SEARCH("HDD",$F2656)),"HDD",IF(ISNUMBER(SEARCH("VCA",$F2656)),"VCA","MND"))</f>
        <v/>
      </c>
      <c r="T2656">
        <f>TEXT($A2656,"yyyy-mm")&amp;"|"&amp;$C2656&amp;"|"&amp;$I2656</f>
        <v/>
      </c>
    </row>
    <row r="2657">
      <c r="A2657" s="36" t="n">
        <v>46171</v>
      </c>
      <c r="B2657" t="inlineStr">
        <is>
          <t>Sexta</t>
        </is>
      </c>
      <c r="C2657" t="inlineStr">
        <is>
          <t>RCE So Lucas Fbio</t>
        </is>
      </c>
      <c r="E2657" t="inlineStr">
        <is>
          <t>Claudinei (PI 37 Ao PI 38)</t>
        </is>
      </c>
      <c r="F2657" t="inlineStr">
        <is>
          <t>VCA, PVs e Ligaes</t>
        </is>
      </c>
      <c r="G2657" t="inlineStr">
        <is>
          <t>37</t>
        </is>
      </c>
      <c r="H2657" t="inlineStr">
        <is>
          <t>38</t>
        </is>
      </c>
      <c r="I2657" t="inlineStr">
        <is>
          <t>37 ao 38</t>
        </is>
      </c>
      <c r="J2657" t="inlineStr">
        <is>
          <t>VCA</t>
        </is>
      </c>
      <c r="K2657" t="inlineStr">
        <is>
          <t>Planejamento</t>
        </is>
      </c>
      <c r="L2657" t="inlineStr">
        <is>
          <t>PDS_chat_2026-05-29</t>
        </is>
      </c>
      <c r="M2657">
        <f>IF($A2657="","",TEXT($A2657,"mmmm/yyyy"))</f>
        <v/>
      </c>
      <c r="R2657">
        <f>IF(ISNUMBER(SEARCH("HDD",$F2657)),"HDD",IF(ISNUMBER(SEARCH("VCA",$F2657)),"VCA","MND"))</f>
        <v/>
      </c>
      <c r="T2657">
        <f>TEXT($A2657,"yyyy-mm")&amp;"|"&amp;$C2657&amp;"|"&amp;$I2657</f>
        <v/>
      </c>
    </row>
    <row r="2658">
      <c r="A2658" s="36" t="n">
        <v>46171</v>
      </c>
      <c r="B2658" t="inlineStr">
        <is>
          <t>Sexta</t>
        </is>
      </c>
      <c r="C2658" t="inlineStr">
        <is>
          <t>RCE So Lucas Fbio</t>
        </is>
      </c>
      <c r="E2658" t="inlineStr">
        <is>
          <t>Emanuel GO-01</t>
        </is>
      </c>
      <c r="F2658" t="inlineStr">
        <is>
          <t>VCA, PVs e Ligaes; (PI 33 ao PI 34)</t>
        </is>
      </c>
      <c r="G2658" t="inlineStr">
        <is>
          <t>33</t>
        </is>
      </c>
      <c r="H2658" t="inlineStr">
        <is>
          <t>34</t>
        </is>
      </c>
      <c r="I2658" t="inlineStr">
        <is>
          <t>33 ao 34</t>
        </is>
      </c>
      <c r="J2658" t="inlineStr">
        <is>
          <t>VCA</t>
        </is>
      </c>
      <c r="K2658" t="inlineStr">
        <is>
          <t>Planejamento</t>
        </is>
      </c>
      <c r="L2658" t="inlineStr">
        <is>
          <t>PDS_chat_2026-05-29</t>
        </is>
      </c>
      <c r="M2658">
        <f>IF($A2658="","",TEXT($A2658,"mmmm/yyyy"))</f>
        <v/>
      </c>
      <c r="R2658">
        <f>IF(ISNUMBER(SEARCH("HDD",$F2658)),"HDD",IF(ISNUMBER(SEARCH("VCA",$F2658)),"VCA","MND"))</f>
        <v/>
      </c>
      <c r="T2658">
        <f>TEXT($A2658,"yyyy-mm")&amp;"|"&amp;$C2658&amp;"|"&amp;$I2658</f>
        <v/>
      </c>
    </row>
    <row r="2659">
      <c r="A2659" s="36" t="n">
        <v>46171</v>
      </c>
      <c r="B2659" t="inlineStr">
        <is>
          <t>Sexta</t>
        </is>
      </c>
      <c r="C2659" t="inlineStr">
        <is>
          <t>RCE So Lucas Fbio</t>
        </is>
      </c>
      <c r="E2659" t="inlineStr">
        <is>
          <t>Miro GO-02</t>
        </is>
      </c>
      <c r="F2659" t="inlineStr">
        <is>
          <t>VCA, PVs e Ligaes; (PI 33 ao PI 34)</t>
        </is>
      </c>
      <c r="G2659" t="inlineStr">
        <is>
          <t>33</t>
        </is>
      </c>
      <c r="H2659" t="inlineStr">
        <is>
          <t>34</t>
        </is>
      </c>
      <c r="I2659" t="inlineStr">
        <is>
          <t>33 ao 34</t>
        </is>
      </c>
      <c r="J2659" t="inlineStr">
        <is>
          <t>VCA</t>
        </is>
      </c>
      <c r="K2659" t="inlineStr">
        <is>
          <t>Planejamento</t>
        </is>
      </c>
      <c r="L2659" t="inlineStr">
        <is>
          <t>PDS_chat_2026-05-29</t>
        </is>
      </c>
      <c r="M2659">
        <f>IF($A2659="","",TEXT($A2659,"mmmm/yyyy"))</f>
        <v/>
      </c>
      <c r="R2659">
        <f>IF(ISNUMBER(SEARCH("HDD",$F2659)),"HDD",IF(ISNUMBER(SEARCH("VCA",$F2659)),"VCA","MND"))</f>
        <v/>
      </c>
      <c r="T2659">
        <f>TEXT($A2659,"yyyy-mm")&amp;"|"&amp;$C2659&amp;"|"&amp;$I2659</f>
        <v/>
      </c>
    </row>
    <row r="2660">
      <c r="A2660" s="36" t="n">
        <v>46171</v>
      </c>
      <c r="B2660" t="inlineStr">
        <is>
          <t>Sexta</t>
        </is>
      </c>
      <c r="C2660" t="inlineStr">
        <is>
          <t>RCE Rua So Joo Fbio</t>
        </is>
      </c>
      <c r="E2660" t="inlineStr">
        <is>
          <t>Antonio (PI 01 Ao PI 02)*</t>
        </is>
      </c>
      <c r="F2660" t="inlineStr">
        <is>
          <t>VCA, PVs e Ligaes</t>
        </is>
      </c>
      <c r="G2660" t="inlineStr">
        <is>
          <t>01</t>
        </is>
      </c>
      <c r="H2660" t="inlineStr">
        <is>
          <t>02</t>
        </is>
      </c>
      <c r="I2660" t="inlineStr">
        <is>
          <t>01 ao 02</t>
        </is>
      </c>
      <c r="J2660" t="inlineStr">
        <is>
          <t>VCA</t>
        </is>
      </c>
      <c r="K2660" t="inlineStr">
        <is>
          <t>Planejamento</t>
        </is>
      </c>
      <c r="L2660" t="inlineStr">
        <is>
          <t>PDS_chat_2026-05-29</t>
        </is>
      </c>
      <c r="M2660">
        <f>IF($A2660="","",TEXT($A2660,"mmmm/yyyy"))</f>
        <v/>
      </c>
      <c r="R2660">
        <f>IF(ISNUMBER(SEARCH("HDD",$F2660)),"HDD",IF(ISNUMBER(SEARCH("VCA",$F2660)),"VCA","MND"))</f>
        <v/>
      </c>
      <c r="T2660">
        <f>TEXT($A2660,"yyyy-mm")&amp;"|"&amp;$C2660&amp;"|"&amp;$I2660</f>
        <v/>
      </c>
    </row>
    <row r="2661">
      <c r="A2661" s="36" t="n">
        <v>46171</v>
      </c>
      <c r="B2661" t="inlineStr">
        <is>
          <t>Sexta</t>
        </is>
      </c>
      <c r="C2661" t="inlineStr">
        <is>
          <t>CTS Lourdes Complementar Caroline E Silvestre</t>
        </is>
      </c>
      <c r="E2661" t="inlineStr">
        <is>
          <t>Cesar</t>
        </is>
      </c>
      <c r="F2661" t="inlineStr">
        <is>
          <t>Corte cabea puxe PV 03</t>
        </is>
      </c>
      <c r="G2661" t="inlineStr">
        <is>
          <t>03</t>
        </is>
      </c>
      <c r="I2661" t="inlineStr">
        <is>
          <t>03</t>
        </is>
      </c>
      <c r="J2661" t="inlineStr">
        <is>
          <t>HDD</t>
        </is>
      </c>
      <c r="K2661" t="inlineStr">
        <is>
          <t>Planejamento</t>
        </is>
      </c>
      <c r="L2661" t="inlineStr">
        <is>
          <t>PDS_chat_2026-05-29</t>
        </is>
      </c>
      <c r="M2661">
        <f>IF($A2661="","",TEXT($A2661,"mmmm/yyyy"))</f>
        <v/>
      </c>
      <c r="R2661">
        <f>IF(ISNUMBER(SEARCH("HDD",$F2661)),"HDD",IF(ISNUMBER(SEARCH("VCA",$F2661)),"VCA","MND"))</f>
        <v/>
      </c>
      <c r="T2661">
        <f>TEXT($A2661,"yyyy-mm")&amp;"|"&amp;$C2661&amp;"|"&amp;$I2661</f>
        <v/>
      </c>
    </row>
    <row r="2662">
      <c r="A2662" s="36" t="n">
        <v>46171</v>
      </c>
      <c r="B2662" t="inlineStr">
        <is>
          <t>Sexta</t>
        </is>
      </c>
      <c r="C2662" t="inlineStr">
        <is>
          <t>CTS Lourdes Complementar Caroline E Silvestre</t>
        </is>
      </c>
      <c r="E2662" t="inlineStr">
        <is>
          <t>Edvando</t>
        </is>
      </c>
      <c r="F2662" t="inlineStr">
        <is>
          <t>Transformao PV 02</t>
        </is>
      </c>
      <c r="G2662" t="inlineStr">
        <is>
          <t>02</t>
        </is>
      </c>
      <c r="I2662" t="inlineStr">
        <is>
          <t>02</t>
        </is>
      </c>
      <c r="J2662" t="inlineStr">
        <is>
          <t>Transforma??o</t>
        </is>
      </c>
      <c r="K2662" t="inlineStr">
        <is>
          <t>Planejamento</t>
        </is>
      </c>
      <c r="L2662" t="inlineStr">
        <is>
          <t>PDS_chat_2026-05-29</t>
        </is>
      </c>
      <c r="M2662">
        <f>IF($A2662="","",TEXT($A2662,"mmmm/yyyy"))</f>
        <v/>
      </c>
      <c r="R2662">
        <f>IF(ISNUMBER(SEARCH("HDD",$F2662)),"HDD",IF(ISNUMBER(SEARCH("VCA",$F2662)),"VCA","MND"))</f>
        <v/>
      </c>
      <c r="T2662">
        <f>TEXT($A2662,"yyyy-mm")&amp;"|"&amp;$C2662&amp;"|"&amp;$I2662</f>
        <v/>
      </c>
    </row>
    <row r="2663">
      <c r="A2663" s="36" t="n">
        <v>46171</v>
      </c>
      <c r="B2663" t="inlineStr">
        <is>
          <t>Sexta</t>
        </is>
      </c>
      <c r="C2663" t="inlineStr">
        <is>
          <t>CTS Lourdes Complementar Caroline E Silvestre</t>
        </is>
      </c>
      <c r="E2663" t="inlineStr">
        <is>
          <t>Cido</t>
        </is>
      </c>
      <c r="F2663" t="inlineStr">
        <is>
          <t>Transformao PV 04</t>
        </is>
      </c>
      <c r="G2663" t="inlineStr">
        <is>
          <t>04</t>
        </is>
      </c>
      <c r="I2663" t="inlineStr">
        <is>
          <t>04</t>
        </is>
      </c>
      <c r="J2663" t="inlineStr">
        <is>
          <t>Transforma??o</t>
        </is>
      </c>
      <c r="K2663" t="inlineStr">
        <is>
          <t>Planejamento</t>
        </is>
      </c>
      <c r="L2663" t="inlineStr">
        <is>
          <t>PDS_chat_2026-05-29</t>
        </is>
      </c>
      <c r="M2663">
        <f>IF($A2663="","",TEXT($A2663,"mmmm/yyyy"))</f>
        <v/>
      </c>
      <c r="R2663">
        <f>IF(ISNUMBER(SEARCH("HDD",$F2663)),"HDD",IF(ISNUMBER(SEARCH("VCA",$F2663)),"VCA","MND"))</f>
        <v/>
      </c>
      <c r="T2663">
        <f>TEXT($A2663,"yyyy-mm")&amp;"|"&amp;$C2663&amp;"|"&amp;$I2663</f>
        <v/>
      </c>
    </row>
    <row r="2664">
      <c r="A2664" s="36" t="n">
        <v>46171</v>
      </c>
      <c r="B2664" t="inlineStr">
        <is>
          <t>Sexta</t>
        </is>
      </c>
      <c r="C2664" t="inlineStr">
        <is>
          <t>CTS Lourdes Complementar Caroline E Silvestre</t>
        </is>
      </c>
      <c r="E2664" t="inlineStr">
        <is>
          <t>Cido</t>
        </is>
      </c>
      <c r="F2664" t="inlineStr">
        <is>
          <t>SERVIOS REPOSIO LEANDRO</t>
        </is>
      </c>
      <c r="J2664" t="inlineStr">
        <is>
          <t>Atividade</t>
        </is>
      </c>
      <c r="K2664" t="inlineStr">
        <is>
          <t>Planejamento</t>
        </is>
      </c>
      <c r="L2664" t="inlineStr">
        <is>
          <t>PDS_chat_2026-05-29</t>
        </is>
      </c>
      <c r="M2664">
        <f>IF($A2664="","",TEXT($A2664,"mmmm/yyyy"))</f>
        <v/>
      </c>
      <c r="R2664">
        <f>IF(ISNUMBER(SEARCH("HDD",$F2664)),"HDD",IF(ISNUMBER(SEARCH("VCA",$F2664)),"VCA","MND"))</f>
        <v/>
      </c>
      <c r="T2664">
        <f>TEXT($A2664,"yyyy-mm")&amp;"|"&amp;$C2664&amp;"|"&amp;$I2664</f>
        <v/>
      </c>
    </row>
    <row r="2665">
      <c r="A2665" s="36" t="n">
        <v>46171</v>
      </c>
      <c r="B2665" t="inlineStr">
        <is>
          <t>Sexta</t>
        </is>
      </c>
      <c r="C2665" t="inlineStr">
        <is>
          <t>CTS Lourdes Complementar Caroline E Silvestre</t>
        </is>
      </c>
      <c r="E2665" t="inlineStr">
        <is>
          <t>Cido</t>
        </is>
      </c>
      <c r="F2665" t="inlineStr">
        <is>
          <t>Reparos Gerais</t>
        </is>
      </c>
      <c r="J2665" t="inlineStr">
        <is>
          <t>Reposi??o</t>
        </is>
      </c>
      <c r="K2665" t="inlineStr">
        <is>
          <t>Planejamento</t>
        </is>
      </c>
      <c r="L2665" t="inlineStr">
        <is>
          <t>PDS_chat_2026-05-29</t>
        </is>
      </c>
      <c r="M2665">
        <f>IF($A2665="","",TEXT($A2665,"mmmm/yyyy"))</f>
        <v/>
      </c>
      <c r="R2665">
        <f>IF(ISNUMBER(SEARCH("HDD",$F2665)),"HDD",IF(ISNUMBER(SEARCH("VCA",$F2665)),"VCA","MND"))</f>
        <v/>
      </c>
      <c r="T2665">
        <f>TEXT($A2665,"yyyy-mm")&amp;"|"&amp;$C2665&amp;"|"&amp;$I2665</f>
        <v/>
      </c>
    </row>
    <row r="2666">
      <c r="A2666" s="36" t="n">
        <v>46171</v>
      </c>
      <c r="B2666" t="inlineStr">
        <is>
          <t>Sexta</t>
        </is>
      </c>
      <c r="C2666" t="inlineStr">
        <is>
          <t>Servi?os Reposi??o</t>
        </is>
      </c>
      <c r="D2666" t="inlineStr">
        <is>
          <t>Leandro</t>
        </is>
      </c>
      <c r="E2666" t="inlineStr">
        <is>
          <t>Vacal</t>
        </is>
      </c>
      <c r="F2666" t="inlineStr">
        <is>
          <t>Joo Canzi Renasce</t>
        </is>
      </c>
      <c r="J2666" t="inlineStr">
        <is>
          <t>Atividade</t>
        </is>
      </c>
      <c r="K2666" t="inlineStr">
        <is>
          <t>Planejamento</t>
        </is>
      </c>
      <c r="L2666" t="inlineStr">
        <is>
          <t>PDS_chat_2026-05-29</t>
        </is>
      </c>
      <c r="M2666">
        <f>IF($A2666="","",TEXT($A2666,"mmmm/yyyy"))</f>
        <v/>
      </c>
      <c r="R2666">
        <f>IF(ISNUMBER(SEARCH("HDD",$F2666)),"HDD",IF(ISNUMBER(SEARCH("VCA",$F2666)),"VCA","MND"))</f>
        <v/>
      </c>
      <c r="T2666">
        <f>TEXT($A2666,"yyyy-mm")&amp;"|"&amp;$C2666&amp;"|"&amp;$I2666</f>
        <v/>
      </c>
    </row>
    <row r="2667">
      <c r="A2667" s="36" t="n">
        <v>46171</v>
      </c>
      <c r="B2667" t="inlineStr">
        <is>
          <t>Sexta</t>
        </is>
      </c>
      <c r="C2667" t="inlineStr">
        <is>
          <t>Servi?os Reposi??o</t>
        </is>
      </c>
      <c r="D2667" t="inlineStr">
        <is>
          <t>Leandro</t>
        </is>
      </c>
      <c r="E2667" t="inlineStr">
        <is>
          <t>Vacal</t>
        </is>
      </c>
      <c r="F2667" t="inlineStr">
        <is>
          <t>Joo Canzi Renasce</t>
        </is>
      </c>
      <c r="J2667" t="inlineStr">
        <is>
          <t>Atividade</t>
        </is>
      </c>
      <c r="K2667" t="inlineStr">
        <is>
          <t>Planejamento</t>
        </is>
      </c>
      <c r="L2667" t="inlineStr">
        <is>
          <t>PDS_chat_2026-05-29</t>
        </is>
      </c>
      <c r="M2667">
        <f>IF($A2667="","",TEXT($A2667,"mmmm/yyyy"))</f>
        <v/>
      </c>
      <c r="R2667">
        <f>IF(ISNUMBER(SEARCH("HDD",$F2667)),"HDD",IF(ISNUMBER(SEARCH("VCA",$F2667)),"VCA","MND"))</f>
        <v/>
      </c>
      <c r="T2667">
        <f>TEXT($A2667,"yyyy-mm")&amp;"|"&amp;$C2667&amp;"|"&amp;$I2667</f>
        <v/>
      </c>
    </row>
    <row r="2668">
      <c r="A2668" s="36" t="n">
        <v>46171</v>
      </c>
      <c r="B2668" t="inlineStr">
        <is>
          <t>Sexta</t>
        </is>
      </c>
      <c r="C2668" t="inlineStr">
        <is>
          <t>Servi?os Reposi??o</t>
        </is>
      </c>
      <c r="D2668" t="inlineStr">
        <is>
          <t>Leandro</t>
        </is>
      </c>
      <c r="E2668" t="inlineStr">
        <is>
          <t>Vacal</t>
        </is>
      </c>
      <c r="F2668" t="inlineStr">
        <is>
          <t>Joo Canzi Henko</t>
        </is>
      </c>
      <c r="J2668" t="inlineStr">
        <is>
          <t>Atividade</t>
        </is>
      </c>
      <c r="K2668" t="inlineStr">
        <is>
          <t>Planejamento</t>
        </is>
      </c>
      <c r="L2668" t="inlineStr">
        <is>
          <t>PDS_chat_2026-05-29</t>
        </is>
      </c>
      <c r="M2668">
        <f>IF($A2668="","",TEXT($A2668,"mmmm/yyyy"))</f>
        <v/>
      </c>
      <c r="R2668">
        <f>IF(ISNUMBER(SEARCH("HDD",$F2668)),"HDD",IF(ISNUMBER(SEARCH("VCA",$F2668)),"VCA","MND"))</f>
        <v/>
      </c>
      <c r="T2668">
        <f>TEXT($A2668,"yyyy-mm")&amp;"|"&amp;$C2668&amp;"|"&amp;$I2668</f>
        <v/>
      </c>
    </row>
    <row r="2669">
      <c r="A2669" s="36" t="n">
        <v>46171</v>
      </c>
      <c r="B2669" t="inlineStr">
        <is>
          <t>Sexta</t>
        </is>
      </c>
      <c r="C2669" t="inlineStr">
        <is>
          <t>Servi?os Reposi??o</t>
        </is>
      </c>
      <c r="D2669" t="inlineStr">
        <is>
          <t>Leandro</t>
        </is>
      </c>
      <c r="E2669" t="inlineStr">
        <is>
          <t>Vacal</t>
        </is>
      </c>
      <c r="F2669" t="inlineStr">
        <is>
          <t>Lourdes - Hidrosol</t>
        </is>
      </c>
      <c r="J2669" t="inlineStr">
        <is>
          <t>Atividade</t>
        </is>
      </c>
      <c r="K2669" t="inlineStr">
        <is>
          <t>Planejamento</t>
        </is>
      </c>
      <c r="L2669" t="inlineStr">
        <is>
          <t>PDS_chat_2026-05-29</t>
        </is>
      </c>
      <c r="M2669">
        <f>IF($A2669="","",TEXT($A2669,"mmmm/yyyy"))</f>
        <v/>
      </c>
      <c r="R2669">
        <f>IF(ISNUMBER(SEARCH("HDD",$F2669)),"HDD",IF(ISNUMBER(SEARCH("VCA",$F2669)),"VCA","MND"))</f>
        <v/>
      </c>
      <c r="T2669">
        <f>TEXT($A2669,"yyyy-mm")&amp;"|"&amp;$C2669&amp;"|"&amp;$I2669</f>
        <v/>
      </c>
    </row>
    <row r="2670">
      <c r="A2670" s="36" t="n">
        <v>46171</v>
      </c>
      <c r="B2670" t="inlineStr">
        <is>
          <t>Sexta</t>
        </is>
      </c>
      <c r="C2670" t="inlineStr">
        <is>
          <t>Servi?os Reposi??o</t>
        </is>
      </c>
      <c r="D2670" t="inlineStr">
        <is>
          <t>Leandro</t>
        </is>
      </c>
      <c r="E2670" t="inlineStr">
        <is>
          <t>Vacal</t>
        </is>
      </c>
      <c r="F2670" t="inlineStr">
        <is>
          <t>Lourdes Henko</t>
        </is>
      </c>
      <c r="J2670" t="inlineStr">
        <is>
          <t>Atividade</t>
        </is>
      </c>
      <c r="K2670" t="inlineStr">
        <is>
          <t>Planejamento</t>
        </is>
      </c>
      <c r="L2670" t="inlineStr">
        <is>
          <t>PDS_chat_2026-05-29</t>
        </is>
      </c>
      <c r="M2670">
        <f>IF($A2670="","",TEXT($A2670,"mmmm/yyyy"))</f>
        <v/>
      </c>
      <c r="R2670">
        <f>IF(ISNUMBER(SEARCH("HDD",$F2670)),"HDD",IF(ISNUMBER(SEARCH("VCA",$F2670)),"VCA","MND"))</f>
        <v/>
      </c>
      <c r="T2670">
        <f>TEXT($A2670,"yyyy-mm")&amp;"|"&amp;$C2670&amp;"|"&amp;$I2670</f>
        <v/>
      </c>
    </row>
    <row r="2671">
      <c r="A2671" s="36" t="n">
        <v>46171</v>
      </c>
      <c r="B2671" t="inlineStr">
        <is>
          <t>Sexta</t>
        </is>
      </c>
      <c r="C2671" t="inlineStr">
        <is>
          <t>Servi?os Reposi??o</t>
        </is>
      </c>
      <c r="D2671" t="inlineStr">
        <is>
          <t>Leandro</t>
        </is>
      </c>
      <c r="E2671" t="inlineStr">
        <is>
          <t>Vacal</t>
        </is>
      </c>
      <c r="F2671" t="inlineStr">
        <is>
          <t>ITI 15 Henko</t>
        </is>
      </c>
      <c r="J2671" t="inlineStr">
        <is>
          <t>Atividade</t>
        </is>
      </c>
      <c r="K2671" t="inlineStr">
        <is>
          <t>Planejamento</t>
        </is>
      </c>
      <c r="L2671" t="inlineStr">
        <is>
          <t>PDS_chat_2026-05-29</t>
        </is>
      </c>
      <c r="M2671">
        <f>IF($A2671="","",TEXT($A2671,"mmmm/yyyy"))</f>
        <v/>
      </c>
      <c r="R2671">
        <f>IF(ISNUMBER(SEARCH("HDD",$F2671)),"HDD",IF(ISNUMBER(SEARCH("VCA",$F2671)),"VCA","MND"))</f>
        <v/>
      </c>
      <c r="T2671">
        <f>TEXT($A2671,"yyyy-mm")&amp;"|"&amp;$C2671&amp;"|"&amp;$I2671</f>
        <v/>
      </c>
    </row>
    <row r="2672">
      <c r="A2672" s="36" t="n">
        <v>46171</v>
      </c>
      <c r="B2672" t="inlineStr">
        <is>
          <t>Sexta</t>
        </is>
      </c>
      <c r="C2672" t="inlineStr">
        <is>
          <t>Servi?os Reposi??o</t>
        </is>
      </c>
      <c r="D2672" t="inlineStr">
        <is>
          <t>Leandro</t>
        </is>
      </c>
      <c r="E2672" t="inlineStr">
        <is>
          <t>Guindauto: Marcio</t>
        </is>
      </c>
      <c r="F2672" t="inlineStr">
        <is>
          <t>Marcio - Apoio as equipes</t>
        </is>
      </c>
      <c r="J2672" t="inlineStr">
        <is>
          <t>Atividade</t>
        </is>
      </c>
      <c r="K2672" t="inlineStr">
        <is>
          <t>Planejamento</t>
        </is>
      </c>
      <c r="L2672" t="inlineStr">
        <is>
          <t>PDS_chat_2026-05-29</t>
        </is>
      </c>
      <c r="M2672">
        <f>IF($A2672="","",TEXT($A2672,"mmmm/yyyy"))</f>
        <v/>
      </c>
      <c r="R2672">
        <f>IF(ISNUMBER(SEARCH("HDD",$F2672)),"HDD",IF(ISNUMBER(SEARCH("VCA",$F2672)),"VCA","MND"))</f>
        <v/>
      </c>
      <c r="T2672">
        <f>TEXT($A2672,"yyyy-mm")&amp;"|"&amp;$C2672&amp;"|"&amp;$I2672</f>
        <v/>
      </c>
    </row>
    <row r="2673">
      <c r="A2673" s="36" t="n">
        <v>46171</v>
      </c>
      <c r="B2673" t="inlineStr">
        <is>
          <t>Sexta</t>
        </is>
      </c>
      <c r="C2673" t="inlineStr">
        <is>
          <t>Servi?os Reposi??o</t>
        </is>
      </c>
      <c r="D2673" t="inlineStr">
        <is>
          <t>Leandro</t>
        </is>
      </c>
      <c r="E2673" t="inlineStr">
        <is>
          <t>Guindauto: Luiz Carlos</t>
        </is>
      </c>
      <c r="F2673" t="inlineStr">
        <is>
          <t>Luiz Carlos - Apoio as equipes</t>
        </is>
      </c>
      <c r="J2673" t="inlineStr">
        <is>
          <t>Atividade</t>
        </is>
      </c>
      <c r="K2673" t="inlineStr">
        <is>
          <t>Planejamento</t>
        </is>
      </c>
      <c r="L2673" t="inlineStr">
        <is>
          <t>PDS_chat_2026-05-29</t>
        </is>
      </c>
      <c r="M2673">
        <f>IF($A2673="","",TEXT($A2673,"mmmm/yyyy"))</f>
        <v/>
      </c>
      <c r="R2673">
        <f>IF(ISNUMBER(SEARCH("HDD",$F2673)),"HDD",IF(ISNUMBER(SEARCH("VCA",$F2673)),"VCA","MND"))</f>
        <v/>
      </c>
      <c r="T2673">
        <f>TEXT($A2673,"yyyy-mm")&amp;"|"&amp;$C2673&amp;"|"&amp;$I2673</f>
        <v/>
      </c>
    </row>
    <row r="2674">
      <c r="A2674" s="36" t="n">
        <v>46172</v>
      </c>
      <c r="B2674" t="inlineStr">
        <is>
          <t>Sábado</t>
        </is>
      </c>
      <c r="C2674" t="inlineStr">
        <is>
          <t>CT João Canzi</t>
        </is>
      </c>
      <c r="D2674" t="inlineStr">
        <is>
          <t>Valmir</t>
        </is>
      </c>
      <c r="E2674" t="inlineStr">
        <is>
          <t>Goiânia Drill</t>
        </is>
      </c>
      <c r="F2674" t="inlineStr">
        <is>
          <t>Furo piloto e puxe do PV-10 ao PV-11</t>
        </is>
      </c>
      <c r="G2674" t="inlineStr">
        <is>
          <t>10</t>
        </is>
      </c>
      <c r="H2674" t="inlineStr">
        <is>
          <t>11</t>
        </is>
      </c>
      <c r="I2674" t="inlineStr">
        <is>
          <t>10 ao 11</t>
        </is>
      </c>
      <c r="J2674" t="inlineStr">
        <is>
          <t>HDD</t>
        </is>
      </c>
      <c r="K2674" t="inlineStr">
        <is>
          <t>Planejamento</t>
        </is>
      </c>
      <c r="L2674" t="inlineStr">
        <is>
          <t>PDS_chat_2026-05-30_2026-06-01</t>
        </is>
      </c>
      <c r="M2674">
        <f>IF($A2674="","",TEXT($A2674,"mmmm/yyyy"))</f>
        <v/>
      </c>
      <c r="P2674">
        <f>IFERROR(XLOOKUP($N2674,Base_Enderecos!$A:$A,Base_Enderecos!$B:$B,""),"")</f>
        <v/>
      </c>
      <c r="Q2674">
        <f>IFERROR(XLOOKUP($N2674,Base_Enderecos!$A:$A,Base_Enderecos!$C:$C,""),"")</f>
        <v/>
      </c>
      <c r="R2674">
        <f>IF(OR(ISNUMBER(SEARCH("HDD",$F2674)),ISNUMBER(SEARCH("MND",$F2674)),ISNUMBER(SEARCH("PEAD",$F2674)),ISNUMBER(SEARCH("Puxe",$J2674)),ISNUMBER(SEARCH("Apoio HDD",$F2674))),"MND",IF(OR(ISNUMBER(SEARCH("VCA",$F2674)),ISNUMBER(SEARCH("PVC",$F2674)),ISNUMBER(SEARCH("vca",$J2674)),ISNUMBER(SEARCH("Transformação",$J2674))),"VCA",IF(OR(ISNUMBER(SEARCH("crava",$F2674)),ISNUMBER(SEARCH("tubo cravado",$F2674)),ISNUMBER(SEARCH("shaft",$J2674)),ISNUMBER(SEARCH("concreto",$F2674))),"TUBO CRAVADO","")))</f>
        <v/>
      </c>
      <c r="T2674">
        <f>TEXT($A2674,"yyyy-mm")&amp;"|"&amp;$C2674&amp;"|"&amp;$I2674</f>
        <v/>
      </c>
    </row>
    <row r="2675">
      <c r="A2675" s="36" t="n">
        <v>46172</v>
      </c>
      <c r="B2675" t="inlineStr">
        <is>
          <t>Sábado</t>
        </is>
      </c>
      <c r="C2675" t="inlineStr">
        <is>
          <t>CT João Canzi</t>
        </is>
      </c>
      <c r="D2675" t="inlineStr">
        <is>
          <t>Valmir</t>
        </is>
      </c>
      <c r="E2675" t="inlineStr">
        <is>
          <t>Bruno</t>
        </is>
      </c>
      <c r="F2675" t="inlineStr">
        <is>
          <t>Apoio ao HDD</t>
        </is>
      </c>
      <c r="J2675" t="inlineStr">
        <is>
          <t>HDD</t>
        </is>
      </c>
      <c r="K2675" t="inlineStr">
        <is>
          <t>Planejamento</t>
        </is>
      </c>
      <c r="L2675" t="inlineStr">
        <is>
          <t>PDS_chat_2026-05-30_2026-06-01</t>
        </is>
      </c>
      <c r="M2675">
        <f>IF($A2675="","",TEXT($A2675,"mmmm/yyyy"))</f>
        <v/>
      </c>
      <c r="P2675">
        <f>IFERROR(XLOOKUP($N2675,Base_Enderecos!$A:$A,Base_Enderecos!$B:$B,""),"")</f>
        <v/>
      </c>
      <c r="Q2675">
        <f>IFERROR(XLOOKUP($N2675,Base_Enderecos!$A:$A,Base_Enderecos!$C:$C,""),"")</f>
        <v/>
      </c>
      <c r="R2675">
        <f>IF(OR(ISNUMBER(SEARCH("HDD",$F2675)),ISNUMBER(SEARCH("MND",$F2675)),ISNUMBER(SEARCH("PEAD",$F2675)),ISNUMBER(SEARCH("Puxe",$J2675)),ISNUMBER(SEARCH("Apoio HDD",$F2675))),"MND",IF(OR(ISNUMBER(SEARCH("VCA",$F2675)),ISNUMBER(SEARCH("PVC",$F2675)),ISNUMBER(SEARCH("vca",$J2675)),ISNUMBER(SEARCH("Transformação",$J2675))),"VCA",IF(OR(ISNUMBER(SEARCH("crava",$F2675)),ISNUMBER(SEARCH("tubo cravado",$F2675)),ISNUMBER(SEARCH("shaft",$J2675)),ISNUMBER(SEARCH("concreto",$F2675))),"TUBO CRAVADO","")))</f>
        <v/>
      </c>
      <c r="T2675">
        <f>TEXT($A2675,"yyyy-mm")&amp;"|"&amp;$C2675&amp;"|"&amp;$I2675</f>
        <v/>
      </c>
    </row>
    <row r="2676">
      <c r="A2676" s="36" t="n">
        <v>46172</v>
      </c>
      <c r="B2676" t="inlineStr">
        <is>
          <t>Sábado</t>
        </is>
      </c>
      <c r="C2676" t="inlineStr">
        <is>
          <t>CT João Canzi</t>
        </is>
      </c>
      <c r="D2676" t="inlineStr">
        <is>
          <t>Valmir</t>
        </is>
      </c>
      <c r="E2676" t="inlineStr">
        <is>
          <t>Marcelo</t>
        </is>
      </c>
      <c r="F2676" t="inlineStr">
        <is>
          <t>Transformação PV 09</t>
        </is>
      </c>
      <c r="G2676" t="inlineStr">
        <is>
          <t>09</t>
        </is>
      </c>
      <c r="I2676" t="inlineStr">
        <is>
          <t>09</t>
        </is>
      </c>
      <c r="J2676" t="inlineStr">
        <is>
          <t>Transformação</t>
        </is>
      </c>
      <c r="K2676" t="inlineStr">
        <is>
          <t>Planejamento</t>
        </is>
      </c>
      <c r="L2676" t="inlineStr">
        <is>
          <t>PDS_chat_2026-05-30_2026-06-01</t>
        </is>
      </c>
      <c r="M2676">
        <f>IF($A2676="","",TEXT($A2676,"mmmm/yyyy"))</f>
        <v/>
      </c>
      <c r="P2676">
        <f>IFERROR(XLOOKUP($N2676,Base_Enderecos!$A:$A,Base_Enderecos!$B:$B,""),"")</f>
        <v/>
      </c>
      <c r="Q2676">
        <f>IFERROR(XLOOKUP($N2676,Base_Enderecos!$A:$A,Base_Enderecos!$C:$C,""),"")</f>
        <v/>
      </c>
      <c r="R2676">
        <f>IF(OR(ISNUMBER(SEARCH("HDD",$F2676)),ISNUMBER(SEARCH("MND",$F2676)),ISNUMBER(SEARCH("PEAD",$F2676)),ISNUMBER(SEARCH("Puxe",$J2676)),ISNUMBER(SEARCH("Apoio HDD",$F2676))),"MND",IF(OR(ISNUMBER(SEARCH("VCA",$F2676)),ISNUMBER(SEARCH("PVC",$F2676)),ISNUMBER(SEARCH("vca",$J2676)),ISNUMBER(SEARCH("Transformação",$J2676))),"VCA",IF(OR(ISNUMBER(SEARCH("crava",$F2676)),ISNUMBER(SEARCH("tubo cravado",$F2676)),ISNUMBER(SEARCH("shaft",$J2676)),ISNUMBER(SEARCH("concreto",$F2676))),"TUBO CRAVADO","")))</f>
        <v/>
      </c>
      <c r="T2676">
        <f>TEXT($A2676,"yyyy-mm")&amp;"|"&amp;$C2676&amp;"|"&amp;$I2676</f>
        <v/>
      </c>
    </row>
    <row r="2677">
      <c r="A2677" s="36" t="n">
        <v>46172</v>
      </c>
      <c r="B2677" t="inlineStr">
        <is>
          <t>Sábado</t>
        </is>
      </c>
      <c r="C2677" t="inlineStr">
        <is>
          <t>CT João Canzi</t>
        </is>
      </c>
      <c r="D2677" t="inlineStr">
        <is>
          <t>Valmir</t>
        </is>
      </c>
      <c r="E2677" t="inlineStr">
        <is>
          <t>Valter</t>
        </is>
      </c>
      <c r="F2677" t="inlineStr">
        <is>
          <t>Shaft PV 11</t>
        </is>
      </c>
      <c r="G2677" t="inlineStr">
        <is>
          <t>11</t>
        </is>
      </c>
      <c r="I2677" t="inlineStr">
        <is>
          <t>11</t>
        </is>
      </c>
      <c r="J2677" t="inlineStr">
        <is>
          <t>Shaft</t>
        </is>
      </c>
      <c r="K2677" t="inlineStr">
        <is>
          <t>Planejamento</t>
        </is>
      </c>
      <c r="L2677" t="inlineStr">
        <is>
          <t>PDS_chat_2026-05-30_2026-06-01</t>
        </is>
      </c>
      <c r="M2677">
        <f>IF($A2677="","",TEXT($A2677,"mmmm/yyyy"))</f>
        <v/>
      </c>
      <c r="P2677">
        <f>IFERROR(XLOOKUP($N2677,Base_Enderecos!$A:$A,Base_Enderecos!$B:$B,""),"")</f>
        <v/>
      </c>
      <c r="Q2677">
        <f>IFERROR(XLOOKUP($N2677,Base_Enderecos!$A:$A,Base_Enderecos!$C:$C,""),"")</f>
        <v/>
      </c>
      <c r="R2677">
        <f>IF(OR(ISNUMBER(SEARCH("HDD",$F2677)),ISNUMBER(SEARCH("MND",$F2677)),ISNUMBER(SEARCH("PEAD",$F2677)),ISNUMBER(SEARCH("Puxe",$J2677)),ISNUMBER(SEARCH("Apoio HDD",$F2677))),"MND",IF(OR(ISNUMBER(SEARCH("VCA",$F2677)),ISNUMBER(SEARCH("PVC",$F2677)),ISNUMBER(SEARCH("vca",$J2677)),ISNUMBER(SEARCH("Transformação",$J2677))),"VCA",IF(OR(ISNUMBER(SEARCH("crava",$F2677)),ISNUMBER(SEARCH("tubo cravado",$F2677)),ISNUMBER(SEARCH("shaft",$J2677)),ISNUMBER(SEARCH("concreto",$F2677))),"TUBO CRAVADO","")))</f>
        <v/>
      </c>
      <c r="T2677">
        <f>TEXT($A2677,"yyyy-mm")&amp;"|"&amp;$C2677&amp;"|"&amp;$I2677</f>
        <v/>
      </c>
    </row>
    <row r="2678">
      <c r="A2678" s="36" t="n">
        <v>46172</v>
      </c>
      <c r="B2678" t="inlineStr">
        <is>
          <t>Sábado</t>
        </is>
      </c>
      <c r="C2678" t="inlineStr">
        <is>
          <t>CT João Canzi</t>
        </is>
      </c>
      <c r="D2678" t="inlineStr">
        <is>
          <t>Valmir</t>
        </is>
      </c>
      <c r="E2678" t="inlineStr">
        <is>
          <t>Cidão</t>
        </is>
      </c>
      <c r="F2678" t="inlineStr">
        <is>
          <t>Transformação PV 15</t>
        </is>
      </c>
      <c r="G2678" t="inlineStr">
        <is>
          <t>15</t>
        </is>
      </c>
      <c r="I2678" t="inlineStr">
        <is>
          <t>15</t>
        </is>
      </c>
      <c r="J2678" t="inlineStr">
        <is>
          <t>Transformação</t>
        </is>
      </c>
      <c r="K2678" t="inlineStr">
        <is>
          <t>Planejamento</t>
        </is>
      </c>
      <c r="L2678" t="inlineStr">
        <is>
          <t>PDS_chat_2026-05-30_2026-06-01</t>
        </is>
      </c>
      <c r="M2678">
        <f>IF($A2678="","",TEXT($A2678,"mmmm/yyyy"))</f>
        <v/>
      </c>
      <c r="P2678">
        <f>IFERROR(XLOOKUP($N2678,Base_Enderecos!$A:$A,Base_Enderecos!$B:$B,""),"")</f>
        <v/>
      </c>
      <c r="Q2678">
        <f>IFERROR(XLOOKUP($N2678,Base_Enderecos!$A:$A,Base_Enderecos!$C:$C,""),"")</f>
        <v/>
      </c>
      <c r="R2678">
        <f>IF(OR(ISNUMBER(SEARCH("HDD",$F2678)),ISNUMBER(SEARCH("MND",$F2678)),ISNUMBER(SEARCH("PEAD",$F2678)),ISNUMBER(SEARCH("Puxe",$J2678)),ISNUMBER(SEARCH("Apoio HDD",$F2678))),"MND",IF(OR(ISNUMBER(SEARCH("VCA",$F2678)),ISNUMBER(SEARCH("PVC",$F2678)),ISNUMBER(SEARCH("vca",$J2678)),ISNUMBER(SEARCH("Transformação",$J2678))),"VCA",IF(OR(ISNUMBER(SEARCH("crava",$F2678)),ISNUMBER(SEARCH("tubo cravado",$F2678)),ISNUMBER(SEARCH("shaft",$J2678)),ISNUMBER(SEARCH("concreto",$F2678))),"TUBO CRAVADO","")))</f>
        <v/>
      </c>
      <c r="T2678">
        <f>TEXT($A2678,"yyyy-mm")&amp;"|"&amp;$C2678&amp;"|"&amp;$I2678</f>
        <v/>
      </c>
    </row>
    <row r="2679">
      <c r="A2679" s="36" t="n">
        <v>46172</v>
      </c>
      <c r="B2679" t="inlineStr">
        <is>
          <t>Sábado</t>
        </is>
      </c>
      <c r="C2679" t="inlineStr">
        <is>
          <t>RCE Conj. União</t>
        </is>
      </c>
      <c r="D2679" t="inlineStr">
        <is>
          <t>Caroline e Silvestre</t>
        </is>
      </c>
      <c r="E2679" t="inlineStr">
        <is>
          <t>Jonathan</t>
        </is>
      </c>
      <c r="F2679" t="inlineStr">
        <is>
          <t>Shaft PV 40.1</t>
        </is>
      </c>
      <c r="G2679" t="inlineStr">
        <is>
          <t>40.1</t>
        </is>
      </c>
      <c r="I2679" t="inlineStr">
        <is>
          <t>40.1</t>
        </is>
      </c>
      <c r="J2679" t="inlineStr">
        <is>
          <t>Shaft</t>
        </is>
      </c>
      <c r="K2679" t="inlineStr">
        <is>
          <t>Planejamento</t>
        </is>
      </c>
      <c r="L2679" t="inlineStr">
        <is>
          <t>PDS_chat_2026-05-30_2026-06-01</t>
        </is>
      </c>
      <c r="M2679">
        <f>IF($A2679="","",TEXT($A2679,"mmmm/yyyy"))</f>
        <v/>
      </c>
      <c r="P2679">
        <f>IFERROR(XLOOKUP($N2679,Base_Enderecos!$A:$A,Base_Enderecos!$B:$B,""),"")</f>
        <v/>
      </c>
      <c r="Q2679">
        <f>IFERROR(XLOOKUP($N2679,Base_Enderecos!$A:$A,Base_Enderecos!$C:$C,""),"")</f>
        <v/>
      </c>
      <c r="R2679">
        <f>IF(OR(ISNUMBER(SEARCH("HDD",$F2679)),ISNUMBER(SEARCH("MND",$F2679)),ISNUMBER(SEARCH("PEAD",$F2679)),ISNUMBER(SEARCH("Puxe",$J2679)),ISNUMBER(SEARCH("Apoio HDD",$F2679))),"MND",IF(OR(ISNUMBER(SEARCH("VCA",$F2679)),ISNUMBER(SEARCH("PVC",$F2679)),ISNUMBER(SEARCH("vca",$J2679)),ISNUMBER(SEARCH("Transformação",$J2679))),"VCA",IF(OR(ISNUMBER(SEARCH("crava",$F2679)),ISNUMBER(SEARCH("tubo cravado",$F2679)),ISNUMBER(SEARCH("shaft",$J2679)),ISNUMBER(SEARCH("concreto",$F2679))),"TUBO CRAVADO","")))</f>
        <v/>
      </c>
      <c r="T2679">
        <f>TEXT($A2679,"yyyy-mm")&amp;"|"&amp;$C2679&amp;"|"&amp;$I2679</f>
        <v/>
      </c>
    </row>
    <row r="2680">
      <c r="A2680" s="36" t="n">
        <v>46172</v>
      </c>
      <c r="B2680" t="inlineStr">
        <is>
          <t>Sábado</t>
        </is>
      </c>
      <c r="C2680" t="inlineStr">
        <is>
          <t>RCE São Lucas</t>
        </is>
      </c>
      <c r="D2680" t="inlineStr">
        <is>
          <t>Fábio</t>
        </is>
      </c>
      <c r="E2680" t="inlineStr">
        <is>
          <t>Ricardo</t>
        </is>
      </c>
      <c r="F2680" t="inlineStr">
        <is>
          <t>VCA, PVs e Ligações (PI 05 ao PI 06)</t>
        </is>
      </c>
      <c r="G2680" t="inlineStr">
        <is>
          <t>05</t>
        </is>
      </c>
      <c r="H2680" t="inlineStr">
        <is>
          <t>06</t>
        </is>
      </c>
      <c r="I2680" t="inlineStr">
        <is>
          <t>05 ao 06</t>
        </is>
      </c>
      <c r="J2680" t="inlineStr">
        <is>
          <t>VCA</t>
        </is>
      </c>
      <c r="K2680" t="inlineStr">
        <is>
          <t>Planejamento</t>
        </is>
      </c>
      <c r="L2680" t="inlineStr">
        <is>
          <t>PDS_chat_2026-05-30_2026-06-01</t>
        </is>
      </c>
      <c r="M2680">
        <f>IF($A2680="","",TEXT($A2680,"mmmm/yyyy"))</f>
        <v/>
      </c>
      <c r="P2680">
        <f>IFERROR(XLOOKUP($N2680,Base_Enderecos!$A:$A,Base_Enderecos!$B:$B,""),"")</f>
        <v/>
      </c>
      <c r="Q2680">
        <f>IFERROR(XLOOKUP($N2680,Base_Enderecos!$A:$A,Base_Enderecos!$C:$C,""),"")</f>
        <v/>
      </c>
      <c r="R2680">
        <f>IF(OR(ISNUMBER(SEARCH("HDD",$F2680)),ISNUMBER(SEARCH("MND",$F2680)),ISNUMBER(SEARCH("PEAD",$F2680)),ISNUMBER(SEARCH("Puxe",$J2680)),ISNUMBER(SEARCH("Apoio HDD",$F2680))),"MND",IF(OR(ISNUMBER(SEARCH("VCA",$F2680)),ISNUMBER(SEARCH("PVC",$F2680)),ISNUMBER(SEARCH("vca",$J2680)),ISNUMBER(SEARCH("Transformação",$J2680))),"VCA",IF(OR(ISNUMBER(SEARCH("crava",$F2680)),ISNUMBER(SEARCH("tubo cravado",$F2680)),ISNUMBER(SEARCH("shaft",$J2680)),ISNUMBER(SEARCH("concreto",$F2680))),"TUBO CRAVADO","")))</f>
        <v/>
      </c>
      <c r="T2680">
        <f>TEXT($A2680,"yyyy-mm")&amp;"|"&amp;$C2680&amp;"|"&amp;$I2680</f>
        <v/>
      </c>
    </row>
    <row r="2681">
      <c r="A2681" s="36" t="n">
        <v>46172</v>
      </c>
      <c r="B2681" t="inlineStr">
        <is>
          <t>Sábado</t>
        </is>
      </c>
      <c r="C2681" t="inlineStr">
        <is>
          <t>RCE São Lucas</t>
        </is>
      </c>
      <c r="D2681" t="inlineStr">
        <is>
          <t>Fábio</t>
        </is>
      </c>
      <c r="E2681" t="inlineStr">
        <is>
          <t>Claudinei</t>
        </is>
      </c>
      <c r="F2681" t="inlineStr">
        <is>
          <t>VCA, PVs e Ligações (PV 65)</t>
        </is>
      </c>
      <c r="G2681" t="inlineStr">
        <is>
          <t>65</t>
        </is>
      </c>
      <c r="I2681" t="inlineStr">
        <is>
          <t>65</t>
        </is>
      </c>
      <c r="J2681" t="inlineStr">
        <is>
          <t>VCA</t>
        </is>
      </c>
      <c r="K2681" t="inlineStr">
        <is>
          <t>Planejamento</t>
        </is>
      </c>
      <c r="L2681" t="inlineStr">
        <is>
          <t>PDS_chat_2026-05-30_2026-06-01</t>
        </is>
      </c>
      <c r="M2681">
        <f>IF($A2681="","",TEXT($A2681,"mmmm/yyyy"))</f>
        <v/>
      </c>
      <c r="P2681">
        <f>IFERROR(XLOOKUP($N2681,Base_Enderecos!$A:$A,Base_Enderecos!$B:$B,""),"")</f>
        <v/>
      </c>
      <c r="Q2681">
        <f>IFERROR(XLOOKUP($N2681,Base_Enderecos!$A:$A,Base_Enderecos!$C:$C,""),"")</f>
        <v/>
      </c>
      <c r="R2681">
        <f>IF(OR(ISNUMBER(SEARCH("HDD",$F2681)),ISNUMBER(SEARCH("MND",$F2681)),ISNUMBER(SEARCH("PEAD",$F2681)),ISNUMBER(SEARCH("Puxe",$J2681)),ISNUMBER(SEARCH("Apoio HDD",$F2681))),"MND",IF(OR(ISNUMBER(SEARCH("VCA",$F2681)),ISNUMBER(SEARCH("PVC",$F2681)),ISNUMBER(SEARCH("vca",$J2681)),ISNUMBER(SEARCH("Transformação",$J2681))),"VCA",IF(OR(ISNUMBER(SEARCH("crava",$F2681)),ISNUMBER(SEARCH("tubo cravado",$F2681)),ISNUMBER(SEARCH("shaft",$J2681)),ISNUMBER(SEARCH("concreto",$F2681))),"TUBO CRAVADO","")))</f>
        <v/>
      </c>
      <c r="T2681">
        <f>TEXT($A2681,"yyyy-mm")&amp;"|"&amp;$C2681&amp;"|"&amp;$I2681</f>
        <v/>
      </c>
    </row>
    <row r="2682">
      <c r="A2682" s="36" t="n">
        <v>46172</v>
      </c>
      <c r="B2682" t="inlineStr">
        <is>
          <t>Sábado</t>
        </is>
      </c>
      <c r="C2682" t="inlineStr">
        <is>
          <t>RCE Rua São João</t>
        </is>
      </c>
      <c r="D2682" t="inlineStr">
        <is>
          <t>Fábio</t>
        </is>
      </c>
      <c r="E2682" t="inlineStr">
        <is>
          <t>Antonio</t>
        </is>
      </c>
      <c r="F2682" t="inlineStr">
        <is>
          <t>VCA, PVs e Ligações (PV 02 ao PI 04)</t>
        </is>
      </c>
      <c r="G2682" t="inlineStr">
        <is>
          <t>02</t>
        </is>
      </c>
      <c r="H2682" t="inlineStr">
        <is>
          <t>04</t>
        </is>
      </c>
      <c r="I2682" t="inlineStr">
        <is>
          <t>02 ao 04</t>
        </is>
      </c>
      <c r="J2682" t="inlineStr">
        <is>
          <t>VCA</t>
        </is>
      </c>
      <c r="K2682" t="inlineStr">
        <is>
          <t>Planejamento</t>
        </is>
      </c>
      <c r="L2682" t="inlineStr">
        <is>
          <t>PDS_chat_2026-05-30_2026-06-01</t>
        </is>
      </c>
      <c r="M2682">
        <f>IF($A2682="","",TEXT($A2682,"mmmm/yyyy"))</f>
        <v/>
      </c>
      <c r="P2682">
        <f>IFERROR(XLOOKUP($N2682,Base_Enderecos!$A:$A,Base_Enderecos!$B:$B,""),"")</f>
        <v/>
      </c>
      <c r="Q2682">
        <f>IFERROR(XLOOKUP($N2682,Base_Enderecos!$A:$A,Base_Enderecos!$C:$C,""),"")</f>
        <v/>
      </c>
      <c r="R2682">
        <f>IF(OR(ISNUMBER(SEARCH("HDD",$F2682)),ISNUMBER(SEARCH("MND",$F2682)),ISNUMBER(SEARCH("PEAD",$F2682)),ISNUMBER(SEARCH("Puxe",$J2682)),ISNUMBER(SEARCH("Apoio HDD",$F2682))),"MND",IF(OR(ISNUMBER(SEARCH("VCA",$F2682)),ISNUMBER(SEARCH("PVC",$F2682)),ISNUMBER(SEARCH("vca",$J2682)),ISNUMBER(SEARCH("Transformação",$J2682))),"VCA",IF(OR(ISNUMBER(SEARCH("crava",$F2682)),ISNUMBER(SEARCH("tubo cravado",$F2682)),ISNUMBER(SEARCH("shaft",$J2682)),ISNUMBER(SEARCH("concreto",$F2682))),"TUBO CRAVADO","")))</f>
        <v/>
      </c>
      <c r="T2682">
        <f>TEXT($A2682,"yyyy-mm")&amp;"|"&amp;$C2682&amp;"|"&amp;$I2682</f>
        <v/>
      </c>
    </row>
    <row r="2683">
      <c r="A2683" s="36" t="n">
        <v>46172</v>
      </c>
      <c r="B2683" t="inlineStr">
        <is>
          <t>Sábado</t>
        </is>
      </c>
      <c r="C2683" t="inlineStr">
        <is>
          <t>CTS Lourdes Complementar</t>
        </is>
      </c>
      <c r="D2683" t="inlineStr">
        <is>
          <t>Caroline e Silvestre</t>
        </is>
      </c>
      <c r="E2683" t="inlineStr">
        <is>
          <t>Cesar</t>
        </is>
      </c>
      <c r="F2683" t="inlineStr">
        <is>
          <t>Corte cabeça puxe PV 03</t>
        </is>
      </c>
      <c r="G2683" t="inlineStr">
        <is>
          <t>03</t>
        </is>
      </c>
      <c r="I2683" t="inlineStr">
        <is>
          <t>03</t>
        </is>
      </c>
      <c r="J2683" t="inlineStr">
        <is>
          <t>HDD</t>
        </is>
      </c>
      <c r="K2683" t="inlineStr">
        <is>
          <t>Planejamento</t>
        </is>
      </c>
      <c r="L2683" t="inlineStr">
        <is>
          <t>PDS_chat_2026-05-30_2026-06-01</t>
        </is>
      </c>
      <c r="M2683">
        <f>IF($A2683="","",TEXT($A2683,"mmmm/yyyy"))</f>
        <v/>
      </c>
      <c r="P2683">
        <f>IFERROR(XLOOKUP($N2683,Base_Enderecos!$A:$A,Base_Enderecos!$B:$B,""),"")</f>
        <v/>
      </c>
      <c r="Q2683">
        <f>IFERROR(XLOOKUP($N2683,Base_Enderecos!$A:$A,Base_Enderecos!$C:$C,""),"")</f>
        <v/>
      </c>
      <c r="R2683">
        <f>IF(OR(ISNUMBER(SEARCH("HDD",$F2683)),ISNUMBER(SEARCH("MND",$F2683)),ISNUMBER(SEARCH("PEAD",$F2683)),ISNUMBER(SEARCH("Puxe",$J2683)),ISNUMBER(SEARCH("Apoio HDD",$F2683))),"MND",IF(OR(ISNUMBER(SEARCH("VCA",$F2683)),ISNUMBER(SEARCH("PVC",$F2683)),ISNUMBER(SEARCH("vca",$J2683)),ISNUMBER(SEARCH("Transformação",$J2683))),"VCA",IF(OR(ISNUMBER(SEARCH("crava",$F2683)),ISNUMBER(SEARCH("tubo cravado",$F2683)),ISNUMBER(SEARCH("shaft",$J2683)),ISNUMBER(SEARCH("concreto",$F2683))),"TUBO CRAVADO","")))</f>
        <v/>
      </c>
      <c r="T2683">
        <f>TEXT($A2683,"yyyy-mm")&amp;"|"&amp;$C2683&amp;"|"&amp;$I2683</f>
        <v/>
      </c>
    </row>
    <row r="2684">
      <c r="A2684" s="36" t="n">
        <v>46172</v>
      </c>
      <c r="B2684" t="inlineStr">
        <is>
          <t>Sábado</t>
        </is>
      </c>
      <c r="C2684" t="inlineStr">
        <is>
          <t>CTS Lourdes Complementar</t>
        </is>
      </c>
      <c r="D2684" t="inlineStr">
        <is>
          <t>Caroline e Silvestre</t>
        </is>
      </c>
      <c r="E2684" t="inlineStr">
        <is>
          <t>Edvando</t>
        </is>
      </c>
      <c r="F2684" t="inlineStr">
        <is>
          <t>Transformação PV 02</t>
        </is>
      </c>
      <c r="G2684" t="inlineStr">
        <is>
          <t>02</t>
        </is>
      </c>
      <c r="I2684" t="inlineStr">
        <is>
          <t>02</t>
        </is>
      </c>
      <c r="J2684" t="inlineStr">
        <is>
          <t>Transformação</t>
        </is>
      </c>
      <c r="K2684" t="inlineStr">
        <is>
          <t>Planejamento</t>
        </is>
      </c>
      <c r="L2684" t="inlineStr">
        <is>
          <t>PDS_chat_2026-05-30_2026-06-01</t>
        </is>
      </c>
      <c r="M2684">
        <f>IF($A2684="","",TEXT($A2684,"mmmm/yyyy"))</f>
        <v/>
      </c>
      <c r="P2684">
        <f>IFERROR(XLOOKUP($N2684,Base_Enderecos!$A:$A,Base_Enderecos!$B:$B,""),"")</f>
        <v/>
      </c>
      <c r="Q2684">
        <f>IFERROR(XLOOKUP($N2684,Base_Enderecos!$A:$A,Base_Enderecos!$C:$C,""),"")</f>
        <v/>
      </c>
      <c r="R2684">
        <f>IF(OR(ISNUMBER(SEARCH("HDD",$F2684)),ISNUMBER(SEARCH("MND",$F2684)),ISNUMBER(SEARCH("PEAD",$F2684)),ISNUMBER(SEARCH("Puxe",$J2684)),ISNUMBER(SEARCH("Apoio HDD",$F2684))),"MND",IF(OR(ISNUMBER(SEARCH("VCA",$F2684)),ISNUMBER(SEARCH("PVC",$F2684)),ISNUMBER(SEARCH("vca",$J2684)),ISNUMBER(SEARCH("Transformação",$J2684))),"VCA",IF(OR(ISNUMBER(SEARCH("crava",$F2684)),ISNUMBER(SEARCH("tubo cravado",$F2684)),ISNUMBER(SEARCH("shaft",$J2684)),ISNUMBER(SEARCH("concreto",$F2684))),"TUBO CRAVADO","")))</f>
        <v/>
      </c>
      <c r="T2684">
        <f>TEXT($A2684,"yyyy-mm")&amp;"|"&amp;$C2684&amp;"|"&amp;$I2684</f>
        <v/>
      </c>
    </row>
    <row r="2685">
      <c r="A2685" s="36" t="n">
        <v>46172</v>
      </c>
      <c r="B2685" t="inlineStr">
        <is>
          <t>Sábado</t>
        </is>
      </c>
      <c r="C2685" t="inlineStr">
        <is>
          <t>Vacal</t>
        </is>
      </c>
      <c r="E2685" t="inlineStr">
        <is>
          <t>João Canzi - Henko</t>
        </is>
      </c>
      <c r="F2685" t="inlineStr">
        <is>
          <t>Apoio Vacal</t>
        </is>
      </c>
      <c r="J2685" t="inlineStr">
        <is>
          <t>Vacal</t>
        </is>
      </c>
      <c r="K2685" t="inlineStr">
        <is>
          <t>Apoio</t>
        </is>
      </c>
      <c r="L2685" t="inlineStr">
        <is>
          <t>PDS_chat_2026-05-30_2026-06-01</t>
        </is>
      </c>
      <c r="M2685">
        <f>IF($A2685="","",TEXT($A2685,"mmmm/yyyy"))</f>
        <v/>
      </c>
      <c r="P2685">
        <f>IFERROR(XLOOKUP($N2685,Base_Enderecos!$A:$A,Base_Enderecos!$B:$B,""),"")</f>
        <v/>
      </c>
      <c r="Q2685">
        <f>IFERROR(XLOOKUP($N2685,Base_Enderecos!$A:$A,Base_Enderecos!$C:$C,""),"")</f>
        <v/>
      </c>
      <c r="R2685">
        <f>IF(OR(ISNUMBER(SEARCH("HDD",$F2685)),ISNUMBER(SEARCH("MND",$F2685)),ISNUMBER(SEARCH("PEAD",$F2685)),ISNUMBER(SEARCH("Puxe",$J2685)),ISNUMBER(SEARCH("Apoio HDD",$F2685))),"MND",IF(OR(ISNUMBER(SEARCH("VCA",$F2685)),ISNUMBER(SEARCH("PVC",$F2685)),ISNUMBER(SEARCH("vca",$J2685)),ISNUMBER(SEARCH("Transformação",$J2685))),"VCA",IF(OR(ISNUMBER(SEARCH("crava",$F2685)),ISNUMBER(SEARCH("tubo cravado",$F2685)),ISNUMBER(SEARCH("shaft",$J2685)),ISNUMBER(SEARCH("concreto",$F2685))),"TUBO CRAVADO","")))</f>
        <v/>
      </c>
      <c r="T2685">
        <f>TEXT($A2685,"yyyy-mm")&amp;"|"&amp;$C2685&amp;"|"&amp;$I2685</f>
        <v/>
      </c>
    </row>
    <row r="2686">
      <c r="A2686" s="36" t="n">
        <v>46172</v>
      </c>
      <c r="B2686" t="inlineStr">
        <is>
          <t>Sábado</t>
        </is>
      </c>
      <c r="C2686" t="inlineStr">
        <is>
          <t>Vacal</t>
        </is>
      </c>
      <c r="E2686" t="inlineStr">
        <is>
          <t>João Canzi - Henko</t>
        </is>
      </c>
      <c r="F2686" t="inlineStr">
        <is>
          <t>Apoio Vacal</t>
        </is>
      </c>
      <c r="J2686" t="inlineStr">
        <is>
          <t>Vacal</t>
        </is>
      </c>
      <c r="K2686" t="inlineStr">
        <is>
          <t>Apoio</t>
        </is>
      </c>
      <c r="L2686" t="inlineStr">
        <is>
          <t>PDS_chat_2026-05-30_2026-06-01</t>
        </is>
      </c>
      <c r="M2686">
        <f>IF($A2686="","",TEXT($A2686,"mmmm/yyyy"))</f>
        <v/>
      </c>
      <c r="P2686">
        <f>IFERROR(XLOOKUP($N2686,Base_Enderecos!$A:$A,Base_Enderecos!$B:$B,""),"")</f>
        <v/>
      </c>
      <c r="Q2686">
        <f>IFERROR(XLOOKUP($N2686,Base_Enderecos!$A:$A,Base_Enderecos!$C:$C,""),"")</f>
        <v/>
      </c>
      <c r="R2686">
        <f>IF(OR(ISNUMBER(SEARCH("HDD",$F2686)),ISNUMBER(SEARCH("MND",$F2686)),ISNUMBER(SEARCH("PEAD",$F2686)),ISNUMBER(SEARCH("Puxe",$J2686)),ISNUMBER(SEARCH("Apoio HDD",$F2686))),"MND",IF(OR(ISNUMBER(SEARCH("VCA",$F2686)),ISNUMBER(SEARCH("PVC",$F2686)),ISNUMBER(SEARCH("vca",$J2686)),ISNUMBER(SEARCH("Transformação",$J2686))),"VCA",IF(OR(ISNUMBER(SEARCH("crava",$F2686)),ISNUMBER(SEARCH("tubo cravado",$F2686)),ISNUMBER(SEARCH("shaft",$J2686)),ISNUMBER(SEARCH("concreto",$F2686))),"TUBO CRAVADO","")))</f>
        <v/>
      </c>
      <c r="T2686">
        <f>TEXT($A2686,"yyyy-mm")&amp;"|"&amp;$C2686&amp;"|"&amp;$I2686</f>
        <v/>
      </c>
    </row>
    <row r="2687">
      <c r="A2687" s="36" t="n">
        <v>46172</v>
      </c>
      <c r="B2687" t="inlineStr">
        <is>
          <t>Sábado</t>
        </is>
      </c>
      <c r="C2687" t="inlineStr">
        <is>
          <t>Vacal</t>
        </is>
      </c>
      <c r="E2687" t="inlineStr">
        <is>
          <t>João Canzi - Renasce</t>
        </is>
      </c>
      <c r="F2687" t="inlineStr">
        <is>
          <t>Apoio Vacal</t>
        </is>
      </c>
      <c r="J2687" t="inlineStr">
        <is>
          <t>Vacal</t>
        </is>
      </c>
      <c r="K2687" t="inlineStr">
        <is>
          <t>Apoio</t>
        </is>
      </c>
      <c r="L2687" t="inlineStr">
        <is>
          <t>PDS_chat_2026-05-30_2026-06-01</t>
        </is>
      </c>
      <c r="M2687">
        <f>IF($A2687="","",TEXT($A2687,"mmmm/yyyy"))</f>
        <v/>
      </c>
      <c r="P2687">
        <f>IFERROR(XLOOKUP($N2687,Base_Enderecos!$A:$A,Base_Enderecos!$B:$B,""),"")</f>
        <v/>
      </c>
      <c r="Q2687">
        <f>IFERROR(XLOOKUP($N2687,Base_Enderecos!$A:$A,Base_Enderecos!$C:$C,""),"")</f>
        <v/>
      </c>
      <c r="R2687">
        <f>IF(OR(ISNUMBER(SEARCH("HDD",$F2687)),ISNUMBER(SEARCH("MND",$F2687)),ISNUMBER(SEARCH("PEAD",$F2687)),ISNUMBER(SEARCH("Puxe",$J2687)),ISNUMBER(SEARCH("Apoio HDD",$F2687))),"MND",IF(OR(ISNUMBER(SEARCH("VCA",$F2687)),ISNUMBER(SEARCH("PVC",$F2687)),ISNUMBER(SEARCH("vca",$J2687)),ISNUMBER(SEARCH("Transformação",$J2687))),"VCA",IF(OR(ISNUMBER(SEARCH("crava",$F2687)),ISNUMBER(SEARCH("tubo cravado",$F2687)),ISNUMBER(SEARCH("shaft",$J2687)),ISNUMBER(SEARCH("concreto",$F2687))),"TUBO CRAVADO","")))</f>
        <v/>
      </c>
      <c r="T2687">
        <f>TEXT($A2687,"yyyy-mm")&amp;"|"&amp;$C2687&amp;"|"&amp;$I2687</f>
        <v/>
      </c>
    </row>
    <row r="2688">
      <c r="A2688" s="36" t="n">
        <v>46172</v>
      </c>
      <c r="B2688" t="inlineStr">
        <is>
          <t>Sábado</t>
        </is>
      </c>
      <c r="C2688" t="inlineStr">
        <is>
          <t>Vacal</t>
        </is>
      </c>
      <c r="E2688" t="inlineStr">
        <is>
          <t>João Canzi - Hidrosol</t>
        </is>
      </c>
      <c r="F2688" t="inlineStr">
        <is>
          <t>Apoio Vacal</t>
        </is>
      </c>
      <c r="J2688" t="inlineStr">
        <is>
          <t>Vacal</t>
        </is>
      </c>
      <c r="K2688" t="inlineStr">
        <is>
          <t>Apoio</t>
        </is>
      </c>
      <c r="L2688" t="inlineStr">
        <is>
          <t>PDS_chat_2026-05-30_2026-06-01</t>
        </is>
      </c>
      <c r="M2688">
        <f>IF($A2688="","",TEXT($A2688,"mmmm/yyyy"))</f>
        <v/>
      </c>
      <c r="P2688">
        <f>IFERROR(XLOOKUP($N2688,Base_Enderecos!$A:$A,Base_Enderecos!$B:$B,""),"")</f>
        <v/>
      </c>
      <c r="Q2688">
        <f>IFERROR(XLOOKUP($N2688,Base_Enderecos!$A:$A,Base_Enderecos!$C:$C,""),"")</f>
        <v/>
      </c>
      <c r="R2688">
        <f>IF(OR(ISNUMBER(SEARCH("HDD",$F2688)),ISNUMBER(SEARCH("MND",$F2688)),ISNUMBER(SEARCH("PEAD",$F2688)),ISNUMBER(SEARCH("Puxe",$J2688)),ISNUMBER(SEARCH("Apoio HDD",$F2688))),"MND",IF(OR(ISNUMBER(SEARCH("VCA",$F2688)),ISNUMBER(SEARCH("PVC",$F2688)),ISNUMBER(SEARCH("vca",$J2688)),ISNUMBER(SEARCH("Transformação",$J2688))),"VCA",IF(OR(ISNUMBER(SEARCH("crava",$F2688)),ISNUMBER(SEARCH("tubo cravado",$F2688)),ISNUMBER(SEARCH("shaft",$J2688)),ISNUMBER(SEARCH("concreto",$F2688))),"TUBO CRAVADO","")))</f>
        <v/>
      </c>
      <c r="T2688">
        <f>TEXT($A2688,"yyyy-mm")&amp;"|"&amp;$C2688&amp;"|"&amp;$I2688</f>
        <v/>
      </c>
    </row>
    <row r="2689">
      <c r="A2689" s="36" t="n">
        <v>46172</v>
      </c>
      <c r="B2689" t="inlineStr">
        <is>
          <t>Sábado</t>
        </is>
      </c>
      <c r="C2689" t="inlineStr">
        <is>
          <t>Vacal</t>
        </is>
      </c>
      <c r="E2689" t="inlineStr">
        <is>
          <t>Lourdes - Henko</t>
        </is>
      </c>
      <c r="F2689" t="inlineStr">
        <is>
          <t>Apoio Vacal</t>
        </is>
      </c>
      <c r="J2689" t="inlineStr">
        <is>
          <t>Vacal</t>
        </is>
      </c>
      <c r="K2689" t="inlineStr">
        <is>
          <t>Apoio</t>
        </is>
      </c>
      <c r="L2689" t="inlineStr">
        <is>
          <t>PDS_chat_2026-05-30_2026-06-01</t>
        </is>
      </c>
      <c r="M2689">
        <f>IF($A2689="","",TEXT($A2689,"mmmm/yyyy"))</f>
        <v/>
      </c>
      <c r="P2689">
        <f>IFERROR(XLOOKUP($N2689,Base_Enderecos!$A:$A,Base_Enderecos!$B:$B,""),"")</f>
        <v/>
      </c>
      <c r="Q2689">
        <f>IFERROR(XLOOKUP($N2689,Base_Enderecos!$A:$A,Base_Enderecos!$C:$C,""),"")</f>
        <v/>
      </c>
      <c r="R2689">
        <f>IF(OR(ISNUMBER(SEARCH("HDD",$F2689)),ISNUMBER(SEARCH("MND",$F2689)),ISNUMBER(SEARCH("PEAD",$F2689)),ISNUMBER(SEARCH("Puxe",$J2689)),ISNUMBER(SEARCH("Apoio HDD",$F2689))),"MND",IF(OR(ISNUMBER(SEARCH("VCA",$F2689)),ISNUMBER(SEARCH("PVC",$F2689)),ISNUMBER(SEARCH("vca",$J2689)),ISNUMBER(SEARCH("Transformação",$J2689))),"VCA",IF(OR(ISNUMBER(SEARCH("crava",$F2689)),ISNUMBER(SEARCH("tubo cravado",$F2689)),ISNUMBER(SEARCH("shaft",$J2689)),ISNUMBER(SEARCH("concreto",$F2689))),"TUBO CRAVADO","")))</f>
        <v/>
      </c>
      <c r="T2689">
        <f>TEXT($A2689,"yyyy-mm")&amp;"|"&amp;$C2689&amp;"|"&amp;$I2689</f>
        <v/>
      </c>
    </row>
    <row r="2690">
      <c r="A2690" s="36" t="n">
        <v>46172</v>
      </c>
      <c r="B2690" t="inlineStr">
        <is>
          <t>Sábado</t>
        </is>
      </c>
      <c r="C2690" t="inlineStr">
        <is>
          <t>Vacal</t>
        </is>
      </c>
      <c r="E2690" t="inlineStr">
        <is>
          <t>ITI 15 - Renasce</t>
        </is>
      </c>
      <c r="F2690" t="inlineStr">
        <is>
          <t>Apoio Vacal</t>
        </is>
      </c>
      <c r="J2690" t="inlineStr">
        <is>
          <t>Vacal</t>
        </is>
      </c>
      <c r="K2690" t="inlineStr">
        <is>
          <t>Apoio</t>
        </is>
      </c>
      <c r="L2690" t="inlineStr">
        <is>
          <t>PDS_chat_2026-05-30_2026-06-01</t>
        </is>
      </c>
      <c r="M2690">
        <f>IF($A2690="","",TEXT($A2690,"mmmm/yyyy"))</f>
        <v/>
      </c>
      <c r="P2690">
        <f>IFERROR(XLOOKUP($N2690,Base_Enderecos!$A:$A,Base_Enderecos!$B:$B,""),"")</f>
        <v/>
      </c>
      <c r="Q2690">
        <f>IFERROR(XLOOKUP($N2690,Base_Enderecos!$A:$A,Base_Enderecos!$C:$C,""),"")</f>
        <v/>
      </c>
      <c r="R2690">
        <f>IF(OR(ISNUMBER(SEARCH("HDD",$F2690)),ISNUMBER(SEARCH("MND",$F2690)),ISNUMBER(SEARCH("PEAD",$F2690)),ISNUMBER(SEARCH("Puxe",$J2690)),ISNUMBER(SEARCH("Apoio HDD",$F2690))),"MND",IF(OR(ISNUMBER(SEARCH("VCA",$F2690)),ISNUMBER(SEARCH("PVC",$F2690)),ISNUMBER(SEARCH("vca",$J2690)),ISNUMBER(SEARCH("Transformação",$J2690))),"VCA",IF(OR(ISNUMBER(SEARCH("crava",$F2690)),ISNUMBER(SEARCH("tubo cravado",$F2690)),ISNUMBER(SEARCH("shaft",$J2690)),ISNUMBER(SEARCH("concreto",$F2690))),"TUBO CRAVADO","")))</f>
        <v/>
      </c>
      <c r="T2690">
        <f>TEXT($A2690,"yyyy-mm")&amp;"|"&amp;$C2690&amp;"|"&amp;$I2690</f>
        <v/>
      </c>
    </row>
    <row r="2691">
      <c r="A2691" s="36" t="n">
        <v>46172</v>
      </c>
      <c r="B2691" t="inlineStr">
        <is>
          <t>Sábado</t>
        </is>
      </c>
      <c r="C2691" t="inlineStr">
        <is>
          <t>Guindauto</t>
        </is>
      </c>
      <c r="E2691" t="inlineStr">
        <is>
          <t>Marcio</t>
        </is>
      </c>
      <c r="F2691" t="inlineStr">
        <is>
          <t>Apoio as equipes</t>
        </is>
      </c>
      <c r="J2691" t="inlineStr">
        <is>
          <t>Guindauto</t>
        </is>
      </c>
      <c r="K2691" t="inlineStr">
        <is>
          <t>Apoio</t>
        </is>
      </c>
      <c r="L2691" t="inlineStr">
        <is>
          <t>PDS_chat_2026-05-30_2026-06-01</t>
        </is>
      </c>
      <c r="M2691">
        <f>IF($A2691="","",TEXT($A2691,"mmmm/yyyy"))</f>
        <v/>
      </c>
      <c r="P2691">
        <f>IFERROR(XLOOKUP($N2691,Base_Enderecos!$A:$A,Base_Enderecos!$B:$B,""),"")</f>
        <v/>
      </c>
      <c r="Q2691">
        <f>IFERROR(XLOOKUP($N2691,Base_Enderecos!$A:$A,Base_Enderecos!$C:$C,""),"")</f>
        <v/>
      </c>
      <c r="R2691">
        <f>IF(OR(ISNUMBER(SEARCH("HDD",$F2691)),ISNUMBER(SEARCH("MND",$F2691)),ISNUMBER(SEARCH("PEAD",$F2691)),ISNUMBER(SEARCH("Puxe",$J2691)),ISNUMBER(SEARCH("Apoio HDD",$F2691))),"MND",IF(OR(ISNUMBER(SEARCH("VCA",$F2691)),ISNUMBER(SEARCH("PVC",$F2691)),ISNUMBER(SEARCH("vca",$J2691)),ISNUMBER(SEARCH("Transformação",$J2691))),"VCA",IF(OR(ISNUMBER(SEARCH("crava",$F2691)),ISNUMBER(SEARCH("tubo cravado",$F2691)),ISNUMBER(SEARCH("shaft",$J2691)),ISNUMBER(SEARCH("concreto",$F2691))),"TUBO CRAVADO","")))</f>
        <v/>
      </c>
      <c r="T2691">
        <f>TEXT($A2691,"yyyy-mm")&amp;"|"&amp;$C2691&amp;"|"&amp;$I2691</f>
        <v/>
      </c>
    </row>
    <row r="2692">
      <c r="A2692" s="36" t="n">
        <v>46174</v>
      </c>
      <c r="B2692" t="inlineStr">
        <is>
          <t>Segunda</t>
        </is>
      </c>
      <c r="C2692" t="inlineStr">
        <is>
          <t>CT João Canzi</t>
        </is>
      </c>
      <c r="D2692" t="inlineStr">
        <is>
          <t>Valmir</t>
        </is>
      </c>
      <c r="E2692" t="inlineStr">
        <is>
          <t>Goiânia Drill</t>
        </is>
      </c>
      <c r="F2692" t="inlineStr">
        <is>
          <t>Puxe do PV-10 ao PV-11</t>
        </is>
      </c>
      <c r="G2692" t="inlineStr">
        <is>
          <t>10</t>
        </is>
      </c>
      <c r="H2692" t="inlineStr">
        <is>
          <t>11</t>
        </is>
      </c>
      <c r="I2692" t="inlineStr">
        <is>
          <t>10 ao 11</t>
        </is>
      </c>
      <c r="J2692" t="inlineStr">
        <is>
          <t>HDD</t>
        </is>
      </c>
      <c r="K2692" t="inlineStr">
        <is>
          <t>Planejamento</t>
        </is>
      </c>
      <c r="L2692" t="inlineStr">
        <is>
          <t>PDS-Junho.docx</t>
        </is>
      </c>
      <c r="M2692">
        <f>IF($A2692="","",TEXT($A2692,"mmmm/yyyy"))</f>
        <v/>
      </c>
      <c r="P2692">
        <f>IFERROR(XLOOKUP($N2692,Base_Enderecos!$A:$A,Base_Enderecos!$B:$B,""),"")</f>
        <v/>
      </c>
      <c r="Q2692">
        <f>IFERROR(XLOOKUP($N2692,Base_Enderecos!$A:$A,Base_Enderecos!$C:$C,""),"")</f>
        <v/>
      </c>
      <c r="R2692">
        <f>IF(ISNUMBER(SEARCH("HDD",$F2692)),"HDD",IF(ISNUMBER(SEARCH("VCA",$F2692)),"VCA","MND"))</f>
        <v/>
      </c>
      <c r="T2692">
        <f>TEXT($A2692,"yyyy-mm")&amp;"|"&amp;$C2692&amp;"|"&amp;$I2692</f>
        <v/>
      </c>
    </row>
    <row r="2693">
      <c r="A2693" s="36" t="n">
        <v>46174</v>
      </c>
      <c r="B2693" t="inlineStr">
        <is>
          <t>Segunda</t>
        </is>
      </c>
      <c r="C2693" t="inlineStr">
        <is>
          <t>CT João Canzi</t>
        </is>
      </c>
      <c r="D2693" t="inlineStr">
        <is>
          <t>Valmir</t>
        </is>
      </c>
      <c r="E2693" t="inlineStr">
        <is>
          <t>Bruno</t>
        </is>
      </c>
      <c r="F2693" t="inlineStr">
        <is>
          <t>Apoio ao HDD</t>
        </is>
      </c>
      <c r="J2693" t="inlineStr">
        <is>
          <t>HDD</t>
        </is>
      </c>
      <c r="K2693" t="inlineStr">
        <is>
          <t>Planejamento</t>
        </is>
      </c>
      <c r="L2693" t="inlineStr">
        <is>
          <t>PDS-Junho.docx</t>
        </is>
      </c>
      <c r="M2693">
        <f>IF($A2693="","",TEXT($A2693,"mmmm/yyyy"))</f>
        <v/>
      </c>
      <c r="P2693">
        <f>IFERROR(XLOOKUP($N2693,Base_Enderecos!$A:$A,Base_Enderecos!$B:$B,""),"")</f>
        <v/>
      </c>
      <c r="Q2693">
        <f>IFERROR(XLOOKUP($N2693,Base_Enderecos!$A:$A,Base_Enderecos!$C:$C,""),"")</f>
        <v/>
      </c>
      <c r="R2693">
        <f>IF(ISNUMBER(SEARCH("HDD",$F2693)),"HDD",IF(ISNUMBER(SEARCH("VCA",$F2693)),"VCA","MND"))</f>
        <v/>
      </c>
      <c r="T2693">
        <f>TEXT($A2693,"yyyy-mm")&amp;"|"&amp;$C2693&amp;"|"&amp;$I2693</f>
        <v/>
      </c>
    </row>
    <row r="2694">
      <c r="A2694" s="36" t="n">
        <v>46174</v>
      </c>
      <c r="B2694" t="inlineStr">
        <is>
          <t>Segunda</t>
        </is>
      </c>
      <c r="C2694" t="inlineStr">
        <is>
          <t>CT João Canzi</t>
        </is>
      </c>
      <c r="D2694" t="inlineStr">
        <is>
          <t>Valmir</t>
        </is>
      </c>
      <c r="E2694" t="inlineStr">
        <is>
          <t>Marcelo</t>
        </is>
      </c>
      <c r="F2694" t="inlineStr">
        <is>
          <t>Shaft PV 09</t>
        </is>
      </c>
      <c r="G2694" t="inlineStr">
        <is>
          <t>09</t>
        </is>
      </c>
      <c r="I2694" t="inlineStr">
        <is>
          <t>09</t>
        </is>
      </c>
      <c r="J2694" t="inlineStr">
        <is>
          <t>Shaft</t>
        </is>
      </c>
      <c r="K2694" t="inlineStr">
        <is>
          <t>Planejamento</t>
        </is>
      </c>
      <c r="L2694" t="inlineStr">
        <is>
          <t>PDS-Junho.docx</t>
        </is>
      </c>
      <c r="M2694">
        <f>IF($A2694="","",TEXT($A2694,"mmmm/yyyy"))</f>
        <v/>
      </c>
      <c r="P2694">
        <f>IFERROR(XLOOKUP($N2694,Base_Enderecos!$A:$A,Base_Enderecos!$B:$B,""),"")</f>
        <v/>
      </c>
      <c r="Q2694">
        <f>IFERROR(XLOOKUP($N2694,Base_Enderecos!$A:$A,Base_Enderecos!$C:$C,""),"")</f>
        <v/>
      </c>
      <c r="R2694">
        <f>IF(ISNUMBER(SEARCH("HDD",$F2694)),"HDD",IF(ISNUMBER(SEARCH("VCA",$F2694)),"VCA","MND"))</f>
        <v/>
      </c>
      <c r="T2694">
        <f>TEXT($A2694,"yyyy-mm")&amp;"|"&amp;$C2694&amp;"|"&amp;$I2694</f>
        <v/>
      </c>
    </row>
    <row r="2695">
      <c r="A2695" s="36" t="n">
        <v>46174</v>
      </c>
      <c r="B2695" t="inlineStr">
        <is>
          <t>Segunda</t>
        </is>
      </c>
      <c r="C2695" t="inlineStr">
        <is>
          <t>CT João Canzi</t>
        </is>
      </c>
      <c r="D2695" t="inlineStr">
        <is>
          <t>Valmir</t>
        </is>
      </c>
      <c r="E2695" t="inlineStr">
        <is>
          <t>Cidão</t>
        </is>
      </c>
      <c r="F2695" t="inlineStr">
        <is>
          <t>Transformação PV 15</t>
        </is>
      </c>
      <c r="G2695" t="inlineStr">
        <is>
          <t>15</t>
        </is>
      </c>
      <c r="I2695" t="inlineStr">
        <is>
          <t>15</t>
        </is>
      </c>
      <c r="J2695" t="inlineStr">
        <is>
          <t>Transformação</t>
        </is>
      </c>
      <c r="K2695" t="inlineStr">
        <is>
          <t>Planejamento</t>
        </is>
      </c>
      <c r="L2695" t="inlineStr">
        <is>
          <t>PDS-Junho.docx</t>
        </is>
      </c>
      <c r="M2695">
        <f>IF($A2695="","",TEXT($A2695,"mmmm/yyyy"))</f>
        <v/>
      </c>
      <c r="P2695">
        <f>IFERROR(XLOOKUP($N2695,Base_Enderecos!$A:$A,Base_Enderecos!$B:$B,""),"")</f>
        <v/>
      </c>
      <c r="Q2695">
        <f>IFERROR(XLOOKUP($N2695,Base_Enderecos!$A:$A,Base_Enderecos!$C:$C,""),"")</f>
        <v/>
      </c>
      <c r="R2695">
        <f>IF(ISNUMBER(SEARCH("HDD",$F2695)),"HDD",IF(ISNUMBER(SEARCH("VCA",$F2695)),"VCA","MND"))</f>
        <v/>
      </c>
      <c r="T2695">
        <f>TEXT($A2695,"yyyy-mm")&amp;"|"&amp;$C2695&amp;"|"&amp;$I2695</f>
        <v/>
      </c>
    </row>
    <row r="2696">
      <c r="A2696" s="36" t="n">
        <v>46174</v>
      </c>
      <c r="B2696" t="inlineStr">
        <is>
          <t>Segunda</t>
        </is>
      </c>
      <c r="C2696" t="inlineStr">
        <is>
          <t>CT João Canzi</t>
        </is>
      </c>
      <c r="D2696" t="inlineStr">
        <is>
          <t>Valmir</t>
        </is>
      </c>
      <c r="E2696" t="inlineStr">
        <is>
          <t>Márcio</t>
        </is>
      </c>
      <c r="F2696" t="inlineStr">
        <is>
          <t>Transformação PV 14</t>
        </is>
      </c>
      <c r="G2696" t="inlineStr">
        <is>
          <t>14</t>
        </is>
      </c>
      <c r="I2696" t="inlineStr">
        <is>
          <t>14</t>
        </is>
      </c>
      <c r="J2696" t="inlineStr">
        <is>
          <t>Transformação</t>
        </is>
      </c>
      <c r="K2696" t="inlineStr">
        <is>
          <t>Planejamento</t>
        </is>
      </c>
      <c r="L2696" t="inlineStr">
        <is>
          <t>PDS-Junho.docx</t>
        </is>
      </c>
      <c r="M2696">
        <f>IF($A2696="","",TEXT($A2696,"mmmm/yyyy"))</f>
        <v/>
      </c>
      <c r="P2696">
        <f>IFERROR(XLOOKUP($N2696,Base_Enderecos!$A:$A,Base_Enderecos!$B:$B,""),"")</f>
        <v/>
      </c>
      <c r="Q2696">
        <f>IFERROR(XLOOKUP($N2696,Base_Enderecos!$A:$A,Base_Enderecos!$C:$C,""),"")</f>
        <v/>
      </c>
      <c r="R2696">
        <f>IF(ISNUMBER(SEARCH("HDD",$F2696)),"HDD",IF(ISNUMBER(SEARCH("VCA",$F2696)),"VCA","MND"))</f>
        <v/>
      </c>
      <c r="T2696">
        <f>TEXT($A2696,"yyyy-mm")&amp;"|"&amp;$C2696&amp;"|"&amp;$I2696</f>
        <v/>
      </c>
    </row>
    <row r="2697">
      <c r="A2697" s="36" t="n">
        <v>46174</v>
      </c>
      <c r="B2697" t="inlineStr">
        <is>
          <t>Segunda</t>
        </is>
      </c>
      <c r="C2697" t="inlineStr">
        <is>
          <t>RCE Elvira</t>
        </is>
      </c>
      <c r="D2697" t="inlineStr">
        <is>
          <t>Silvestre</t>
        </is>
      </c>
      <c r="E2697" t="inlineStr">
        <is>
          <t>Valter</t>
        </is>
      </c>
      <c r="F2697" t="inlineStr">
        <is>
          <t>VCA, PVs e Ligações</t>
        </is>
      </c>
      <c r="J2697" t="inlineStr">
        <is>
          <t>VCA</t>
        </is>
      </c>
      <c r="K2697" t="inlineStr">
        <is>
          <t>Planejamento</t>
        </is>
      </c>
      <c r="L2697" t="inlineStr">
        <is>
          <t>PDS-Junho.docx</t>
        </is>
      </c>
      <c r="M2697">
        <f>IF($A2697="","",TEXT($A2697,"mmmm/yyyy"))</f>
        <v/>
      </c>
      <c r="P2697">
        <f>IFERROR(XLOOKUP($N2697,Base_Enderecos!$A:$A,Base_Enderecos!$B:$B,""),"")</f>
        <v/>
      </c>
      <c r="Q2697">
        <f>IFERROR(XLOOKUP($N2697,Base_Enderecos!$A:$A,Base_Enderecos!$C:$C,""),"")</f>
        <v/>
      </c>
      <c r="R2697">
        <f>IF(ISNUMBER(SEARCH("HDD",$F2697)),"HDD",IF(ISNUMBER(SEARCH("VCA",$F2697)),"VCA","MND"))</f>
        <v/>
      </c>
      <c r="T2697">
        <f>TEXT($A2697,"yyyy-mm")&amp;"|"&amp;$C2697&amp;"|"&amp;$I2697</f>
        <v/>
      </c>
    </row>
    <row r="2698">
      <c r="A2698" s="36" t="n">
        <v>46174</v>
      </c>
      <c r="B2698" t="inlineStr">
        <is>
          <t>Segunda</t>
        </is>
      </c>
      <c r="C2698" t="inlineStr">
        <is>
          <t>RCE Conj. União</t>
        </is>
      </c>
      <c r="D2698" t="inlineStr">
        <is>
          <t>Silvestre</t>
        </is>
      </c>
      <c r="E2698" t="inlineStr">
        <is>
          <t>Jonathan</t>
        </is>
      </c>
      <c r="F2698" t="inlineStr">
        <is>
          <t>Shaft PV 40.1</t>
        </is>
      </c>
      <c r="G2698" t="inlineStr">
        <is>
          <t>40.1</t>
        </is>
      </c>
      <c r="I2698" t="inlineStr">
        <is>
          <t>40.1</t>
        </is>
      </c>
      <c r="J2698" t="inlineStr">
        <is>
          <t>Shaft</t>
        </is>
      </c>
      <c r="K2698" t="inlineStr">
        <is>
          <t>Planejamento</t>
        </is>
      </c>
      <c r="L2698" t="inlineStr">
        <is>
          <t>PDS-Junho.docx</t>
        </is>
      </c>
      <c r="M2698">
        <f>IF($A2698="","",TEXT($A2698,"mmmm/yyyy"))</f>
        <v/>
      </c>
      <c r="P2698">
        <f>IFERROR(XLOOKUP($N2698,Base_Enderecos!$A:$A,Base_Enderecos!$B:$B,""),"")</f>
        <v/>
      </c>
      <c r="Q2698">
        <f>IFERROR(XLOOKUP($N2698,Base_Enderecos!$A:$A,Base_Enderecos!$C:$C,""),"")</f>
        <v/>
      </c>
      <c r="R2698">
        <f>IF(ISNUMBER(SEARCH("HDD",$F2698)),"HDD",IF(ISNUMBER(SEARCH("VCA",$F2698)),"VCA","MND"))</f>
        <v/>
      </c>
      <c r="T2698">
        <f>TEXT($A2698,"yyyy-mm")&amp;"|"&amp;$C2698&amp;"|"&amp;$I2698</f>
        <v/>
      </c>
    </row>
    <row r="2699">
      <c r="A2699" s="36" t="n">
        <v>46174</v>
      </c>
      <c r="B2699" t="inlineStr">
        <is>
          <t>Segunda</t>
        </is>
      </c>
      <c r="C2699" t="inlineStr">
        <is>
          <t>RCE São Lucas</t>
        </is>
      </c>
      <c r="D2699" t="inlineStr">
        <is>
          <t>Fábio</t>
        </is>
      </c>
      <c r="E2699" t="inlineStr">
        <is>
          <t>Ricardo (pi 05 Ao Pi 06)</t>
        </is>
      </c>
      <c r="F2699" t="inlineStr">
        <is>
          <t>VCA, PVs e Ligações</t>
        </is>
      </c>
      <c r="J2699" t="inlineStr">
        <is>
          <t>VCA</t>
        </is>
      </c>
      <c r="K2699" t="inlineStr">
        <is>
          <t>Planejamento</t>
        </is>
      </c>
      <c r="L2699" t="inlineStr">
        <is>
          <t>PDS-Junho.docx</t>
        </is>
      </c>
      <c r="M2699">
        <f>IF($A2699="","",TEXT($A2699,"mmmm/yyyy"))</f>
        <v/>
      </c>
      <c r="P2699">
        <f>IFERROR(XLOOKUP($N2699,Base_Enderecos!$A:$A,Base_Enderecos!$B:$B,""),"")</f>
        <v/>
      </c>
      <c r="Q2699">
        <f>IFERROR(XLOOKUP($N2699,Base_Enderecos!$A:$A,Base_Enderecos!$C:$C,""),"")</f>
        <v/>
      </c>
      <c r="R2699">
        <f>IF(ISNUMBER(SEARCH("HDD",$F2699)),"HDD",IF(ISNUMBER(SEARCH("VCA",$F2699)),"VCA","MND"))</f>
        <v/>
      </c>
      <c r="T2699">
        <f>TEXT($A2699,"yyyy-mm")&amp;"|"&amp;$C2699&amp;"|"&amp;$I2699</f>
        <v/>
      </c>
    </row>
    <row r="2700">
      <c r="A2700" s="36" t="n">
        <v>46174</v>
      </c>
      <c r="B2700" t="inlineStr">
        <is>
          <t>Segunda</t>
        </is>
      </c>
      <c r="C2700" t="inlineStr">
        <is>
          <t>RCE São Lucas</t>
        </is>
      </c>
      <c r="D2700" t="inlineStr">
        <is>
          <t>Fábio</t>
        </is>
      </c>
      <c r="E2700" t="inlineStr">
        <is>
          <t>Claudinei (pi 37 Ao Pi 38)</t>
        </is>
      </c>
      <c r="F2700" t="inlineStr">
        <is>
          <t>VCA, PVs e Ligações</t>
        </is>
      </c>
      <c r="J2700" t="inlineStr">
        <is>
          <t>VCA</t>
        </is>
      </c>
      <c r="K2700" t="inlineStr">
        <is>
          <t>Planejamento</t>
        </is>
      </c>
      <c r="L2700" t="inlineStr">
        <is>
          <t>PDS-Junho.docx</t>
        </is>
      </c>
      <c r="M2700">
        <f>IF($A2700="","",TEXT($A2700,"mmmm/yyyy"))</f>
        <v/>
      </c>
      <c r="P2700">
        <f>IFERROR(XLOOKUP($N2700,Base_Enderecos!$A:$A,Base_Enderecos!$B:$B,""),"")</f>
        <v/>
      </c>
      <c r="Q2700">
        <f>IFERROR(XLOOKUP($N2700,Base_Enderecos!$A:$A,Base_Enderecos!$C:$C,""),"")</f>
        <v/>
      </c>
      <c r="R2700">
        <f>IF(ISNUMBER(SEARCH("HDD",$F2700)),"HDD",IF(ISNUMBER(SEARCH("VCA",$F2700)),"VCA","MND"))</f>
        <v/>
      </c>
      <c r="T2700">
        <f>TEXT($A2700,"yyyy-mm")&amp;"|"&amp;$C2700&amp;"|"&amp;$I2700</f>
        <v/>
      </c>
    </row>
    <row r="2701">
      <c r="A2701" s="36" t="n">
        <v>46174</v>
      </c>
      <c r="B2701" t="inlineStr">
        <is>
          <t>Segunda</t>
        </is>
      </c>
      <c r="C2701" t="inlineStr">
        <is>
          <t>RCE São Lucas</t>
        </is>
      </c>
      <c r="D2701" t="inlineStr">
        <is>
          <t>Fábio</t>
        </is>
      </c>
      <c r="E2701" t="inlineStr">
        <is>
          <t>Miro</t>
        </is>
      </c>
      <c r="F2701" t="inlineStr">
        <is>
          <t>VCA, PVs e Ligações; (PI 32 ao PI 60)</t>
        </is>
      </c>
      <c r="G2701" t="inlineStr">
        <is>
          <t>32</t>
        </is>
      </c>
      <c r="H2701" t="inlineStr">
        <is>
          <t>60</t>
        </is>
      </c>
      <c r="I2701" t="inlineStr">
        <is>
          <t>32 ao 60</t>
        </is>
      </c>
      <c r="J2701" t="inlineStr">
        <is>
          <t>VCA</t>
        </is>
      </c>
      <c r="K2701" t="inlineStr">
        <is>
          <t>Planejamento</t>
        </is>
      </c>
      <c r="L2701" t="inlineStr">
        <is>
          <t>PDS-Junho.docx</t>
        </is>
      </c>
      <c r="M2701">
        <f>IF($A2701="","",TEXT($A2701,"mmmm/yyyy"))</f>
        <v/>
      </c>
      <c r="P2701">
        <f>IFERROR(XLOOKUP($N2701,Base_Enderecos!$A:$A,Base_Enderecos!$B:$B,""),"")</f>
        <v/>
      </c>
      <c r="Q2701">
        <f>IFERROR(XLOOKUP($N2701,Base_Enderecos!$A:$A,Base_Enderecos!$C:$C,""),"")</f>
        <v/>
      </c>
      <c r="R2701">
        <f>IF(ISNUMBER(SEARCH("HDD",$F2701)),"HDD",IF(ISNUMBER(SEARCH("VCA",$F2701)),"VCA","MND"))</f>
        <v/>
      </c>
      <c r="T2701">
        <f>TEXT($A2701,"yyyy-mm")&amp;"|"&amp;$C2701&amp;"|"&amp;$I2701</f>
        <v/>
      </c>
    </row>
    <row r="2702">
      <c r="A2702" s="36" t="n">
        <v>46174</v>
      </c>
      <c r="B2702" t="inlineStr">
        <is>
          <t>Segunda</t>
        </is>
      </c>
      <c r="C2702" t="inlineStr">
        <is>
          <t>RCE São Lucas</t>
        </is>
      </c>
      <c r="D2702" t="inlineStr">
        <is>
          <t>Fábio</t>
        </is>
      </c>
      <c r="E2702" t="inlineStr">
        <is>
          <t>Emanuel</t>
        </is>
      </c>
      <c r="F2702" t="inlineStr">
        <is>
          <t>VCA, PVs e Ligações; (PI 32 ao PI 60)</t>
        </is>
      </c>
      <c r="G2702" t="inlineStr">
        <is>
          <t>32</t>
        </is>
      </c>
      <c r="H2702" t="inlineStr">
        <is>
          <t>60</t>
        </is>
      </c>
      <c r="I2702" t="inlineStr">
        <is>
          <t>32 ao 60</t>
        </is>
      </c>
      <c r="J2702" t="inlineStr">
        <is>
          <t>VCA</t>
        </is>
      </c>
      <c r="K2702" t="inlineStr">
        <is>
          <t>Planejamento</t>
        </is>
      </c>
      <c r="L2702" t="inlineStr">
        <is>
          <t>PDS-Junho.docx</t>
        </is>
      </c>
      <c r="M2702">
        <f>IF($A2702="","",TEXT($A2702,"mmmm/yyyy"))</f>
        <v/>
      </c>
      <c r="P2702">
        <f>IFERROR(XLOOKUP($N2702,Base_Enderecos!$A:$A,Base_Enderecos!$B:$B,""),"")</f>
        <v/>
      </c>
      <c r="Q2702">
        <f>IFERROR(XLOOKUP($N2702,Base_Enderecos!$A:$A,Base_Enderecos!$C:$C,""),"")</f>
        <v/>
      </c>
      <c r="R2702">
        <f>IF(ISNUMBER(SEARCH("HDD",$F2702)),"HDD",IF(ISNUMBER(SEARCH("VCA",$F2702)),"VCA","MND"))</f>
        <v/>
      </c>
      <c r="T2702">
        <f>TEXT($A2702,"yyyy-mm")&amp;"|"&amp;$C2702&amp;"|"&amp;$I2702</f>
        <v/>
      </c>
    </row>
    <row r="2703">
      <c r="A2703" s="36" t="n">
        <v>46174</v>
      </c>
      <c r="B2703" t="inlineStr">
        <is>
          <t>Segunda</t>
        </is>
      </c>
      <c r="C2703" t="inlineStr">
        <is>
          <t>RCE Rua São João</t>
        </is>
      </c>
      <c r="D2703" t="inlineStr">
        <is>
          <t>Fábio</t>
        </is>
      </c>
      <c r="E2703" t="inlineStr">
        <is>
          <t>Antonio (pv 02 Ao Pi 04)*</t>
        </is>
      </c>
      <c r="F2703" t="inlineStr">
        <is>
          <t>VCA, PVs e Ligações</t>
        </is>
      </c>
      <c r="J2703" t="inlineStr">
        <is>
          <t>VCA</t>
        </is>
      </c>
      <c r="K2703" t="inlineStr">
        <is>
          <t>Planejamento</t>
        </is>
      </c>
      <c r="L2703" t="inlineStr">
        <is>
          <t>PDS-Junho.docx</t>
        </is>
      </c>
      <c r="M2703">
        <f>IF($A2703="","",TEXT($A2703,"mmmm/yyyy"))</f>
        <v/>
      </c>
      <c r="P2703">
        <f>IFERROR(XLOOKUP($N2703,Base_Enderecos!$A:$A,Base_Enderecos!$B:$B,""),"")</f>
        <v/>
      </c>
      <c r="Q2703">
        <f>IFERROR(XLOOKUP($N2703,Base_Enderecos!$A:$A,Base_Enderecos!$C:$C,""),"")</f>
        <v/>
      </c>
      <c r="R2703">
        <f>IF(ISNUMBER(SEARCH("HDD",$F2703)),"HDD",IF(ISNUMBER(SEARCH("VCA",$F2703)),"VCA","MND"))</f>
        <v/>
      </c>
      <c r="T2703">
        <f>TEXT($A2703,"yyyy-mm")&amp;"|"&amp;$C2703&amp;"|"&amp;$I2703</f>
        <v/>
      </c>
    </row>
    <row r="2704">
      <c r="A2704" s="36" t="n">
        <v>46174</v>
      </c>
      <c r="B2704" t="inlineStr">
        <is>
          <t>Segunda</t>
        </is>
      </c>
      <c r="C2704" t="inlineStr">
        <is>
          <t>CTS Lourdes Complementar</t>
        </is>
      </c>
      <c r="D2704" t="inlineStr">
        <is>
          <t>Robson</t>
        </is>
      </c>
      <c r="E2704" t="inlineStr">
        <is>
          <t>Cesar</t>
        </is>
      </c>
      <c r="F2704" t="inlineStr">
        <is>
          <t>Transformação PV 03</t>
        </is>
      </c>
      <c r="G2704" t="inlineStr">
        <is>
          <t>03</t>
        </is>
      </c>
      <c r="I2704" t="inlineStr">
        <is>
          <t>03</t>
        </is>
      </c>
      <c r="J2704" t="inlineStr">
        <is>
          <t>Transformação</t>
        </is>
      </c>
      <c r="K2704" t="inlineStr">
        <is>
          <t>Planejamento</t>
        </is>
      </c>
      <c r="L2704" t="inlineStr">
        <is>
          <t>PDS-Junho.docx</t>
        </is>
      </c>
      <c r="M2704">
        <f>IF($A2704="","",TEXT($A2704,"mmmm/yyyy"))</f>
        <v/>
      </c>
      <c r="P2704">
        <f>IFERROR(XLOOKUP($N2704,Base_Enderecos!$A:$A,Base_Enderecos!$B:$B,""),"")</f>
        <v/>
      </c>
      <c r="Q2704">
        <f>IFERROR(XLOOKUP($N2704,Base_Enderecos!$A:$A,Base_Enderecos!$C:$C,""),"")</f>
        <v/>
      </c>
      <c r="R2704">
        <f>IF(ISNUMBER(SEARCH("HDD",$F2704)),"HDD",IF(ISNUMBER(SEARCH("VCA",$F2704)),"VCA","MND"))</f>
        <v/>
      </c>
      <c r="T2704">
        <f>TEXT($A2704,"yyyy-mm")&amp;"|"&amp;$C2704&amp;"|"&amp;$I2704</f>
        <v/>
      </c>
    </row>
    <row r="2705">
      <c r="A2705" s="36" t="n">
        <v>46174</v>
      </c>
      <c r="B2705" t="inlineStr">
        <is>
          <t>Segunda</t>
        </is>
      </c>
      <c r="C2705" t="inlineStr">
        <is>
          <t>CTS Lourdes Complementar</t>
        </is>
      </c>
      <c r="D2705" t="inlineStr">
        <is>
          <t>Robson</t>
        </is>
      </c>
      <c r="E2705" t="inlineStr">
        <is>
          <t>Edvando</t>
        </is>
      </c>
      <c r="F2705" t="inlineStr">
        <is>
          <t>Transformação PV 02</t>
        </is>
      </c>
      <c r="G2705" t="inlineStr">
        <is>
          <t>02</t>
        </is>
      </c>
      <c r="I2705" t="inlineStr">
        <is>
          <t>02</t>
        </is>
      </c>
      <c r="J2705" t="inlineStr">
        <is>
          <t>Transformação</t>
        </is>
      </c>
      <c r="K2705" t="inlineStr">
        <is>
          <t>Planejamento</t>
        </is>
      </c>
      <c r="L2705" t="inlineStr">
        <is>
          <t>PDS-Junho.docx</t>
        </is>
      </c>
      <c r="M2705">
        <f>IF($A2705="","",TEXT($A2705,"mmmm/yyyy"))</f>
        <v/>
      </c>
      <c r="P2705">
        <f>IFERROR(XLOOKUP($N2705,Base_Enderecos!$A:$A,Base_Enderecos!$B:$B,""),"")</f>
        <v/>
      </c>
      <c r="Q2705">
        <f>IFERROR(XLOOKUP($N2705,Base_Enderecos!$A:$A,Base_Enderecos!$C:$C,""),"")</f>
        <v/>
      </c>
      <c r="R2705">
        <f>IF(ISNUMBER(SEARCH("HDD",$F2705)),"HDD",IF(ISNUMBER(SEARCH("VCA",$F2705)),"VCA","MND"))</f>
        <v/>
      </c>
      <c r="T2705">
        <f>TEXT($A2705,"yyyy-mm")&amp;"|"&amp;$C2705&amp;"|"&amp;$I2705</f>
        <v/>
      </c>
    </row>
    <row r="2706">
      <c r="A2706" s="36" t="n">
        <v>46174</v>
      </c>
      <c r="B2706" t="inlineStr">
        <is>
          <t>Segunda</t>
        </is>
      </c>
      <c r="C2706" t="inlineStr">
        <is>
          <t>João Canzi</t>
        </is>
      </c>
      <c r="E2706" t="inlineStr">
        <is>
          <t>Vacal</t>
        </is>
      </c>
      <c r="F2706" t="inlineStr">
        <is>
          <t>João Canzi – Henko (Osmar)</t>
        </is>
      </c>
      <c r="J2706" t="inlineStr">
        <is>
          <t>Atividade</t>
        </is>
      </c>
      <c r="K2706" t="inlineStr">
        <is>
          <t>Apoio</t>
        </is>
      </c>
      <c r="L2706" t="inlineStr">
        <is>
          <t>PDS-Junho.docx</t>
        </is>
      </c>
      <c r="M2706">
        <f>IF($A2706="","",TEXT($A2706,"mmmm/yyyy"))</f>
        <v/>
      </c>
      <c r="P2706">
        <f>IFERROR(XLOOKUP($N2706,Base_Enderecos!$A:$A,Base_Enderecos!$B:$B,""),"")</f>
        <v/>
      </c>
      <c r="Q2706">
        <f>IFERROR(XLOOKUP($N2706,Base_Enderecos!$A:$A,Base_Enderecos!$C:$C,""),"")</f>
        <v/>
      </c>
      <c r="R2706">
        <f>IF(ISNUMBER(SEARCH("HDD",$F2706)),"HDD",IF(ISNUMBER(SEARCH("VCA",$F2706)),"VCA","MND"))</f>
        <v/>
      </c>
      <c r="T2706">
        <f>TEXT($A2706,"yyyy-mm")&amp;"|"&amp;$C2706&amp;"|"&amp;$I2706</f>
        <v/>
      </c>
    </row>
    <row r="2707">
      <c r="A2707" s="36" t="n">
        <v>46174</v>
      </c>
      <c r="B2707" t="inlineStr">
        <is>
          <t>Segunda</t>
        </is>
      </c>
      <c r="C2707" t="inlineStr">
        <is>
          <t>João Canzi</t>
        </is>
      </c>
      <c r="E2707" t="inlineStr">
        <is>
          <t>Vacal</t>
        </is>
      </c>
      <c r="F2707" t="inlineStr">
        <is>
          <t>João Canzi – Renasce (Raimundo)</t>
        </is>
      </c>
      <c r="J2707" t="inlineStr">
        <is>
          <t>Atividade</t>
        </is>
      </c>
      <c r="K2707" t="inlineStr">
        <is>
          <t>Apoio</t>
        </is>
      </c>
      <c r="L2707" t="inlineStr">
        <is>
          <t>PDS-Junho.docx</t>
        </is>
      </c>
      <c r="M2707">
        <f>IF($A2707="","",TEXT($A2707,"mmmm/yyyy"))</f>
        <v/>
      </c>
      <c r="P2707">
        <f>IFERROR(XLOOKUP($N2707,Base_Enderecos!$A:$A,Base_Enderecos!$B:$B,""),"")</f>
        <v/>
      </c>
      <c r="Q2707">
        <f>IFERROR(XLOOKUP($N2707,Base_Enderecos!$A:$A,Base_Enderecos!$C:$C,""),"")</f>
        <v/>
      </c>
      <c r="R2707">
        <f>IF(ISNUMBER(SEARCH("HDD",$F2707)),"HDD",IF(ISNUMBER(SEARCH("VCA",$F2707)),"VCA","MND"))</f>
        <v/>
      </c>
      <c r="T2707">
        <f>TEXT($A2707,"yyyy-mm")&amp;"|"&amp;$C2707&amp;"|"&amp;$I2707</f>
        <v/>
      </c>
    </row>
    <row r="2708">
      <c r="A2708" s="36" t="n">
        <v>46174</v>
      </c>
      <c r="B2708" t="inlineStr">
        <is>
          <t>Segunda</t>
        </is>
      </c>
      <c r="C2708" t="inlineStr">
        <is>
          <t>João Canzi</t>
        </is>
      </c>
      <c r="E2708" t="inlineStr">
        <is>
          <t>Vacal</t>
        </is>
      </c>
      <c r="F2708" t="inlineStr">
        <is>
          <t>João Canzi – Hidrosol (Jonathan)</t>
        </is>
      </c>
      <c r="J2708" t="inlineStr">
        <is>
          <t>Atividade</t>
        </is>
      </c>
      <c r="K2708" t="inlineStr">
        <is>
          <t>Apoio</t>
        </is>
      </c>
      <c r="L2708" t="inlineStr">
        <is>
          <t>PDS-Junho.docx</t>
        </is>
      </c>
      <c r="M2708">
        <f>IF($A2708="","",TEXT($A2708,"mmmm/yyyy"))</f>
        <v/>
      </c>
      <c r="P2708">
        <f>IFERROR(XLOOKUP($N2708,Base_Enderecos!$A:$A,Base_Enderecos!$B:$B,""),"")</f>
        <v/>
      </c>
      <c r="Q2708">
        <f>IFERROR(XLOOKUP($N2708,Base_Enderecos!$A:$A,Base_Enderecos!$C:$C,""),"")</f>
        <v/>
      </c>
      <c r="R2708">
        <f>IF(ISNUMBER(SEARCH("HDD",$F2708)),"HDD",IF(ISNUMBER(SEARCH("VCA",$F2708)),"VCA","MND"))</f>
        <v/>
      </c>
      <c r="T2708">
        <f>TEXT($A2708,"yyyy-mm")&amp;"|"&amp;$C2708&amp;"|"&amp;$I2708</f>
        <v/>
      </c>
    </row>
    <row r="2709">
      <c r="A2709" s="36" t="n">
        <v>46174</v>
      </c>
      <c r="B2709" t="inlineStr">
        <is>
          <t>Segunda</t>
        </is>
      </c>
      <c r="C2709" t="inlineStr">
        <is>
          <t>Lourdes</t>
        </is>
      </c>
      <c r="E2709" t="inlineStr">
        <is>
          <t>Vacal</t>
        </is>
      </c>
      <c r="F2709" t="inlineStr">
        <is>
          <t>Lourdes – Henko (Marcio)</t>
        </is>
      </c>
      <c r="J2709" t="inlineStr">
        <is>
          <t>Atividade</t>
        </is>
      </c>
      <c r="K2709" t="inlineStr">
        <is>
          <t>Apoio</t>
        </is>
      </c>
      <c r="L2709" t="inlineStr">
        <is>
          <t>PDS-Junho.docx</t>
        </is>
      </c>
      <c r="M2709">
        <f>IF($A2709="","",TEXT($A2709,"mmmm/yyyy"))</f>
        <v/>
      </c>
      <c r="P2709">
        <f>IFERROR(XLOOKUP($N2709,Base_Enderecos!$A:$A,Base_Enderecos!$B:$B,""),"")</f>
        <v/>
      </c>
      <c r="Q2709">
        <f>IFERROR(XLOOKUP($N2709,Base_Enderecos!$A:$A,Base_Enderecos!$C:$C,""),"")</f>
        <v/>
      </c>
      <c r="R2709">
        <f>IF(ISNUMBER(SEARCH("HDD",$F2709)),"HDD",IF(ISNUMBER(SEARCH("VCA",$F2709)),"VCA","MND"))</f>
        <v/>
      </c>
      <c r="T2709">
        <f>TEXT($A2709,"yyyy-mm")&amp;"|"&amp;$C2709&amp;"|"&amp;$I2709</f>
        <v/>
      </c>
    </row>
    <row r="2710">
      <c r="A2710" s="36" t="n">
        <v>46174</v>
      </c>
      <c r="B2710" t="inlineStr">
        <is>
          <t>Segunda</t>
        </is>
      </c>
      <c r="C2710" t="inlineStr">
        <is>
          <t>Iti 15</t>
        </is>
      </c>
      <c r="E2710" t="inlineStr">
        <is>
          <t>Vacal</t>
        </is>
      </c>
      <c r="F2710" t="inlineStr">
        <is>
          <t>ITI 15 – Henko (Thiago)</t>
        </is>
      </c>
      <c r="J2710" t="inlineStr">
        <is>
          <t>Atividade</t>
        </is>
      </c>
      <c r="K2710" t="inlineStr">
        <is>
          <t>Apoio</t>
        </is>
      </c>
      <c r="L2710" t="inlineStr">
        <is>
          <t>PDS-Junho.docx</t>
        </is>
      </c>
      <c r="M2710">
        <f>IF($A2710="","",TEXT($A2710,"mmmm/yyyy"))</f>
        <v/>
      </c>
      <c r="P2710">
        <f>IFERROR(XLOOKUP($N2710,Base_Enderecos!$A:$A,Base_Enderecos!$B:$B,""),"")</f>
        <v/>
      </c>
      <c r="Q2710">
        <f>IFERROR(XLOOKUP($N2710,Base_Enderecos!$A:$A,Base_Enderecos!$C:$C,""),"")</f>
        <v/>
      </c>
      <c r="R2710">
        <f>IF(ISNUMBER(SEARCH("HDD",$F2710)),"HDD",IF(ISNUMBER(SEARCH("VCA",$F2710)),"VCA","MND"))</f>
        <v/>
      </c>
      <c r="T2710">
        <f>TEXT($A2710,"yyyy-mm")&amp;"|"&amp;$C2710&amp;"|"&amp;$I2710</f>
        <v/>
      </c>
    </row>
    <row r="2711">
      <c r="A2711" s="36" t="n">
        <v>46174</v>
      </c>
      <c r="B2711" t="inlineStr">
        <is>
          <t>Segunda</t>
        </is>
      </c>
      <c r="C2711" t="inlineStr">
        <is>
          <t>Guindauto</t>
        </is>
      </c>
      <c r="E2711" t="inlineStr">
        <is>
          <t>Guindauto</t>
        </is>
      </c>
      <c r="F2711" t="inlineStr">
        <is>
          <t>Marcio - Apoio as equipes</t>
        </is>
      </c>
      <c r="J2711" t="inlineStr">
        <is>
          <t>Atividade</t>
        </is>
      </c>
      <c r="K2711" t="inlineStr">
        <is>
          <t>Apoio</t>
        </is>
      </c>
      <c r="L2711" t="inlineStr">
        <is>
          <t>PDS-Junho.docx</t>
        </is>
      </c>
      <c r="M2711">
        <f>IF($A2711="","",TEXT($A2711,"mmmm/yyyy"))</f>
        <v/>
      </c>
      <c r="P2711">
        <f>IFERROR(XLOOKUP($N2711,Base_Enderecos!$A:$A,Base_Enderecos!$B:$B,""),"")</f>
        <v/>
      </c>
      <c r="Q2711">
        <f>IFERROR(XLOOKUP($N2711,Base_Enderecos!$A:$A,Base_Enderecos!$C:$C,""),"")</f>
        <v/>
      </c>
      <c r="R2711">
        <f>IF(ISNUMBER(SEARCH("HDD",$F2711)),"HDD",IF(ISNUMBER(SEARCH("VCA",$F2711)),"VCA","MND"))</f>
        <v/>
      </c>
      <c r="T2711">
        <f>TEXT($A2711,"yyyy-mm")&amp;"|"&amp;$C2711&amp;"|"&amp;$I2711</f>
        <v/>
      </c>
    </row>
    <row r="2712">
      <c r="A2712" s="36" t="n">
        <v>46174</v>
      </c>
      <c r="B2712" t="inlineStr">
        <is>
          <t>Segunda</t>
        </is>
      </c>
      <c r="C2712" t="inlineStr">
        <is>
          <t>Guindauto</t>
        </is>
      </c>
      <c r="E2712" t="inlineStr">
        <is>
          <t>Guindauto</t>
        </is>
      </c>
      <c r="F2712" t="inlineStr">
        <is>
          <t>Luiz - Apoio as equipes</t>
        </is>
      </c>
      <c r="J2712" t="inlineStr">
        <is>
          <t>Atividade</t>
        </is>
      </c>
      <c r="K2712" t="inlineStr">
        <is>
          <t>Apoio</t>
        </is>
      </c>
      <c r="L2712" t="inlineStr">
        <is>
          <t>PDS-Junho.docx</t>
        </is>
      </c>
      <c r="M2712">
        <f>IF($A2712="","",TEXT($A2712,"mmmm/yyyy"))</f>
        <v/>
      </c>
      <c r="P2712">
        <f>IFERROR(XLOOKUP($N2712,Base_Enderecos!$A:$A,Base_Enderecos!$B:$B,""),"")</f>
        <v/>
      </c>
      <c r="Q2712">
        <f>IFERROR(XLOOKUP($N2712,Base_Enderecos!$A:$A,Base_Enderecos!$C:$C,""),"")</f>
        <v/>
      </c>
      <c r="R2712">
        <f>IF(ISNUMBER(SEARCH("HDD",$F2712)),"HDD",IF(ISNUMBER(SEARCH("VCA",$F2712)),"VCA","MND"))</f>
        <v/>
      </c>
      <c r="T2712">
        <f>TEXT($A2712,"yyyy-mm")&amp;"|"&amp;$C2712&amp;"|"&amp;$I2712</f>
        <v/>
      </c>
    </row>
    <row r="2713">
      <c r="A2713" s="36" t="n">
        <v>46175</v>
      </c>
      <c r="B2713" t="inlineStr">
        <is>
          <t>Terça</t>
        </is>
      </c>
      <c r="C2713" t="inlineStr">
        <is>
          <t>CT João Canzi</t>
        </is>
      </c>
      <c r="D2713" t="inlineStr">
        <is>
          <t>Valmir</t>
        </is>
      </c>
      <c r="E2713" t="inlineStr">
        <is>
          <t>Goiânia Drill</t>
        </is>
      </c>
      <c r="F2713" t="inlineStr">
        <is>
          <t>Puxe do PV-10 ao PV-11</t>
        </is>
      </c>
      <c r="G2713" t="inlineStr">
        <is>
          <t>10</t>
        </is>
      </c>
      <c r="H2713" t="inlineStr">
        <is>
          <t>11</t>
        </is>
      </c>
      <c r="I2713" t="inlineStr">
        <is>
          <t>10 ao 11</t>
        </is>
      </c>
      <c r="J2713" t="inlineStr">
        <is>
          <t>HDD</t>
        </is>
      </c>
      <c r="K2713" t="inlineStr">
        <is>
          <t>Planejamento</t>
        </is>
      </c>
      <c r="L2713" t="inlineStr">
        <is>
          <t>PDS-Junho.docx</t>
        </is>
      </c>
      <c r="M2713">
        <f>IF($A2713="","",TEXT($A2713,"mmmm/yyyy"))</f>
        <v/>
      </c>
      <c r="P2713">
        <f>IFERROR(XLOOKUP($N2713,Base_Enderecos!$A:$A,Base_Enderecos!$B:$B,""),"")</f>
        <v/>
      </c>
      <c r="Q2713">
        <f>IFERROR(XLOOKUP($N2713,Base_Enderecos!$A:$A,Base_Enderecos!$C:$C,""),"")</f>
        <v/>
      </c>
      <c r="R2713">
        <f>IF(ISNUMBER(SEARCH("HDD",$F2713)),"HDD",IF(ISNUMBER(SEARCH("VCA",$F2713)),"VCA","MND"))</f>
        <v/>
      </c>
      <c r="T2713">
        <f>TEXT($A2713,"yyyy-mm")&amp;"|"&amp;$C2713&amp;"|"&amp;$I2713</f>
        <v/>
      </c>
    </row>
    <row r="2714">
      <c r="A2714" s="36" t="n">
        <v>46175</v>
      </c>
      <c r="B2714" t="inlineStr">
        <is>
          <t>Terça</t>
        </is>
      </c>
      <c r="C2714" t="inlineStr">
        <is>
          <t>CT João Canzi</t>
        </is>
      </c>
      <c r="D2714" t="inlineStr">
        <is>
          <t>Valmir</t>
        </is>
      </c>
      <c r="E2714" t="inlineStr">
        <is>
          <t>Bruno E Medeiros</t>
        </is>
      </c>
      <c r="F2714" t="inlineStr">
        <is>
          <t>Apoio ao HDD</t>
        </is>
      </c>
      <c r="J2714" t="inlineStr">
        <is>
          <t>HDD</t>
        </is>
      </c>
      <c r="K2714" t="inlineStr">
        <is>
          <t>Planejamento</t>
        </is>
      </c>
      <c r="L2714" t="inlineStr">
        <is>
          <t>PDS-Junho.docx</t>
        </is>
      </c>
      <c r="M2714">
        <f>IF($A2714="","",TEXT($A2714,"mmmm/yyyy"))</f>
        <v/>
      </c>
      <c r="P2714">
        <f>IFERROR(XLOOKUP($N2714,Base_Enderecos!$A:$A,Base_Enderecos!$B:$B,""),"")</f>
        <v/>
      </c>
      <c r="Q2714">
        <f>IFERROR(XLOOKUP($N2714,Base_Enderecos!$A:$A,Base_Enderecos!$C:$C,""),"")</f>
        <v/>
      </c>
      <c r="R2714">
        <f>IF(ISNUMBER(SEARCH("HDD",$F2714)),"HDD",IF(ISNUMBER(SEARCH("VCA",$F2714)),"VCA","MND"))</f>
        <v/>
      </c>
      <c r="T2714">
        <f>TEXT($A2714,"yyyy-mm")&amp;"|"&amp;$C2714&amp;"|"&amp;$I2714</f>
        <v/>
      </c>
    </row>
    <row r="2715">
      <c r="A2715" s="36" t="n">
        <v>46175</v>
      </c>
      <c r="B2715" t="inlineStr">
        <is>
          <t>Terça</t>
        </is>
      </c>
      <c r="C2715" t="inlineStr">
        <is>
          <t>CT João Canzi</t>
        </is>
      </c>
      <c r="D2715" t="inlineStr">
        <is>
          <t>Valmir</t>
        </is>
      </c>
      <c r="E2715" t="inlineStr">
        <is>
          <t>Cidão</t>
        </is>
      </c>
      <c r="F2715" t="inlineStr">
        <is>
          <t>Transformação PV 15</t>
        </is>
      </c>
      <c r="G2715" t="inlineStr">
        <is>
          <t>15</t>
        </is>
      </c>
      <c r="I2715" t="inlineStr">
        <is>
          <t>15</t>
        </is>
      </c>
      <c r="J2715" t="inlineStr">
        <is>
          <t>Transformação</t>
        </is>
      </c>
      <c r="K2715" t="inlineStr">
        <is>
          <t>Planejamento</t>
        </is>
      </c>
      <c r="L2715" t="inlineStr">
        <is>
          <t>PDS-Junho.docx</t>
        </is>
      </c>
      <c r="M2715">
        <f>IF($A2715="","",TEXT($A2715,"mmmm/yyyy"))</f>
        <v/>
      </c>
      <c r="P2715">
        <f>IFERROR(XLOOKUP($N2715,Base_Enderecos!$A:$A,Base_Enderecos!$B:$B,""),"")</f>
        <v/>
      </c>
      <c r="Q2715">
        <f>IFERROR(XLOOKUP($N2715,Base_Enderecos!$A:$A,Base_Enderecos!$C:$C,""),"")</f>
        <v/>
      </c>
      <c r="R2715">
        <f>IF(ISNUMBER(SEARCH("HDD",$F2715)),"HDD",IF(ISNUMBER(SEARCH("VCA",$F2715)),"VCA","MND"))</f>
        <v/>
      </c>
      <c r="T2715">
        <f>TEXT($A2715,"yyyy-mm")&amp;"|"&amp;$C2715&amp;"|"&amp;$I2715</f>
        <v/>
      </c>
    </row>
    <row r="2716">
      <c r="A2716" s="36" t="n">
        <v>46175</v>
      </c>
      <c r="B2716" t="inlineStr">
        <is>
          <t>Terça</t>
        </is>
      </c>
      <c r="C2716" t="inlineStr">
        <is>
          <t>CT João Canzi</t>
        </is>
      </c>
      <c r="D2716" t="inlineStr">
        <is>
          <t>Valmir</t>
        </is>
      </c>
      <c r="E2716" t="inlineStr">
        <is>
          <t>Márcio</t>
        </is>
      </c>
      <c r="F2716" t="inlineStr">
        <is>
          <t>Transformação PV 09</t>
        </is>
      </c>
      <c r="G2716" t="inlineStr">
        <is>
          <t>09</t>
        </is>
      </c>
      <c r="I2716" t="inlineStr">
        <is>
          <t>09</t>
        </is>
      </c>
      <c r="J2716" t="inlineStr">
        <is>
          <t>Transformação</t>
        </is>
      </c>
      <c r="K2716" t="inlineStr">
        <is>
          <t>Planejamento</t>
        </is>
      </c>
      <c r="L2716" t="inlineStr">
        <is>
          <t>PDS-Junho.docx</t>
        </is>
      </c>
      <c r="M2716">
        <f>IF($A2716="","",TEXT($A2716,"mmmm/yyyy"))</f>
        <v/>
      </c>
      <c r="P2716">
        <f>IFERROR(XLOOKUP($N2716,Base_Enderecos!$A:$A,Base_Enderecos!$B:$B,""),"")</f>
        <v/>
      </c>
      <c r="Q2716">
        <f>IFERROR(XLOOKUP($N2716,Base_Enderecos!$A:$A,Base_Enderecos!$C:$C,""),"")</f>
        <v/>
      </c>
      <c r="R2716">
        <f>IF(ISNUMBER(SEARCH("HDD",$F2716)),"HDD",IF(ISNUMBER(SEARCH("VCA",$F2716)),"VCA","MND"))</f>
        <v/>
      </c>
      <c r="T2716">
        <f>TEXT($A2716,"yyyy-mm")&amp;"|"&amp;$C2716&amp;"|"&amp;$I2716</f>
        <v/>
      </c>
    </row>
    <row r="2717">
      <c r="A2717" s="36" t="n">
        <v>46175</v>
      </c>
      <c r="B2717" t="inlineStr">
        <is>
          <t>Terça</t>
        </is>
      </c>
      <c r="C2717" t="inlineStr">
        <is>
          <t>RCE Elvira</t>
        </is>
      </c>
      <c r="D2717" t="inlineStr">
        <is>
          <t>Silvestre</t>
        </is>
      </c>
      <c r="E2717" t="inlineStr">
        <is>
          <t>Valter</t>
        </is>
      </c>
      <c r="F2717" t="inlineStr">
        <is>
          <t>VCA, PVs e Ligações</t>
        </is>
      </c>
      <c r="J2717" t="inlineStr">
        <is>
          <t>VCA</t>
        </is>
      </c>
      <c r="K2717" t="inlineStr">
        <is>
          <t>Planejamento</t>
        </is>
      </c>
      <c r="L2717" t="inlineStr">
        <is>
          <t>PDS-Junho.docx</t>
        </is>
      </c>
      <c r="M2717">
        <f>IF($A2717="","",TEXT($A2717,"mmmm/yyyy"))</f>
        <v/>
      </c>
      <c r="P2717">
        <f>IFERROR(XLOOKUP($N2717,Base_Enderecos!$A:$A,Base_Enderecos!$B:$B,""),"")</f>
        <v/>
      </c>
      <c r="Q2717">
        <f>IFERROR(XLOOKUP($N2717,Base_Enderecos!$A:$A,Base_Enderecos!$C:$C,""),"")</f>
        <v/>
      </c>
      <c r="R2717">
        <f>IF(ISNUMBER(SEARCH("HDD",$F2717)),"HDD",IF(ISNUMBER(SEARCH("VCA",$F2717)),"VCA","MND"))</f>
        <v/>
      </c>
      <c r="T2717">
        <f>TEXT($A2717,"yyyy-mm")&amp;"|"&amp;$C2717&amp;"|"&amp;$I2717</f>
        <v/>
      </c>
    </row>
    <row r="2718">
      <c r="A2718" s="36" t="n">
        <v>46175</v>
      </c>
      <c r="B2718" t="inlineStr">
        <is>
          <t>Terça</t>
        </is>
      </c>
      <c r="C2718" t="inlineStr">
        <is>
          <t>RCE Conj. União</t>
        </is>
      </c>
      <c r="D2718" t="inlineStr">
        <is>
          <t>Silvestre</t>
        </is>
      </c>
      <c r="E2718" t="inlineStr">
        <is>
          <t>Jonathan</t>
        </is>
      </c>
      <c r="F2718" t="inlineStr">
        <is>
          <t>Transformação PV 40.1</t>
        </is>
      </c>
      <c r="G2718" t="inlineStr">
        <is>
          <t>40.1</t>
        </is>
      </c>
      <c r="I2718" t="inlineStr">
        <is>
          <t>40.1</t>
        </is>
      </c>
      <c r="J2718" t="inlineStr">
        <is>
          <t>Transformação</t>
        </is>
      </c>
      <c r="K2718" t="inlineStr">
        <is>
          <t>Planejamento</t>
        </is>
      </c>
      <c r="L2718" t="inlineStr">
        <is>
          <t>PDS-Junho.docx</t>
        </is>
      </c>
      <c r="M2718">
        <f>IF($A2718="","",TEXT($A2718,"mmmm/yyyy"))</f>
        <v/>
      </c>
      <c r="P2718">
        <f>IFERROR(XLOOKUP($N2718,Base_Enderecos!$A:$A,Base_Enderecos!$B:$B,""),"")</f>
        <v/>
      </c>
      <c r="Q2718">
        <f>IFERROR(XLOOKUP($N2718,Base_Enderecos!$A:$A,Base_Enderecos!$C:$C,""),"")</f>
        <v/>
      </c>
      <c r="R2718">
        <f>IF(ISNUMBER(SEARCH("HDD",$F2718)),"HDD",IF(ISNUMBER(SEARCH("VCA",$F2718)),"VCA","MND"))</f>
        <v/>
      </c>
      <c r="T2718">
        <f>TEXT($A2718,"yyyy-mm")&amp;"|"&amp;$C2718&amp;"|"&amp;$I2718</f>
        <v/>
      </c>
    </row>
    <row r="2719">
      <c r="A2719" s="36" t="n">
        <v>46175</v>
      </c>
      <c r="B2719" t="inlineStr">
        <is>
          <t>Terça</t>
        </is>
      </c>
      <c r="C2719" t="inlineStr">
        <is>
          <t>RCE Elias Sleiman / CT João Canzi</t>
        </is>
      </c>
      <c r="D2719" t="inlineStr">
        <is>
          <t>Silvestre</t>
        </is>
      </c>
      <c r="E2719" t="inlineStr">
        <is>
          <t>Edvando</t>
        </is>
      </c>
      <c r="F2719" t="inlineStr">
        <is>
          <t>VCA + interl PV 17 ao PV 22</t>
        </is>
      </c>
      <c r="G2719" t="inlineStr">
        <is>
          <t>17</t>
        </is>
      </c>
      <c r="H2719" t="inlineStr">
        <is>
          <t>22</t>
        </is>
      </c>
      <c r="I2719" t="inlineStr">
        <is>
          <t>17 ao 22</t>
        </is>
      </c>
      <c r="J2719" t="inlineStr">
        <is>
          <t>VCA</t>
        </is>
      </c>
      <c r="K2719" t="inlineStr">
        <is>
          <t>Planejamento</t>
        </is>
      </c>
      <c r="L2719" t="inlineStr">
        <is>
          <t>PDS-Junho.docx</t>
        </is>
      </c>
      <c r="M2719">
        <f>IF($A2719="","",TEXT($A2719,"mmmm/yyyy"))</f>
        <v/>
      </c>
      <c r="P2719">
        <f>IFERROR(XLOOKUP($N2719,Base_Enderecos!$A:$A,Base_Enderecos!$B:$B,""),"")</f>
        <v/>
      </c>
      <c r="Q2719">
        <f>IFERROR(XLOOKUP($N2719,Base_Enderecos!$A:$A,Base_Enderecos!$C:$C,""),"")</f>
        <v/>
      </c>
      <c r="R2719">
        <f>IF(ISNUMBER(SEARCH("HDD",$F2719)),"HDD",IF(ISNUMBER(SEARCH("VCA",$F2719)),"VCA","MND"))</f>
        <v/>
      </c>
      <c r="T2719">
        <f>TEXT($A2719,"yyyy-mm")&amp;"|"&amp;$C2719&amp;"|"&amp;$I2719</f>
        <v/>
      </c>
    </row>
    <row r="2720">
      <c r="A2720" s="36" t="n">
        <v>46175</v>
      </c>
      <c r="B2720" t="inlineStr">
        <is>
          <t>Terça</t>
        </is>
      </c>
      <c r="C2720" t="inlineStr">
        <is>
          <t>RCE São Lucas</t>
        </is>
      </c>
      <c r="D2720" t="inlineStr">
        <is>
          <t>Fábio</t>
        </is>
      </c>
      <c r="E2720" t="inlineStr">
        <is>
          <t>Ricardo (pi 05 Ao Pi 06)</t>
        </is>
      </c>
      <c r="F2720" t="inlineStr">
        <is>
          <t>VCA, PVs e Ligações</t>
        </is>
      </c>
      <c r="J2720" t="inlineStr">
        <is>
          <t>VCA</t>
        </is>
      </c>
      <c r="K2720" t="inlineStr">
        <is>
          <t>Planejamento</t>
        </is>
      </c>
      <c r="L2720" t="inlineStr">
        <is>
          <t>PDS-Junho.docx</t>
        </is>
      </c>
      <c r="M2720">
        <f>IF($A2720="","",TEXT($A2720,"mmmm/yyyy"))</f>
        <v/>
      </c>
      <c r="P2720">
        <f>IFERROR(XLOOKUP($N2720,Base_Enderecos!$A:$A,Base_Enderecos!$B:$B,""),"")</f>
        <v/>
      </c>
      <c r="Q2720">
        <f>IFERROR(XLOOKUP($N2720,Base_Enderecos!$A:$A,Base_Enderecos!$C:$C,""),"")</f>
        <v/>
      </c>
      <c r="R2720">
        <f>IF(ISNUMBER(SEARCH("HDD",$F2720)),"HDD",IF(ISNUMBER(SEARCH("VCA",$F2720)),"VCA","MND"))</f>
        <v/>
      </c>
      <c r="T2720">
        <f>TEXT($A2720,"yyyy-mm")&amp;"|"&amp;$C2720&amp;"|"&amp;$I2720</f>
        <v/>
      </c>
    </row>
    <row r="2721">
      <c r="A2721" s="36" t="n">
        <v>46175</v>
      </c>
      <c r="B2721" t="inlineStr">
        <is>
          <t>Terça</t>
        </is>
      </c>
      <c r="C2721" t="inlineStr">
        <is>
          <t>RCE São Lucas</t>
        </is>
      </c>
      <c r="D2721" t="inlineStr">
        <is>
          <t>Fábio</t>
        </is>
      </c>
      <c r="E2721" t="inlineStr">
        <is>
          <t>Claudinei (pi 37 Ao Pi 38)</t>
        </is>
      </c>
      <c r="F2721" t="inlineStr">
        <is>
          <t>VCA, PVs e Ligações</t>
        </is>
      </c>
      <c r="J2721" t="inlineStr">
        <is>
          <t>VCA</t>
        </is>
      </c>
      <c r="K2721" t="inlineStr">
        <is>
          <t>Planejamento</t>
        </is>
      </c>
      <c r="L2721" t="inlineStr">
        <is>
          <t>PDS-Junho.docx</t>
        </is>
      </c>
      <c r="M2721">
        <f>IF($A2721="","",TEXT($A2721,"mmmm/yyyy"))</f>
        <v/>
      </c>
      <c r="P2721">
        <f>IFERROR(XLOOKUP($N2721,Base_Enderecos!$A:$A,Base_Enderecos!$B:$B,""),"")</f>
        <v/>
      </c>
      <c r="Q2721">
        <f>IFERROR(XLOOKUP($N2721,Base_Enderecos!$A:$A,Base_Enderecos!$C:$C,""),"")</f>
        <v/>
      </c>
      <c r="R2721">
        <f>IF(ISNUMBER(SEARCH("HDD",$F2721)),"HDD",IF(ISNUMBER(SEARCH("VCA",$F2721)),"VCA","MND"))</f>
        <v/>
      </c>
      <c r="T2721">
        <f>TEXT($A2721,"yyyy-mm")&amp;"|"&amp;$C2721&amp;"|"&amp;$I2721</f>
        <v/>
      </c>
    </row>
    <row r="2722">
      <c r="A2722" s="36" t="n">
        <v>46175</v>
      </c>
      <c r="B2722" t="inlineStr">
        <is>
          <t>Terça</t>
        </is>
      </c>
      <c r="C2722" t="inlineStr">
        <is>
          <t>RCE São Lucas</t>
        </is>
      </c>
      <c r="D2722" t="inlineStr">
        <is>
          <t>Fábio</t>
        </is>
      </c>
      <c r="E2722" t="inlineStr">
        <is>
          <t>Miro</t>
        </is>
      </c>
      <c r="F2722" t="inlineStr">
        <is>
          <t>VCA, PVs e Ligações; (PI 32 ao PI 60)</t>
        </is>
      </c>
      <c r="G2722" t="inlineStr">
        <is>
          <t>32</t>
        </is>
      </c>
      <c r="H2722" t="inlineStr">
        <is>
          <t>60</t>
        </is>
      </c>
      <c r="I2722" t="inlineStr">
        <is>
          <t>32 ao 60</t>
        </is>
      </c>
      <c r="J2722" t="inlineStr">
        <is>
          <t>VCA</t>
        </is>
      </c>
      <c r="K2722" t="inlineStr">
        <is>
          <t>Planejamento</t>
        </is>
      </c>
      <c r="L2722" t="inlineStr">
        <is>
          <t>PDS-Junho.docx</t>
        </is>
      </c>
      <c r="M2722">
        <f>IF($A2722="","",TEXT($A2722,"mmmm/yyyy"))</f>
        <v/>
      </c>
      <c r="P2722">
        <f>IFERROR(XLOOKUP($N2722,Base_Enderecos!$A:$A,Base_Enderecos!$B:$B,""),"")</f>
        <v/>
      </c>
      <c r="Q2722">
        <f>IFERROR(XLOOKUP($N2722,Base_Enderecos!$A:$A,Base_Enderecos!$C:$C,""),"")</f>
        <v/>
      </c>
      <c r="R2722">
        <f>IF(ISNUMBER(SEARCH("HDD",$F2722)),"HDD",IF(ISNUMBER(SEARCH("VCA",$F2722)),"VCA","MND"))</f>
        <v/>
      </c>
      <c r="T2722">
        <f>TEXT($A2722,"yyyy-mm")&amp;"|"&amp;$C2722&amp;"|"&amp;$I2722</f>
        <v/>
      </c>
    </row>
    <row r="2723">
      <c r="A2723" s="36" t="n">
        <v>46175</v>
      </c>
      <c r="B2723" t="inlineStr">
        <is>
          <t>Terça</t>
        </is>
      </c>
      <c r="C2723" t="inlineStr">
        <is>
          <t>RCE São Lucas</t>
        </is>
      </c>
      <c r="D2723" t="inlineStr">
        <is>
          <t>Fábio</t>
        </is>
      </c>
      <c r="E2723" t="inlineStr">
        <is>
          <t>Emanuel</t>
        </is>
      </c>
      <c r="F2723" t="inlineStr">
        <is>
          <t>VCA, PVs e Ligações; (PI 32 ao PI 60)</t>
        </is>
      </c>
      <c r="G2723" t="inlineStr">
        <is>
          <t>32</t>
        </is>
      </c>
      <c r="H2723" t="inlineStr">
        <is>
          <t>60</t>
        </is>
      </c>
      <c r="I2723" t="inlineStr">
        <is>
          <t>32 ao 60</t>
        </is>
      </c>
      <c r="J2723" t="inlineStr">
        <is>
          <t>VCA</t>
        </is>
      </c>
      <c r="K2723" t="inlineStr">
        <is>
          <t>Planejamento</t>
        </is>
      </c>
      <c r="L2723" t="inlineStr">
        <is>
          <t>PDS-Junho.docx</t>
        </is>
      </c>
      <c r="M2723">
        <f>IF($A2723="","",TEXT($A2723,"mmmm/yyyy"))</f>
        <v/>
      </c>
      <c r="P2723">
        <f>IFERROR(XLOOKUP($N2723,Base_Enderecos!$A:$A,Base_Enderecos!$B:$B,""),"")</f>
        <v/>
      </c>
      <c r="Q2723">
        <f>IFERROR(XLOOKUP($N2723,Base_Enderecos!$A:$A,Base_Enderecos!$C:$C,""),"")</f>
        <v/>
      </c>
      <c r="R2723">
        <f>IF(ISNUMBER(SEARCH("HDD",$F2723)),"HDD",IF(ISNUMBER(SEARCH("VCA",$F2723)),"VCA","MND"))</f>
        <v/>
      </c>
      <c r="T2723">
        <f>TEXT($A2723,"yyyy-mm")&amp;"|"&amp;$C2723&amp;"|"&amp;$I2723</f>
        <v/>
      </c>
    </row>
    <row r="2724">
      <c r="A2724" s="36" t="n">
        <v>46175</v>
      </c>
      <c r="B2724" t="inlineStr">
        <is>
          <t>Terça</t>
        </is>
      </c>
      <c r="C2724" t="inlineStr">
        <is>
          <t>RCE Rua São João</t>
        </is>
      </c>
      <c r="D2724" t="inlineStr">
        <is>
          <t>Fábio</t>
        </is>
      </c>
      <c r="E2724" t="inlineStr">
        <is>
          <t>Antonio (pv 02 Ao Pi 04)*</t>
        </is>
      </c>
      <c r="F2724" t="inlineStr">
        <is>
          <t>VCA, PVs e Ligações</t>
        </is>
      </c>
      <c r="J2724" t="inlineStr">
        <is>
          <t>VCA</t>
        </is>
      </c>
      <c r="K2724" t="inlineStr">
        <is>
          <t>Planejamento</t>
        </is>
      </c>
      <c r="L2724" t="inlineStr">
        <is>
          <t>PDS-Junho.docx</t>
        </is>
      </c>
      <c r="M2724">
        <f>IF($A2724="","",TEXT($A2724,"mmmm/yyyy"))</f>
        <v/>
      </c>
      <c r="P2724">
        <f>IFERROR(XLOOKUP($N2724,Base_Enderecos!$A:$A,Base_Enderecos!$B:$B,""),"")</f>
        <v/>
      </c>
      <c r="Q2724">
        <f>IFERROR(XLOOKUP($N2724,Base_Enderecos!$A:$A,Base_Enderecos!$C:$C,""),"")</f>
        <v/>
      </c>
      <c r="R2724">
        <f>IF(ISNUMBER(SEARCH("HDD",$F2724)),"HDD",IF(ISNUMBER(SEARCH("VCA",$F2724)),"VCA","MND"))</f>
        <v/>
      </c>
      <c r="T2724">
        <f>TEXT($A2724,"yyyy-mm")&amp;"|"&amp;$C2724&amp;"|"&amp;$I2724</f>
        <v/>
      </c>
    </row>
    <row r="2725">
      <c r="A2725" s="36" t="n">
        <v>46175</v>
      </c>
      <c r="B2725" t="inlineStr">
        <is>
          <t>Terça</t>
        </is>
      </c>
      <c r="C2725" t="inlineStr">
        <is>
          <t>CTS Lourdes Complementar</t>
        </is>
      </c>
      <c r="D2725" t="inlineStr">
        <is>
          <t>Robson</t>
        </is>
      </c>
      <c r="E2725" t="inlineStr">
        <is>
          <t>Cesar</t>
        </is>
      </c>
      <c r="F2725" t="inlineStr">
        <is>
          <t>Transformação PV 03</t>
        </is>
      </c>
      <c r="G2725" t="inlineStr">
        <is>
          <t>03</t>
        </is>
      </c>
      <c r="I2725" t="inlineStr">
        <is>
          <t>03</t>
        </is>
      </c>
      <c r="J2725" t="inlineStr">
        <is>
          <t>Transformação</t>
        </is>
      </c>
      <c r="K2725" t="inlineStr">
        <is>
          <t>Planejamento</t>
        </is>
      </c>
      <c r="L2725" t="inlineStr">
        <is>
          <t>PDS-Junho.docx</t>
        </is>
      </c>
      <c r="M2725">
        <f>IF($A2725="","",TEXT($A2725,"mmmm/yyyy"))</f>
        <v/>
      </c>
      <c r="P2725">
        <f>IFERROR(XLOOKUP($N2725,Base_Enderecos!$A:$A,Base_Enderecos!$B:$B,""),"")</f>
        <v/>
      </c>
      <c r="Q2725">
        <f>IFERROR(XLOOKUP($N2725,Base_Enderecos!$A:$A,Base_Enderecos!$C:$C,""),"")</f>
        <v/>
      </c>
      <c r="R2725">
        <f>IF(ISNUMBER(SEARCH("HDD",$F2725)),"HDD",IF(ISNUMBER(SEARCH("VCA",$F2725)),"VCA","MND"))</f>
        <v/>
      </c>
      <c r="T2725">
        <f>TEXT($A2725,"yyyy-mm")&amp;"|"&amp;$C2725&amp;"|"&amp;$I2725</f>
        <v/>
      </c>
    </row>
    <row r="2726">
      <c r="A2726" s="36" t="n">
        <v>46175</v>
      </c>
      <c r="B2726" t="inlineStr">
        <is>
          <t>Terça</t>
        </is>
      </c>
      <c r="C2726" t="inlineStr">
        <is>
          <t>CTS Lourdes Complementar</t>
        </is>
      </c>
      <c r="D2726" t="inlineStr">
        <is>
          <t>Robson</t>
        </is>
      </c>
      <c r="E2726" t="inlineStr">
        <is>
          <t>Marcelo</t>
        </is>
      </c>
      <c r="F2726" t="inlineStr">
        <is>
          <t>Transformação PV 04</t>
        </is>
      </c>
      <c r="G2726" t="inlineStr">
        <is>
          <t>04</t>
        </is>
      </c>
      <c r="I2726" t="inlineStr">
        <is>
          <t>04</t>
        </is>
      </c>
      <c r="J2726" t="inlineStr">
        <is>
          <t>Transformação</t>
        </is>
      </c>
      <c r="K2726" t="inlineStr">
        <is>
          <t>Planejamento</t>
        </is>
      </c>
      <c r="L2726" t="inlineStr">
        <is>
          <t>PDS-Junho.docx</t>
        </is>
      </c>
      <c r="M2726">
        <f>IF($A2726="","",TEXT($A2726,"mmmm/yyyy"))</f>
        <v/>
      </c>
      <c r="P2726">
        <f>IFERROR(XLOOKUP($N2726,Base_Enderecos!$A:$A,Base_Enderecos!$B:$B,""),"")</f>
        <v/>
      </c>
      <c r="Q2726">
        <f>IFERROR(XLOOKUP($N2726,Base_Enderecos!$A:$A,Base_Enderecos!$C:$C,""),"")</f>
        <v/>
      </c>
      <c r="R2726">
        <f>IF(ISNUMBER(SEARCH("HDD",$F2726)),"HDD",IF(ISNUMBER(SEARCH("VCA",$F2726)),"VCA","MND"))</f>
        <v/>
      </c>
      <c r="T2726">
        <f>TEXT($A2726,"yyyy-mm")&amp;"|"&amp;$C2726&amp;"|"&amp;$I2726</f>
        <v/>
      </c>
    </row>
    <row r="2727">
      <c r="A2727" s="36" t="n">
        <v>46175</v>
      </c>
      <c r="B2727" t="inlineStr">
        <is>
          <t>Terça</t>
        </is>
      </c>
      <c r="C2727" t="inlineStr">
        <is>
          <t>João Canzi</t>
        </is>
      </c>
      <c r="E2727" t="inlineStr">
        <is>
          <t>Vacal</t>
        </is>
      </c>
      <c r="F2727" t="inlineStr">
        <is>
          <t>João Canzi – Henko (Wellington/Thiago)</t>
        </is>
      </c>
      <c r="J2727" t="inlineStr">
        <is>
          <t>Atividade</t>
        </is>
      </c>
      <c r="K2727" t="inlineStr">
        <is>
          <t>Apoio</t>
        </is>
      </c>
      <c r="L2727" t="inlineStr">
        <is>
          <t>PDS-Junho.docx</t>
        </is>
      </c>
      <c r="M2727">
        <f>IF($A2727="","",TEXT($A2727,"mmmm/yyyy"))</f>
        <v/>
      </c>
      <c r="P2727">
        <f>IFERROR(XLOOKUP($N2727,Base_Enderecos!$A:$A,Base_Enderecos!$B:$B,""),"")</f>
        <v/>
      </c>
      <c r="Q2727">
        <f>IFERROR(XLOOKUP($N2727,Base_Enderecos!$A:$A,Base_Enderecos!$C:$C,""),"")</f>
        <v/>
      </c>
      <c r="R2727">
        <f>IF(ISNUMBER(SEARCH("HDD",$F2727)),"HDD",IF(ISNUMBER(SEARCH("VCA",$F2727)),"VCA","MND"))</f>
        <v/>
      </c>
      <c r="T2727">
        <f>TEXT($A2727,"yyyy-mm")&amp;"|"&amp;$C2727&amp;"|"&amp;$I2727</f>
        <v/>
      </c>
    </row>
    <row r="2728">
      <c r="A2728" s="36" t="n">
        <v>46175</v>
      </c>
      <c r="B2728" t="inlineStr">
        <is>
          <t>Terça</t>
        </is>
      </c>
      <c r="C2728" t="inlineStr">
        <is>
          <t>João Canzi</t>
        </is>
      </c>
      <c r="E2728" t="inlineStr">
        <is>
          <t>Vacal</t>
        </is>
      </c>
      <c r="F2728" t="inlineStr">
        <is>
          <t>João Canzi – Renasce (Raimundo)</t>
        </is>
      </c>
      <c r="J2728" t="inlineStr">
        <is>
          <t>Atividade</t>
        </is>
      </c>
      <c r="K2728" t="inlineStr">
        <is>
          <t>Apoio</t>
        </is>
      </c>
      <c r="L2728" t="inlineStr">
        <is>
          <t>PDS-Junho.docx</t>
        </is>
      </c>
      <c r="M2728">
        <f>IF($A2728="","",TEXT($A2728,"mmmm/yyyy"))</f>
        <v/>
      </c>
      <c r="P2728">
        <f>IFERROR(XLOOKUP($N2728,Base_Enderecos!$A:$A,Base_Enderecos!$B:$B,""),"")</f>
        <v/>
      </c>
      <c r="Q2728">
        <f>IFERROR(XLOOKUP($N2728,Base_Enderecos!$A:$A,Base_Enderecos!$C:$C,""),"")</f>
        <v/>
      </c>
      <c r="R2728">
        <f>IF(ISNUMBER(SEARCH("HDD",$F2728)),"HDD",IF(ISNUMBER(SEARCH("VCA",$F2728)),"VCA","MND"))</f>
        <v/>
      </c>
      <c r="T2728">
        <f>TEXT($A2728,"yyyy-mm")&amp;"|"&amp;$C2728&amp;"|"&amp;$I2728</f>
        <v/>
      </c>
    </row>
    <row r="2729">
      <c r="A2729" s="36" t="n">
        <v>46175</v>
      </c>
      <c r="B2729" t="inlineStr">
        <is>
          <t>Terça</t>
        </is>
      </c>
      <c r="C2729" t="inlineStr">
        <is>
          <t>João Canzi</t>
        </is>
      </c>
      <c r="E2729" t="inlineStr">
        <is>
          <t>Vacal</t>
        </is>
      </c>
      <c r="F2729" t="inlineStr">
        <is>
          <t>João Canzi – Hidrosol (Jonathan)</t>
        </is>
      </c>
      <c r="J2729" t="inlineStr">
        <is>
          <t>Atividade</t>
        </is>
      </c>
      <c r="K2729" t="inlineStr">
        <is>
          <t>Apoio</t>
        </is>
      </c>
      <c r="L2729" t="inlineStr">
        <is>
          <t>PDS-Junho.docx</t>
        </is>
      </c>
      <c r="M2729">
        <f>IF($A2729="","",TEXT($A2729,"mmmm/yyyy"))</f>
        <v/>
      </c>
      <c r="P2729">
        <f>IFERROR(XLOOKUP($N2729,Base_Enderecos!$A:$A,Base_Enderecos!$B:$B,""),"")</f>
        <v/>
      </c>
      <c r="Q2729">
        <f>IFERROR(XLOOKUP($N2729,Base_Enderecos!$A:$A,Base_Enderecos!$C:$C,""),"")</f>
        <v/>
      </c>
      <c r="R2729">
        <f>IF(ISNUMBER(SEARCH("HDD",$F2729)),"HDD",IF(ISNUMBER(SEARCH("VCA",$F2729)),"VCA","MND"))</f>
        <v/>
      </c>
      <c r="T2729">
        <f>TEXT($A2729,"yyyy-mm")&amp;"|"&amp;$C2729&amp;"|"&amp;$I2729</f>
        <v/>
      </c>
    </row>
    <row r="2730">
      <c r="A2730" s="36" t="n">
        <v>46175</v>
      </c>
      <c r="B2730" t="inlineStr">
        <is>
          <t>Terça</t>
        </is>
      </c>
      <c r="C2730" t="inlineStr">
        <is>
          <t>Lourdes</t>
        </is>
      </c>
      <c r="E2730" t="inlineStr">
        <is>
          <t>Vacal</t>
        </is>
      </c>
      <c r="F2730" t="inlineStr">
        <is>
          <t>Lourdes – Henko (Marcio)</t>
        </is>
      </c>
      <c r="J2730" t="inlineStr">
        <is>
          <t>Atividade</t>
        </is>
      </c>
      <c r="K2730" t="inlineStr">
        <is>
          <t>Apoio</t>
        </is>
      </c>
      <c r="L2730" t="inlineStr">
        <is>
          <t>PDS-Junho.docx</t>
        </is>
      </c>
      <c r="M2730">
        <f>IF($A2730="","",TEXT($A2730,"mmmm/yyyy"))</f>
        <v/>
      </c>
      <c r="P2730">
        <f>IFERROR(XLOOKUP($N2730,Base_Enderecos!$A:$A,Base_Enderecos!$B:$B,""),"")</f>
        <v/>
      </c>
      <c r="Q2730">
        <f>IFERROR(XLOOKUP($N2730,Base_Enderecos!$A:$A,Base_Enderecos!$C:$C,""),"")</f>
        <v/>
      </c>
      <c r="R2730">
        <f>IF(ISNUMBER(SEARCH("HDD",$F2730)),"HDD",IF(ISNUMBER(SEARCH("VCA",$F2730)),"VCA","MND"))</f>
        <v/>
      </c>
      <c r="T2730">
        <f>TEXT($A2730,"yyyy-mm")&amp;"|"&amp;$C2730&amp;"|"&amp;$I2730</f>
        <v/>
      </c>
    </row>
    <row r="2731">
      <c r="A2731" s="36" t="n">
        <v>46175</v>
      </c>
      <c r="B2731" t="inlineStr">
        <is>
          <t>Terça</t>
        </is>
      </c>
      <c r="C2731" t="inlineStr">
        <is>
          <t>Iti 15</t>
        </is>
      </c>
      <c r="E2731" t="inlineStr">
        <is>
          <t>Vacal</t>
        </is>
      </c>
      <c r="F2731" t="inlineStr">
        <is>
          <t>ITI 15 – Henko (Osmar)</t>
        </is>
      </c>
      <c r="J2731" t="inlineStr">
        <is>
          <t>Atividade</t>
        </is>
      </c>
      <c r="K2731" t="inlineStr">
        <is>
          <t>Apoio</t>
        </is>
      </c>
      <c r="L2731" t="inlineStr">
        <is>
          <t>PDS-Junho.docx</t>
        </is>
      </c>
      <c r="M2731">
        <f>IF($A2731="","",TEXT($A2731,"mmmm/yyyy"))</f>
        <v/>
      </c>
      <c r="P2731">
        <f>IFERROR(XLOOKUP($N2731,Base_Enderecos!$A:$A,Base_Enderecos!$B:$B,""),"")</f>
        <v/>
      </c>
      <c r="Q2731">
        <f>IFERROR(XLOOKUP($N2731,Base_Enderecos!$A:$A,Base_Enderecos!$C:$C,""),"")</f>
        <v/>
      </c>
      <c r="R2731">
        <f>IF(ISNUMBER(SEARCH("HDD",$F2731)),"HDD",IF(ISNUMBER(SEARCH("VCA",$F2731)),"VCA","MND"))</f>
        <v/>
      </c>
      <c r="T2731">
        <f>TEXT($A2731,"yyyy-mm")&amp;"|"&amp;$C2731&amp;"|"&amp;$I2731</f>
        <v/>
      </c>
    </row>
    <row r="2732">
      <c r="A2732" s="36" t="n">
        <v>46175</v>
      </c>
      <c r="B2732" t="inlineStr">
        <is>
          <t>Terça</t>
        </is>
      </c>
      <c r="C2732" t="inlineStr">
        <is>
          <t>Guindauto</t>
        </is>
      </c>
      <c r="E2732" t="inlineStr">
        <is>
          <t>Guindauto</t>
        </is>
      </c>
      <c r="F2732" t="inlineStr">
        <is>
          <t>Marcio - Apoio as equipes</t>
        </is>
      </c>
      <c r="J2732" t="inlineStr">
        <is>
          <t>Atividade</t>
        </is>
      </c>
      <c r="K2732" t="inlineStr">
        <is>
          <t>Apoio</t>
        </is>
      </c>
      <c r="L2732" t="inlineStr">
        <is>
          <t>PDS-Junho.docx</t>
        </is>
      </c>
      <c r="M2732">
        <f>IF($A2732="","",TEXT($A2732,"mmmm/yyyy"))</f>
        <v/>
      </c>
      <c r="P2732">
        <f>IFERROR(XLOOKUP($N2732,Base_Enderecos!$A:$A,Base_Enderecos!$B:$B,""),"")</f>
        <v/>
      </c>
      <c r="Q2732">
        <f>IFERROR(XLOOKUP($N2732,Base_Enderecos!$A:$A,Base_Enderecos!$C:$C,""),"")</f>
        <v/>
      </c>
      <c r="R2732">
        <f>IF(ISNUMBER(SEARCH("HDD",$F2732)),"HDD",IF(ISNUMBER(SEARCH("VCA",$F2732)),"VCA","MND"))</f>
        <v/>
      </c>
      <c r="T2732">
        <f>TEXT($A2732,"yyyy-mm")&amp;"|"&amp;$C2732&amp;"|"&amp;$I2732</f>
        <v/>
      </c>
    </row>
    <row r="2733">
      <c r="A2733" s="36" t="n">
        <v>46175</v>
      </c>
      <c r="B2733" t="inlineStr">
        <is>
          <t>Terça</t>
        </is>
      </c>
      <c r="C2733" t="inlineStr">
        <is>
          <t>Guindauto</t>
        </is>
      </c>
      <c r="E2733" t="inlineStr">
        <is>
          <t>Guindauto</t>
        </is>
      </c>
      <c r="F2733" t="inlineStr">
        <is>
          <t>Luiz - Apoio as equipes</t>
        </is>
      </c>
      <c r="J2733" t="inlineStr">
        <is>
          <t>Atividade</t>
        </is>
      </c>
      <c r="K2733" t="inlineStr">
        <is>
          <t>Apoio</t>
        </is>
      </c>
      <c r="L2733" t="inlineStr">
        <is>
          <t>PDS-Junho.docx</t>
        </is>
      </c>
      <c r="M2733">
        <f>IF($A2733="","",TEXT($A2733,"mmmm/yyyy"))</f>
        <v/>
      </c>
      <c r="P2733">
        <f>IFERROR(XLOOKUP($N2733,Base_Enderecos!$A:$A,Base_Enderecos!$B:$B,""),"")</f>
        <v/>
      </c>
      <c r="Q2733">
        <f>IFERROR(XLOOKUP($N2733,Base_Enderecos!$A:$A,Base_Enderecos!$C:$C,""),"")</f>
        <v/>
      </c>
      <c r="R2733">
        <f>IF(ISNUMBER(SEARCH("HDD",$F2733)),"HDD",IF(ISNUMBER(SEARCH("VCA",$F2733)),"VCA","MND"))</f>
        <v/>
      </c>
      <c r="T2733">
        <f>TEXT($A2733,"yyyy-mm")&amp;"|"&amp;$C2733&amp;"|"&amp;$I2733</f>
        <v/>
      </c>
    </row>
    <row r="2734">
      <c r="A2734" s="36" t="n">
        <v>46176</v>
      </c>
      <c r="B2734" t="inlineStr">
        <is>
          <t>Quarta</t>
        </is>
      </c>
      <c r="C2734" t="inlineStr">
        <is>
          <t>CT João Canzi</t>
        </is>
      </c>
      <c r="D2734" t="inlineStr">
        <is>
          <t>Valmir</t>
        </is>
      </c>
      <c r="E2734" t="inlineStr">
        <is>
          <t>Goiânia Drill</t>
        </is>
      </c>
      <c r="F2734" t="inlineStr">
        <is>
          <t>Puxe do PV-16 ao PV-17</t>
        </is>
      </c>
      <c r="G2734" t="inlineStr">
        <is>
          <t>16</t>
        </is>
      </c>
      <c r="H2734" t="inlineStr">
        <is>
          <t>17</t>
        </is>
      </c>
      <c r="I2734" t="inlineStr">
        <is>
          <t>16 ao 17</t>
        </is>
      </c>
      <c r="J2734" t="inlineStr">
        <is>
          <t>HDD</t>
        </is>
      </c>
      <c r="K2734" t="inlineStr">
        <is>
          <t>Planejamento</t>
        </is>
      </c>
      <c r="L2734" t="inlineStr">
        <is>
          <t>pds_colado_2026-06-03_a_2026-06-08.txt</t>
        </is>
      </c>
      <c r="M2734">
        <f>IF($A2734="","",TEXT($A2734,"mmmm/yyyy"))</f>
        <v/>
      </c>
      <c r="P2734">
        <f>IFERROR(XLOOKUP($N2734,Base_Enderecos!$A:$A,Base_Enderecos!$B:$B,""),"")</f>
        <v/>
      </c>
      <c r="Q2734">
        <f>IFERROR(XLOOKUP($N2734,Base_Enderecos!$A:$A,Base_Enderecos!$C:$C,""),"")</f>
        <v/>
      </c>
      <c r="R2734">
        <f>IF(ISNUMBER(SEARCH("HDD",$F2734)),"HDD",IF(ISNUMBER(SEARCH("VCA",$F2734)),"VCA","MND"))</f>
        <v/>
      </c>
      <c r="T2734">
        <f>TEXT($A2734,"yyyy-mm")&amp;"|"&amp;$C2734&amp;"|"&amp;$I2734</f>
        <v/>
      </c>
    </row>
    <row r="2735">
      <c r="A2735" s="36" t="n">
        <v>46176</v>
      </c>
      <c r="B2735" t="inlineStr">
        <is>
          <t>Quarta</t>
        </is>
      </c>
      <c r="C2735" t="inlineStr">
        <is>
          <t>CT João Canzi</t>
        </is>
      </c>
      <c r="D2735" t="inlineStr">
        <is>
          <t>Valmir</t>
        </is>
      </c>
      <c r="E2735" t="inlineStr">
        <is>
          <t>Bruno</t>
        </is>
      </c>
      <c r="F2735" t="inlineStr">
        <is>
          <t>Apoio ao HDD</t>
        </is>
      </c>
      <c r="J2735" t="inlineStr">
        <is>
          <t>HDD</t>
        </is>
      </c>
      <c r="K2735" t="inlineStr">
        <is>
          <t>Planejamento</t>
        </is>
      </c>
      <c r="L2735" t="inlineStr">
        <is>
          <t>pds_colado_2026-06-03_a_2026-06-08.txt</t>
        </is>
      </c>
      <c r="M2735">
        <f>IF($A2735="","",TEXT($A2735,"mmmm/yyyy"))</f>
        <v/>
      </c>
      <c r="P2735">
        <f>IFERROR(XLOOKUP($N2735,Base_Enderecos!$A:$A,Base_Enderecos!$B:$B,""),"")</f>
        <v/>
      </c>
      <c r="Q2735">
        <f>IFERROR(XLOOKUP($N2735,Base_Enderecos!$A:$A,Base_Enderecos!$C:$C,""),"")</f>
        <v/>
      </c>
      <c r="R2735">
        <f>IF(ISNUMBER(SEARCH("HDD",$F2735)),"HDD",IF(ISNUMBER(SEARCH("VCA",$F2735)),"VCA","MND"))</f>
        <v/>
      </c>
      <c r="T2735">
        <f>TEXT($A2735,"yyyy-mm")&amp;"|"&amp;$C2735&amp;"|"&amp;$I2735</f>
        <v/>
      </c>
    </row>
    <row r="2736">
      <c r="A2736" s="36" t="n">
        <v>46176</v>
      </c>
      <c r="B2736" t="inlineStr">
        <is>
          <t>Quarta</t>
        </is>
      </c>
      <c r="C2736" t="inlineStr">
        <is>
          <t>CT João Canzi</t>
        </is>
      </c>
      <c r="D2736" t="inlineStr">
        <is>
          <t>Valmir</t>
        </is>
      </c>
      <c r="E2736" t="inlineStr">
        <is>
          <t>Medeiros</t>
        </is>
      </c>
      <c r="F2736" t="inlineStr">
        <is>
          <t>Shaft PV 10.1</t>
        </is>
      </c>
      <c r="G2736" t="inlineStr">
        <is>
          <t>10.1</t>
        </is>
      </c>
      <c r="I2736" t="inlineStr">
        <is>
          <t>10.1</t>
        </is>
      </c>
      <c r="J2736" t="inlineStr">
        <is>
          <t>Shaft</t>
        </is>
      </c>
      <c r="K2736" t="inlineStr">
        <is>
          <t>Planejamento</t>
        </is>
      </c>
      <c r="L2736" t="inlineStr">
        <is>
          <t>pds_colado_2026-06-03_a_2026-06-08.txt</t>
        </is>
      </c>
      <c r="M2736">
        <f>IF($A2736="","",TEXT($A2736,"mmmm/yyyy"))</f>
        <v/>
      </c>
      <c r="P2736">
        <f>IFERROR(XLOOKUP($N2736,Base_Enderecos!$A:$A,Base_Enderecos!$B:$B,""),"")</f>
        <v/>
      </c>
      <c r="Q2736">
        <f>IFERROR(XLOOKUP($N2736,Base_Enderecos!$A:$A,Base_Enderecos!$C:$C,""),"")</f>
        <v/>
      </c>
      <c r="R2736">
        <f>IF(ISNUMBER(SEARCH("HDD",$F2736)),"HDD",IF(ISNUMBER(SEARCH("VCA",$F2736)),"VCA","MND"))</f>
        <v/>
      </c>
      <c r="T2736">
        <f>TEXT($A2736,"yyyy-mm")&amp;"|"&amp;$C2736&amp;"|"&amp;$I2736</f>
        <v/>
      </c>
    </row>
    <row r="2737">
      <c r="A2737" s="36" t="n">
        <v>46176</v>
      </c>
      <c r="B2737" t="inlineStr">
        <is>
          <t>Quarta</t>
        </is>
      </c>
      <c r="C2737" t="inlineStr">
        <is>
          <t>CT João Canzi</t>
        </is>
      </c>
      <c r="D2737" t="inlineStr">
        <is>
          <t>Valmir</t>
        </is>
      </c>
      <c r="E2737" t="inlineStr">
        <is>
          <t>Cidão</t>
        </is>
      </c>
      <c r="F2737" t="inlineStr">
        <is>
          <t>Transformação PV 15</t>
        </is>
      </c>
      <c r="G2737" t="inlineStr">
        <is>
          <t>15</t>
        </is>
      </c>
      <c r="I2737" t="inlineStr">
        <is>
          <t>15</t>
        </is>
      </c>
      <c r="J2737" t="inlineStr">
        <is>
          <t>Transformação</t>
        </is>
      </c>
      <c r="K2737" t="inlineStr">
        <is>
          <t>Planejamento</t>
        </is>
      </c>
      <c r="L2737" t="inlineStr">
        <is>
          <t>pds_colado_2026-06-03_a_2026-06-08.txt</t>
        </is>
      </c>
      <c r="M2737">
        <f>IF($A2737="","",TEXT($A2737,"mmmm/yyyy"))</f>
        <v/>
      </c>
      <c r="P2737">
        <f>IFERROR(XLOOKUP($N2737,Base_Enderecos!$A:$A,Base_Enderecos!$B:$B,""),"")</f>
        <v/>
      </c>
      <c r="Q2737">
        <f>IFERROR(XLOOKUP($N2737,Base_Enderecos!$A:$A,Base_Enderecos!$C:$C,""),"")</f>
        <v/>
      </c>
      <c r="R2737">
        <f>IF(ISNUMBER(SEARCH("HDD",$F2737)),"HDD",IF(ISNUMBER(SEARCH("VCA",$F2737)),"VCA","MND"))</f>
        <v/>
      </c>
      <c r="T2737">
        <f>TEXT($A2737,"yyyy-mm")&amp;"|"&amp;$C2737&amp;"|"&amp;$I2737</f>
        <v/>
      </c>
    </row>
    <row r="2738">
      <c r="A2738" s="36" t="n">
        <v>46176</v>
      </c>
      <c r="B2738" t="inlineStr">
        <is>
          <t>Quarta</t>
        </is>
      </c>
      <c r="C2738" t="inlineStr">
        <is>
          <t>CT João Canzi</t>
        </is>
      </c>
      <c r="D2738" t="inlineStr">
        <is>
          <t>Valmir</t>
        </is>
      </c>
      <c r="E2738" t="inlineStr">
        <is>
          <t>Márcio</t>
        </is>
      </c>
      <c r="F2738" t="inlineStr">
        <is>
          <t>Nivelamento BGS</t>
        </is>
      </c>
      <c r="J2738" t="inlineStr">
        <is>
          <t>Atividade</t>
        </is>
      </c>
      <c r="K2738" t="inlineStr">
        <is>
          <t>Planejamento</t>
        </is>
      </c>
      <c r="L2738" t="inlineStr">
        <is>
          <t>pds_colado_2026-06-03_a_2026-06-08.txt</t>
        </is>
      </c>
      <c r="M2738">
        <f>IF($A2738="","",TEXT($A2738,"mmmm/yyyy"))</f>
        <v/>
      </c>
      <c r="P2738">
        <f>IFERROR(XLOOKUP($N2738,Base_Enderecos!$A:$A,Base_Enderecos!$B:$B,""),"")</f>
        <v/>
      </c>
      <c r="Q2738">
        <f>IFERROR(XLOOKUP($N2738,Base_Enderecos!$A:$A,Base_Enderecos!$C:$C,""),"")</f>
        <v/>
      </c>
      <c r="R2738">
        <f>IF(ISNUMBER(SEARCH("HDD",$F2738)),"HDD",IF(ISNUMBER(SEARCH("VCA",$F2738)),"VCA","MND"))</f>
        <v/>
      </c>
      <c r="T2738">
        <f>TEXT($A2738,"yyyy-mm")&amp;"|"&amp;$C2738&amp;"|"&amp;$I2738</f>
        <v/>
      </c>
    </row>
    <row r="2739">
      <c r="A2739" s="36" t="n">
        <v>46176</v>
      </c>
      <c r="B2739" t="inlineStr">
        <is>
          <t>Quarta</t>
        </is>
      </c>
      <c r="C2739" t="inlineStr">
        <is>
          <t>RCE Elvira</t>
        </is>
      </c>
      <c r="D2739" t="inlineStr">
        <is>
          <t>Silvestre</t>
        </is>
      </c>
      <c r="E2739" t="inlineStr">
        <is>
          <t>Valter</t>
        </is>
      </c>
      <c r="F2739" t="inlineStr">
        <is>
          <t>VCA, PVs e Ligações</t>
        </is>
      </c>
      <c r="J2739" t="inlineStr">
        <is>
          <t>VCA</t>
        </is>
      </c>
      <c r="K2739" t="inlineStr">
        <is>
          <t>Planejamento</t>
        </is>
      </c>
      <c r="L2739" t="inlineStr">
        <is>
          <t>pds_colado_2026-06-03_a_2026-06-08.txt</t>
        </is>
      </c>
      <c r="M2739">
        <f>IF($A2739="","",TEXT($A2739,"mmmm/yyyy"))</f>
        <v/>
      </c>
      <c r="P2739">
        <f>IFERROR(XLOOKUP($N2739,Base_Enderecos!$A:$A,Base_Enderecos!$B:$B,""),"")</f>
        <v/>
      </c>
      <c r="Q2739">
        <f>IFERROR(XLOOKUP($N2739,Base_Enderecos!$A:$A,Base_Enderecos!$C:$C,""),"")</f>
        <v/>
      </c>
      <c r="R2739">
        <f>IF(ISNUMBER(SEARCH("HDD",$F2739)),"HDD",IF(ISNUMBER(SEARCH("VCA",$F2739)),"VCA","MND"))</f>
        <v/>
      </c>
      <c r="T2739">
        <f>TEXT($A2739,"yyyy-mm")&amp;"|"&amp;$C2739&amp;"|"&amp;$I2739</f>
        <v/>
      </c>
    </row>
    <row r="2740">
      <c r="A2740" s="36" t="n">
        <v>46176</v>
      </c>
      <c r="B2740" t="inlineStr">
        <is>
          <t>Quarta</t>
        </is>
      </c>
      <c r="C2740" t="inlineStr">
        <is>
          <t>RCE Conj. União</t>
        </is>
      </c>
      <c r="D2740" t="inlineStr">
        <is>
          <t>Silvestre</t>
        </is>
      </c>
      <c r="E2740" t="inlineStr">
        <is>
          <t>Jonathan</t>
        </is>
      </c>
      <c r="F2740" t="inlineStr">
        <is>
          <t>Transformação PV 40.1</t>
        </is>
      </c>
      <c r="G2740" t="inlineStr">
        <is>
          <t>40.1</t>
        </is>
      </c>
      <c r="I2740" t="inlineStr">
        <is>
          <t>40.1</t>
        </is>
      </c>
      <c r="J2740" t="inlineStr">
        <is>
          <t>Transformação</t>
        </is>
      </c>
      <c r="K2740" t="inlineStr">
        <is>
          <t>Planejamento</t>
        </is>
      </c>
      <c r="L2740" t="inlineStr">
        <is>
          <t>pds_colado_2026-06-03_a_2026-06-08.txt</t>
        </is>
      </c>
      <c r="M2740">
        <f>IF($A2740="","",TEXT($A2740,"mmmm/yyyy"))</f>
        <v/>
      </c>
      <c r="P2740">
        <f>IFERROR(XLOOKUP($N2740,Base_Enderecos!$A:$A,Base_Enderecos!$B:$B,""),"")</f>
        <v/>
      </c>
      <c r="Q2740">
        <f>IFERROR(XLOOKUP($N2740,Base_Enderecos!$A:$A,Base_Enderecos!$C:$C,""),"")</f>
        <v/>
      </c>
      <c r="R2740">
        <f>IF(ISNUMBER(SEARCH("HDD",$F2740)),"HDD",IF(ISNUMBER(SEARCH("VCA",$F2740)),"VCA","MND"))</f>
        <v/>
      </c>
      <c r="T2740">
        <f>TEXT($A2740,"yyyy-mm")&amp;"|"&amp;$C2740&amp;"|"&amp;$I2740</f>
        <v/>
      </c>
    </row>
    <row r="2741">
      <c r="A2741" s="36" t="n">
        <v>46176</v>
      </c>
      <c r="B2741" t="inlineStr">
        <is>
          <t>Quarta</t>
        </is>
      </c>
      <c r="C2741" t="inlineStr">
        <is>
          <t>RCE Elias Sleiman / CT João Canzi</t>
        </is>
      </c>
      <c r="D2741" t="inlineStr">
        <is>
          <t>Silvestre</t>
        </is>
      </c>
      <c r="E2741" t="inlineStr">
        <is>
          <t>Edvando</t>
        </is>
      </c>
      <c r="F2741" t="inlineStr">
        <is>
          <t>VCA + interl PV 17 ao PV 22</t>
        </is>
      </c>
      <c r="G2741" t="inlineStr">
        <is>
          <t>17</t>
        </is>
      </c>
      <c r="H2741" t="inlineStr">
        <is>
          <t>22</t>
        </is>
      </c>
      <c r="I2741" t="inlineStr">
        <is>
          <t>17 ao 22</t>
        </is>
      </c>
      <c r="J2741" t="inlineStr">
        <is>
          <t>VCA</t>
        </is>
      </c>
      <c r="K2741" t="inlineStr">
        <is>
          <t>Planejamento</t>
        </is>
      </c>
      <c r="L2741" t="inlineStr">
        <is>
          <t>pds_colado_2026-06-03_a_2026-06-08.txt</t>
        </is>
      </c>
      <c r="M2741">
        <f>IF($A2741="","",TEXT($A2741,"mmmm/yyyy"))</f>
        <v/>
      </c>
      <c r="P2741">
        <f>IFERROR(XLOOKUP($N2741,Base_Enderecos!$A:$A,Base_Enderecos!$B:$B,""),"")</f>
        <v/>
      </c>
      <c r="Q2741">
        <f>IFERROR(XLOOKUP($N2741,Base_Enderecos!$A:$A,Base_Enderecos!$C:$C,""),"")</f>
        <v/>
      </c>
      <c r="R2741">
        <f>IF(ISNUMBER(SEARCH("HDD",$F2741)),"HDD",IF(ISNUMBER(SEARCH("VCA",$F2741)),"VCA","MND"))</f>
        <v/>
      </c>
      <c r="T2741">
        <f>TEXT($A2741,"yyyy-mm")&amp;"|"&amp;$C2741&amp;"|"&amp;$I2741</f>
        <v/>
      </c>
    </row>
    <row r="2742">
      <c r="A2742" s="36" t="n">
        <v>46176</v>
      </c>
      <c r="B2742" t="inlineStr">
        <is>
          <t>Quarta</t>
        </is>
      </c>
      <c r="C2742" t="inlineStr">
        <is>
          <t>RCE São Lucas</t>
        </is>
      </c>
      <c r="D2742" t="inlineStr">
        <is>
          <t>Fábio</t>
        </is>
      </c>
      <c r="E2742" t="inlineStr">
        <is>
          <t>Ricardo</t>
        </is>
      </c>
      <c r="F2742" t="inlineStr">
        <is>
          <t>VCA, PVs e Ligações; (PI 08 ao PI 09)</t>
        </is>
      </c>
      <c r="G2742" t="inlineStr">
        <is>
          <t>08</t>
        </is>
      </c>
      <c r="H2742" t="inlineStr">
        <is>
          <t>09</t>
        </is>
      </c>
      <c r="I2742" t="inlineStr">
        <is>
          <t>08 ao 09</t>
        </is>
      </c>
      <c r="J2742" t="inlineStr">
        <is>
          <t>VCA</t>
        </is>
      </c>
      <c r="K2742" t="inlineStr">
        <is>
          <t>Planejamento</t>
        </is>
      </c>
      <c r="L2742" t="inlineStr">
        <is>
          <t>pds_colado_2026-06-03_a_2026-06-08.txt</t>
        </is>
      </c>
      <c r="M2742">
        <f>IF($A2742="","",TEXT($A2742,"mmmm/yyyy"))</f>
        <v/>
      </c>
      <c r="P2742">
        <f>IFERROR(XLOOKUP($N2742,Base_Enderecos!$A:$A,Base_Enderecos!$B:$B,""),"")</f>
        <v/>
      </c>
      <c r="Q2742">
        <f>IFERROR(XLOOKUP($N2742,Base_Enderecos!$A:$A,Base_Enderecos!$C:$C,""),"")</f>
        <v/>
      </c>
      <c r="R2742">
        <f>IF(ISNUMBER(SEARCH("HDD",$F2742)),"HDD",IF(ISNUMBER(SEARCH("VCA",$F2742)),"VCA","MND"))</f>
        <v/>
      </c>
      <c r="T2742">
        <f>TEXT($A2742,"yyyy-mm")&amp;"|"&amp;$C2742&amp;"|"&amp;$I2742</f>
        <v/>
      </c>
    </row>
    <row r="2743">
      <c r="A2743" s="36" t="n">
        <v>46176</v>
      </c>
      <c r="B2743" t="inlineStr">
        <is>
          <t>Quarta</t>
        </is>
      </c>
      <c r="C2743" t="inlineStr">
        <is>
          <t>RCE São Lucas</t>
        </is>
      </c>
      <c r="D2743" t="inlineStr">
        <is>
          <t>Fábio</t>
        </is>
      </c>
      <c r="E2743" t="inlineStr">
        <is>
          <t>Claudinei</t>
        </is>
      </c>
      <c r="F2743" t="inlineStr">
        <is>
          <t>VCA, PVs e Ligações; (PI 37 ao PI 38)</t>
        </is>
      </c>
      <c r="G2743" t="inlineStr">
        <is>
          <t>37</t>
        </is>
      </c>
      <c r="H2743" t="inlineStr">
        <is>
          <t>38</t>
        </is>
      </c>
      <c r="I2743" t="inlineStr">
        <is>
          <t>37 ao 38</t>
        </is>
      </c>
      <c r="J2743" t="inlineStr">
        <is>
          <t>VCA</t>
        </is>
      </c>
      <c r="K2743" t="inlineStr">
        <is>
          <t>Planejamento</t>
        </is>
      </c>
      <c r="L2743" t="inlineStr">
        <is>
          <t>pds_colado_2026-06-03_a_2026-06-08.txt</t>
        </is>
      </c>
      <c r="M2743">
        <f>IF($A2743="","",TEXT($A2743,"mmmm/yyyy"))</f>
        <v/>
      </c>
      <c r="P2743">
        <f>IFERROR(XLOOKUP($N2743,Base_Enderecos!$A:$A,Base_Enderecos!$B:$B,""),"")</f>
        <v/>
      </c>
      <c r="Q2743">
        <f>IFERROR(XLOOKUP($N2743,Base_Enderecos!$A:$A,Base_Enderecos!$C:$C,""),"")</f>
        <v/>
      </c>
      <c r="R2743">
        <f>IF(ISNUMBER(SEARCH("HDD",$F2743)),"HDD",IF(ISNUMBER(SEARCH("VCA",$F2743)),"VCA","MND"))</f>
        <v/>
      </c>
      <c r="T2743">
        <f>TEXT($A2743,"yyyy-mm")&amp;"|"&amp;$C2743&amp;"|"&amp;$I2743</f>
        <v/>
      </c>
    </row>
    <row r="2744">
      <c r="A2744" s="36" t="n">
        <v>46176</v>
      </c>
      <c r="B2744" t="inlineStr">
        <is>
          <t>Quarta</t>
        </is>
      </c>
      <c r="C2744" t="inlineStr">
        <is>
          <t>RCE São Lucas</t>
        </is>
      </c>
      <c r="D2744" t="inlineStr">
        <is>
          <t>Fábio</t>
        </is>
      </c>
      <c r="E2744" t="inlineStr">
        <is>
          <t>Miro</t>
        </is>
      </c>
      <c r="F2744" t="inlineStr">
        <is>
          <t>VCA, PVs e Ligações; (PI 32 ao PI 60)</t>
        </is>
      </c>
      <c r="G2744" t="inlineStr">
        <is>
          <t>32</t>
        </is>
      </c>
      <c r="H2744" t="inlineStr">
        <is>
          <t>60</t>
        </is>
      </c>
      <c r="I2744" t="inlineStr">
        <is>
          <t>32 ao 60</t>
        </is>
      </c>
      <c r="J2744" t="inlineStr">
        <is>
          <t>VCA</t>
        </is>
      </c>
      <c r="K2744" t="inlineStr">
        <is>
          <t>Planejamento</t>
        </is>
      </c>
      <c r="L2744" t="inlineStr">
        <is>
          <t>pds_colado_2026-06-03_a_2026-06-08.txt</t>
        </is>
      </c>
      <c r="M2744">
        <f>IF($A2744="","",TEXT($A2744,"mmmm/yyyy"))</f>
        <v/>
      </c>
      <c r="P2744">
        <f>IFERROR(XLOOKUP($N2744,Base_Enderecos!$A:$A,Base_Enderecos!$B:$B,""),"")</f>
        <v/>
      </c>
      <c r="Q2744">
        <f>IFERROR(XLOOKUP($N2744,Base_Enderecos!$A:$A,Base_Enderecos!$C:$C,""),"")</f>
        <v/>
      </c>
      <c r="R2744">
        <f>IF(ISNUMBER(SEARCH("HDD",$F2744)),"HDD",IF(ISNUMBER(SEARCH("VCA",$F2744)),"VCA","MND"))</f>
        <v/>
      </c>
      <c r="T2744">
        <f>TEXT($A2744,"yyyy-mm")&amp;"|"&amp;$C2744&amp;"|"&amp;$I2744</f>
        <v/>
      </c>
    </row>
    <row r="2745">
      <c r="A2745" s="36" t="n">
        <v>46176</v>
      </c>
      <c r="B2745" t="inlineStr">
        <is>
          <t>Quarta</t>
        </is>
      </c>
      <c r="C2745" t="inlineStr">
        <is>
          <t>RCE São Lucas</t>
        </is>
      </c>
      <c r="D2745" t="inlineStr">
        <is>
          <t>Fábio</t>
        </is>
      </c>
      <c r="E2745" t="inlineStr">
        <is>
          <t>Emanuel</t>
        </is>
      </c>
      <c r="F2745" t="inlineStr">
        <is>
          <t>VCA, PVs e Ligações; (PI 32 ao PI 60)</t>
        </is>
      </c>
      <c r="G2745" t="inlineStr">
        <is>
          <t>32</t>
        </is>
      </c>
      <c r="H2745" t="inlineStr">
        <is>
          <t>60</t>
        </is>
      </c>
      <c r="I2745" t="inlineStr">
        <is>
          <t>32 ao 60</t>
        </is>
      </c>
      <c r="J2745" t="inlineStr">
        <is>
          <t>VCA</t>
        </is>
      </c>
      <c r="K2745" t="inlineStr">
        <is>
          <t>Planejamento</t>
        </is>
      </c>
      <c r="L2745" t="inlineStr">
        <is>
          <t>pds_colado_2026-06-03_a_2026-06-08.txt</t>
        </is>
      </c>
      <c r="M2745">
        <f>IF($A2745="","",TEXT($A2745,"mmmm/yyyy"))</f>
        <v/>
      </c>
      <c r="P2745">
        <f>IFERROR(XLOOKUP($N2745,Base_Enderecos!$A:$A,Base_Enderecos!$B:$B,""),"")</f>
        <v/>
      </c>
      <c r="Q2745">
        <f>IFERROR(XLOOKUP($N2745,Base_Enderecos!$A:$A,Base_Enderecos!$C:$C,""),"")</f>
        <v/>
      </c>
      <c r="R2745">
        <f>IF(ISNUMBER(SEARCH("HDD",$F2745)),"HDD",IF(ISNUMBER(SEARCH("VCA",$F2745)),"VCA","MND"))</f>
        <v/>
      </c>
      <c r="T2745">
        <f>TEXT($A2745,"yyyy-mm")&amp;"|"&amp;$C2745&amp;"|"&amp;$I2745</f>
        <v/>
      </c>
    </row>
    <row r="2746">
      <c r="A2746" s="36" t="n">
        <v>46176</v>
      </c>
      <c r="B2746" t="inlineStr">
        <is>
          <t>Quarta</t>
        </is>
      </c>
      <c r="C2746" t="inlineStr">
        <is>
          <t>RCE Rua São João</t>
        </is>
      </c>
      <c r="D2746" t="inlineStr">
        <is>
          <t>Fábio</t>
        </is>
      </c>
      <c r="E2746" t="inlineStr">
        <is>
          <t>Antonio</t>
        </is>
      </c>
      <c r="F2746" t="inlineStr">
        <is>
          <t>VCA, PVs e Ligações; (PV 02 ao PV 04)*</t>
        </is>
      </c>
      <c r="G2746" t="inlineStr">
        <is>
          <t>02</t>
        </is>
      </c>
      <c r="H2746" t="inlineStr">
        <is>
          <t>04</t>
        </is>
      </c>
      <c r="I2746" t="inlineStr">
        <is>
          <t>02 ao 04</t>
        </is>
      </c>
      <c r="J2746" t="inlineStr">
        <is>
          <t>VCA</t>
        </is>
      </c>
      <c r="K2746" t="inlineStr">
        <is>
          <t>Planejamento</t>
        </is>
      </c>
      <c r="L2746" t="inlineStr">
        <is>
          <t>pds_colado_2026-06-03_a_2026-06-08.txt</t>
        </is>
      </c>
      <c r="M2746">
        <f>IF($A2746="","",TEXT($A2746,"mmmm/yyyy"))</f>
        <v/>
      </c>
      <c r="P2746">
        <f>IFERROR(XLOOKUP($N2746,Base_Enderecos!$A:$A,Base_Enderecos!$B:$B,""),"")</f>
        <v/>
      </c>
      <c r="Q2746">
        <f>IFERROR(XLOOKUP($N2746,Base_Enderecos!$A:$A,Base_Enderecos!$C:$C,""),"")</f>
        <v/>
      </c>
      <c r="R2746">
        <f>IF(ISNUMBER(SEARCH("HDD",$F2746)),"HDD",IF(ISNUMBER(SEARCH("VCA",$F2746)),"VCA","MND"))</f>
        <v/>
      </c>
      <c r="T2746">
        <f>TEXT($A2746,"yyyy-mm")&amp;"|"&amp;$C2746&amp;"|"&amp;$I2746</f>
        <v/>
      </c>
    </row>
    <row r="2747">
      <c r="A2747" s="36" t="n">
        <v>46176</v>
      </c>
      <c r="B2747" t="inlineStr">
        <is>
          <t>Quarta</t>
        </is>
      </c>
      <c r="C2747" t="inlineStr">
        <is>
          <t>CTS Lourdes Complementar</t>
        </is>
      </c>
      <c r="D2747" t="inlineStr">
        <is>
          <t>Robson</t>
        </is>
      </c>
      <c r="E2747" t="inlineStr">
        <is>
          <t>Cesar</t>
        </is>
      </c>
      <c r="F2747" t="inlineStr">
        <is>
          <t>Transformação PV 03</t>
        </is>
      </c>
      <c r="G2747" t="inlineStr">
        <is>
          <t>03</t>
        </is>
      </c>
      <c r="I2747" t="inlineStr">
        <is>
          <t>03</t>
        </is>
      </c>
      <c r="J2747" t="inlineStr">
        <is>
          <t>Transformação</t>
        </is>
      </c>
      <c r="K2747" t="inlineStr">
        <is>
          <t>Planejamento</t>
        </is>
      </c>
      <c r="L2747" t="inlineStr">
        <is>
          <t>pds_colado_2026-06-03_a_2026-06-08.txt</t>
        </is>
      </c>
      <c r="M2747">
        <f>IF($A2747="","",TEXT($A2747,"mmmm/yyyy"))</f>
        <v/>
      </c>
      <c r="P2747">
        <f>IFERROR(XLOOKUP($N2747,Base_Enderecos!$A:$A,Base_Enderecos!$B:$B,""),"")</f>
        <v/>
      </c>
      <c r="Q2747">
        <f>IFERROR(XLOOKUP($N2747,Base_Enderecos!$A:$A,Base_Enderecos!$C:$C,""),"")</f>
        <v/>
      </c>
      <c r="R2747">
        <f>IF(ISNUMBER(SEARCH("HDD",$F2747)),"HDD",IF(ISNUMBER(SEARCH("VCA",$F2747)),"VCA","MND"))</f>
        <v/>
      </c>
      <c r="T2747">
        <f>TEXT($A2747,"yyyy-mm")&amp;"|"&amp;$C2747&amp;"|"&amp;$I2747</f>
        <v/>
      </c>
    </row>
    <row r="2748">
      <c r="A2748" s="36" t="n">
        <v>46176</v>
      </c>
      <c r="B2748" t="inlineStr">
        <is>
          <t>Quarta</t>
        </is>
      </c>
      <c r="C2748" t="inlineStr">
        <is>
          <t>CTS Lourdes Complementar</t>
        </is>
      </c>
      <c r="D2748" t="inlineStr">
        <is>
          <t>Robson</t>
        </is>
      </c>
      <c r="E2748" t="inlineStr">
        <is>
          <t>Marcelo</t>
        </is>
      </c>
      <c r="F2748" t="inlineStr">
        <is>
          <t>Transformação PV 04</t>
        </is>
      </c>
      <c r="G2748" t="inlineStr">
        <is>
          <t>04</t>
        </is>
      </c>
      <c r="I2748" t="inlineStr">
        <is>
          <t>04</t>
        </is>
      </c>
      <c r="J2748" t="inlineStr">
        <is>
          <t>Transformação</t>
        </is>
      </c>
      <c r="K2748" t="inlineStr">
        <is>
          <t>Planejamento</t>
        </is>
      </c>
      <c r="L2748" t="inlineStr">
        <is>
          <t>pds_colado_2026-06-03_a_2026-06-08.txt</t>
        </is>
      </c>
      <c r="M2748">
        <f>IF($A2748="","",TEXT($A2748,"mmmm/yyyy"))</f>
        <v/>
      </c>
      <c r="P2748">
        <f>IFERROR(XLOOKUP($N2748,Base_Enderecos!$A:$A,Base_Enderecos!$B:$B,""),"")</f>
        <v/>
      </c>
      <c r="Q2748">
        <f>IFERROR(XLOOKUP($N2748,Base_Enderecos!$A:$A,Base_Enderecos!$C:$C,""),"")</f>
        <v/>
      </c>
      <c r="R2748">
        <f>IF(ISNUMBER(SEARCH("HDD",$F2748)),"HDD",IF(ISNUMBER(SEARCH("VCA",$F2748)),"VCA","MND"))</f>
        <v/>
      </c>
      <c r="T2748">
        <f>TEXT($A2748,"yyyy-mm")&amp;"|"&amp;$C2748&amp;"|"&amp;$I2748</f>
        <v/>
      </c>
    </row>
    <row r="2749">
      <c r="A2749" s="36" t="n">
        <v>46176</v>
      </c>
      <c r="B2749" t="inlineStr">
        <is>
          <t>Quarta</t>
        </is>
      </c>
      <c r="C2749" t="inlineStr">
        <is>
          <t>CTS Lourdes Complementar</t>
        </is>
      </c>
      <c r="D2749" t="inlineStr">
        <is>
          <t>Robson</t>
        </is>
      </c>
      <c r="E2749" t="inlineStr">
        <is>
          <t>Marcelo</t>
        </is>
      </c>
      <c r="F2749" t="inlineStr">
        <is>
          <t>Botelho Mourão</t>
        </is>
      </c>
      <c r="J2749" t="inlineStr">
        <is>
          <t>Atividade</t>
        </is>
      </c>
      <c r="K2749" t="inlineStr">
        <is>
          <t>Planejamento</t>
        </is>
      </c>
      <c r="L2749" t="inlineStr">
        <is>
          <t>pds_colado_2026-06-03_a_2026-06-08.txt</t>
        </is>
      </c>
      <c r="M2749">
        <f>IF($A2749="","",TEXT($A2749,"mmmm/yyyy"))</f>
        <v/>
      </c>
      <c r="P2749">
        <f>IFERROR(XLOOKUP($N2749,Base_Enderecos!$A:$A,Base_Enderecos!$B:$B,""),"")</f>
        <v/>
      </c>
      <c r="Q2749">
        <f>IFERROR(XLOOKUP($N2749,Base_Enderecos!$A:$A,Base_Enderecos!$C:$C,""),"")</f>
        <v/>
      </c>
      <c r="R2749">
        <f>IF(ISNUMBER(SEARCH("HDD",$F2749)),"HDD",IF(ISNUMBER(SEARCH("VCA",$F2749)),"VCA","MND"))</f>
        <v/>
      </c>
      <c r="T2749">
        <f>TEXT($A2749,"yyyy-mm")&amp;"|"&amp;$C2749&amp;"|"&amp;$I2749</f>
        <v/>
      </c>
    </row>
    <row r="2750">
      <c r="A2750" s="36" t="n">
        <v>46176</v>
      </c>
      <c r="B2750" t="inlineStr">
        <is>
          <t>Quarta</t>
        </is>
      </c>
      <c r="C2750" t="inlineStr">
        <is>
          <t>CTS Lourdes Complementar</t>
        </is>
      </c>
      <c r="D2750" t="inlineStr">
        <is>
          <t>Robson</t>
        </is>
      </c>
      <c r="E2750" t="inlineStr">
        <is>
          <t>Márcio</t>
        </is>
      </c>
      <c r="F2750" t="inlineStr">
        <is>
          <t>Nivelamento BGS PV 05</t>
        </is>
      </c>
      <c r="G2750" t="inlineStr">
        <is>
          <t>05</t>
        </is>
      </c>
      <c r="I2750" t="inlineStr">
        <is>
          <t>05</t>
        </is>
      </c>
      <c r="J2750" t="inlineStr">
        <is>
          <t>Atividade</t>
        </is>
      </c>
      <c r="K2750" t="inlineStr">
        <is>
          <t>Planejamento</t>
        </is>
      </c>
      <c r="L2750" t="inlineStr">
        <is>
          <t>pds_colado_2026-06-03_a_2026-06-08.txt</t>
        </is>
      </c>
      <c r="M2750">
        <f>IF($A2750="","",TEXT($A2750,"mmmm/yyyy"))</f>
        <v/>
      </c>
      <c r="P2750">
        <f>IFERROR(XLOOKUP($N2750,Base_Enderecos!$A:$A,Base_Enderecos!$B:$B,""),"")</f>
        <v/>
      </c>
      <c r="Q2750">
        <f>IFERROR(XLOOKUP($N2750,Base_Enderecos!$A:$A,Base_Enderecos!$C:$C,""),"")</f>
        <v/>
      </c>
      <c r="R2750">
        <f>IF(ISNUMBER(SEARCH("HDD",$F2750)),"HDD",IF(ISNUMBER(SEARCH("VCA",$F2750)),"VCA","MND"))</f>
        <v/>
      </c>
      <c r="T2750">
        <f>TEXT($A2750,"yyyy-mm")&amp;"|"&amp;$C2750&amp;"|"&amp;$I2750</f>
        <v/>
      </c>
    </row>
    <row r="2751">
      <c r="A2751" s="36" t="n">
        <v>46176</v>
      </c>
      <c r="B2751" t="inlineStr">
        <is>
          <t>Quarta</t>
        </is>
      </c>
      <c r="C2751" t="inlineStr">
        <is>
          <t>João Canzi – Henko (wellington/thiago)</t>
        </is>
      </c>
      <c r="E2751" t="inlineStr">
        <is>
          <t>Vacal</t>
        </is>
      </c>
      <c r="F2751" t="inlineStr">
        <is>
          <t>João Canzi – Henko (Wellington/Thiago)</t>
        </is>
      </c>
      <c r="J2751" t="inlineStr">
        <is>
          <t>Atividade</t>
        </is>
      </c>
      <c r="K2751" t="inlineStr">
        <is>
          <t>Apoio</t>
        </is>
      </c>
      <c r="L2751" t="inlineStr">
        <is>
          <t>pds_colado_2026-06-03_a_2026-06-08.txt</t>
        </is>
      </c>
      <c r="M2751">
        <f>IF($A2751="","",TEXT($A2751,"mmmm/yyyy"))</f>
        <v/>
      </c>
      <c r="P2751">
        <f>IFERROR(XLOOKUP($N2751,Base_Enderecos!$A:$A,Base_Enderecos!$B:$B,""),"")</f>
        <v/>
      </c>
      <c r="Q2751">
        <f>IFERROR(XLOOKUP($N2751,Base_Enderecos!$A:$A,Base_Enderecos!$C:$C,""),"")</f>
        <v/>
      </c>
      <c r="R2751">
        <f>IF(ISNUMBER(SEARCH("HDD",$F2751)),"HDD",IF(ISNUMBER(SEARCH("VCA",$F2751)),"VCA","MND"))</f>
        <v/>
      </c>
      <c r="T2751">
        <f>TEXT($A2751,"yyyy-mm")&amp;"|"&amp;$C2751&amp;"|"&amp;$I2751</f>
        <v/>
      </c>
    </row>
    <row r="2752">
      <c r="A2752" s="36" t="n">
        <v>46176</v>
      </c>
      <c r="B2752" t="inlineStr">
        <is>
          <t>Quarta</t>
        </is>
      </c>
      <c r="C2752" t="inlineStr">
        <is>
          <t>João Canzi – Renasce (raimundo)</t>
        </is>
      </c>
      <c r="E2752" t="inlineStr">
        <is>
          <t>Vacal</t>
        </is>
      </c>
      <c r="F2752" t="inlineStr">
        <is>
          <t>João Canzi – Renasce (Raimundo)</t>
        </is>
      </c>
      <c r="J2752" t="inlineStr">
        <is>
          <t>Atividade</t>
        </is>
      </c>
      <c r="K2752" t="inlineStr">
        <is>
          <t>Apoio</t>
        </is>
      </c>
      <c r="L2752" t="inlineStr">
        <is>
          <t>pds_colado_2026-06-03_a_2026-06-08.txt</t>
        </is>
      </c>
      <c r="M2752">
        <f>IF($A2752="","",TEXT($A2752,"mmmm/yyyy"))</f>
        <v/>
      </c>
      <c r="P2752">
        <f>IFERROR(XLOOKUP($N2752,Base_Enderecos!$A:$A,Base_Enderecos!$B:$B,""),"")</f>
        <v/>
      </c>
      <c r="Q2752">
        <f>IFERROR(XLOOKUP($N2752,Base_Enderecos!$A:$A,Base_Enderecos!$C:$C,""),"")</f>
        <v/>
      </c>
      <c r="R2752">
        <f>IF(ISNUMBER(SEARCH("HDD",$F2752)),"HDD",IF(ISNUMBER(SEARCH("VCA",$F2752)),"VCA","MND"))</f>
        <v/>
      </c>
      <c r="T2752">
        <f>TEXT($A2752,"yyyy-mm")&amp;"|"&amp;$C2752&amp;"|"&amp;$I2752</f>
        <v/>
      </c>
    </row>
    <row r="2753">
      <c r="A2753" s="36" t="n">
        <v>46176</v>
      </c>
      <c r="B2753" t="inlineStr">
        <is>
          <t>Quarta</t>
        </is>
      </c>
      <c r="C2753" t="inlineStr">
        <is>
          <t>Lourdes – Henko (marcio)</t>
        </is>
      </c>
      <c r="E2753" t="inlineStr">
        <is>
          <t>Vacal</t>
        </is>
      </c>
      <c r="F2753" t="inlineStr">
        <is>
          <t>Lourdes – Henko (Marcio)</t>
        </is>
      </c>
      <c r="J2753" t="inlineStr">
        <is>
          <t>Atividade</t>
        </is>
      </c>
      <c r="K2753" t="inlineStr">
        <is>
          <t>Apoio</t>
        </is>
      </c>
      <c r="L2753" t="inlineStr">
        <is>
          <t>pds_colado_2026-06-03_a_2026-06-08.txt</t>
        </is>
      </c>
      <c r="M2753">
        <f>IF($A2753="","",TEXT($A2753,"mmmm/yyyy"))</f>
        <v/>
      </c>
      <c r="P2753">
        <f>IFERROR(XLOOKUP($N2753,Base_Enderecos!$A:$A,Base_Enderecos!$B:$B,""),"")</f>
        <v/>
      </c>
      <c r="Q2753">
        <f>IFERROR(XLOOKUP($N2753,Base_Enderecos!$A:$A,Base_Enderecos!$C:$C,""),"")</f>
        <v/>
      </c>
      <c r="R2753">
        <f>IF(ISNUMBER(SEARCH("HDD",$F2753)),"HDD",IF(ISNUMBER(SEARCH("VCA",$F2753)),"VCA","MND"))</f>
        <v/>
      </c>
      <c r="T2753">
        <f>TEXT($A2753,"yyyy-mm")&amp;"|"&amp;$C2753&amp;"|"&amp;$I2753</f>
        <v/>
      </c>
    </row>
    <row r="2754">
      <c r="A2754" s="36" t="n">
        <v>46176</v>
      </c>
      <c r="B2754" t="inlineStr">
        <is>
          <t>Quarta</t>
        </is>
      </c>
      <c r="C2754" t="inlineStr">
        <is>
          <t>Iti 15 – Henko (osmar)</t>
        </is>
      </c>
      <c r="E2754" t="inlineStr">
        <is>
          <t>Vacal</t>
        </is>
      </c>
      <c r="F2754" t="inlineStr">
        <is>
          <t>ITI 15 – Henko (Osmar)</t>
        </is>
      </c>
      <c r="J2754" t="inlineStr">
        <is>
          <t>Atividade</t>
        </is>
      </c>
      <c r="K2754" t="inlineStr">
        <is>
          <t>Apoio</t>
        </is>
      </c>
      <c r="L2754" t="inlineStr">
        <is>
          <t>pds_colado_2026-06-03_a_2026-06-08.txt</t>
        </is>
      </c>
      <c r="M2754">
        <f>IF($A2754="","",TEXT($A2754,"mmmm/yyyy"))</f>
        <v/>
      </c>
      <c r="P2754">
        <f>IFERROR(XLOOKUP($N2754,Base_Enderecos!$A:$A,Base_Enderecos!$B:$B,""),"")</f>
        <v/>
      </c>
      <c r="Q2754">
        <f>IFERROR(XLOOKUP($N2754,Base_Enderecos!$A:$A,Base_Enderecos!$C:$C,""),"")</f>
        <v/>
      </c>
      <c r="R2754">
        <f>IF(ISNUMBER(SEARCH("HDD",$F2754)),"HDD",IF(ISNUMBER(SEARCH("VCA",$F2754)),"VCA","MND"))</f>
        <v/>
      </c>
      <c r="T2754">
        <f>TEXT($A2754,"yyyy-mm")&amp;"|"&amp;$C2754&amp;"|"&amp;$I2754</f>
        <v/>
      </c>
    </row>
    <row r="2755">
      <c r="A2755" s="36" t="n">
        <v>46176</v>
      </c>
      <c r="B2755" t="inlineStr">
        <is>
          <t>Quarta</t>
        </is>
      </c>
      <c r="C2755" t="inlineStr">
        <is>
          <t>Guindauto</t>
        </is>
      </c>
      <c r="E2755" t="inlineStr">
        <is>
          <t>Guindauto</t>
        </is>
      </c>
      <c r="F2755" t="inlineStr">
        <is>
          <t>Marcio - Apoio as equipes</t>
        </is>
      </c>
      <c r="J2755" t="inlineStr">
        <is>
          <t>Atividade</t>
        </is>
      </c>
      <c r="K2755" t="inlineStr">
        <is>
          <t>Apoio</t>
        </is>
      </c>
      <c r="L2755" t="inlineStr">
        <is>
          <t>pds_colado_2026-06-03_a_2026-06-08.txt</t>
        </is>
      </c>
      <c r="M2755">
        <f>IF($A2755="","",TEXT($A2755,"mmmm/yyyy"))</f>
        <v/>
      </c>
      <c r="P2755">
        <f>IFERROR(XLOOKUP($N2755,Base_Enderecos!$A:$A,Base_Enderecos!$B:$B,""),"")</f>
        <v/>
      </c>
      <c r="Q2755">
        <f>IFERROR(XLOOKUP($N2755,Base_Enderecos!$A:$A,Base_Enderecos!$C:$C,""),"")</f>
        <v/>
      </c>
      <c r="R2755">
        <f>IF(ISNUMBER(SEARCH("HDD",$F2755)),"HDD",IF(ISNUMBER(SEARCH("VCA",$F2755)),"VCA","MND"))</f>
        <v/>
      </c>
      <c r="T2755">
        <f>TEXT($A2755,"yyyy-mm")&amp;"|"&amp;$C2755&amp;"|"&amp;$I2755</f>
        <v/>
      </c>
    </row>
    <row r="2756">
      <c r="A2756" s="36" t="n">
        <v>46176</v>
      </c>
      <c r="B2756" t="inlineStr">
        <is>
          <t>Quarta</t>
        </is>
      </c>
      <c r="C2756" t="inlineStr">
        <is>
          <t>Guindauto</t>
        </is>
      </c>
      <c r="E2756" t="inlineStr">
        <is>
          <t>Guindauto</t>
        </is>
      </c>
      <c r="F2756" t="inlineStr">
        <is>
          <t>Luiz - Apoio as equipes</t>
        </is>
      </c>
      <c r="J2756" t="inlineStr">
        <is>
          <t>Atividade</t>
        </is>
      </c>
      <c r="K2756" t="inlineStr">
        <is>
          <t>Apoio</t>
        </is>
      </c>
      <c r="L2756" t="inlineStr">
        <is>
          <t>pds_colado_2026-06-03_a_2026-06-08.txt</t>
        </is>
      </c>
      <c r="M2756">
        <f>IF($A2756="","",TEXT($A2756,"mmmm/yyyy"))</f>
        <v/>
      </c>
      <c r="P2756">
        <f>IFERROR(XLOOKUP($N2756,Base_Enderecos!$A:$A,Base_Enderecos!$B:$B,""),"")</f>
        <v/>
      </c>
      <c r="Q2756">
        <f>IFERROR(XLOOKUP($N2756,Base_Enderecos!$A:$A,Base_Enderecos!$C:$C,""),"")</f>
        <v/>
      </c>
      <c r="R2756">
        <f>IF(ISNUMBER(SEARCH("HDD",$F2756)),"HDD",IF(ISNUMBER(SEARCH("VCA",$F2756)),"VCA","MND"))</f>
        <v/>
      </c>
      <c r="T2756">
        <f>TEXT($A2756,"yyyy-mm")&amp;"|"&amp;$C2756&amp;"|"&amp;$I2756</f>
        <v/>
      </c>
    </row>
    <row r="2757">
      <c r="A2757" s="36" t="n">
        <v>46177</v>
      </c>
      <c r="B2757" t="inlineStr">
        <is>
          <t>Quinta</t>
        </is>
      </c>
      <c r="C2757" t="inlineStr">
        <is>
          <t>CT João Canzi</t>
        </is>
      </c>
      <c r="D2757" t="inlineStr">
        <is>
          <t>Valmir</t>
        </is>
      </c>
      <c r="E2757" t="inlineStr">
        <is>
          <t>Goiânia Drill</t>
        </is>
      </c>
      <c r="F2757" t="inlineStr">
        <is>
          <t>Piloto do PV-17 ao PV-18</t>
        </is>
      </c>
      <c r="G2757" t="inlineStr">
        <is>
          <t>17</t>
        </is>
      </c>
      <c r="H2757" t="inlineStr">
        <is>
          <t>18</t>
        </is>
      </c>
      <c r="I2757" t="inlineStr">
        <is>
          <t>17 ao 18</t>
        </is>
      </c>
      <c r="J2757" t="inlineStr">
        <is>
          <t>Atividade</t>
        </is>
      </c>
      <c r="K2757" t="inlineStr">
        <is>
          <t>Planejamento</t>
        </is>
      </c>
      <c r="L2757" t="inlineStr">
        <is>
          <t>pds_colado_2026-06-03_a_2026-06-08.txt</t>
        </is>
      </c>
      <c r="M2757">
        <f>IF($A2757="","",TEXT($A2757,"mmmm/yyyy"))</f>
        <v/>
      </c>
      <c r="P2757">
        <f>IFERROR(XLOOKUP($N2757,Base_Enderecos!$A:$A,Base_Enderecos!$B:$B,""),"")</f>
        <v/>
      </c>
      <c r="Q2757">
        <f>IFERROR(XLOOKUP($N2757,Base_Enderecos!$A:$A,Base_Enderecos!$C:$C,""),"")</f>
        <v/>
      </c>
      <c r="R2757">
        <f>IF(ISNUMBER(SEARCH("HDD",$F2757)),"HDD",IF(ISNUMBER(SEARCH("VCA",$F2757)),"VCA","MND"))</f>
        <v/>
      </c>
      <c r="T2757">
        <f>TEXT($A2757,"yyyy-mm")&amp;"|"&amp;$C2757&amp;"|"&amp;$I2757</f>
        <v/>
      </c>
    </row>
    <row r="2758">
      <c r="A2758" s="36" t="n">
        <v>46177</v>
      </c>
      <c r="B2758" t="inlineStr">
        <is>
          <t>Quinta</t>
        </is>
      </c>
      <c r="C2758" t="inlineStr">
        <is>
          <t>CT João Canzi</t>
        </is>
      </c>
      <c r="D2758" t="inlineStr">
        <is>
          <t>Valmir</t>
        </is>
      </c>
      <c r="E2758" t="inlineStr">
        <is>
          <t>Bruno</t>
        </is>
      </c>
      <c r="F2758" t="inlineStr">
        <is>
          <t>Apoio ao HDD</t>
        </is>
      </c>
      <c r="J2758" t="inlineStr">
        <is>
          <t>HDD</t>
        </is>
      </c>
      <c r="K2758" t="inlineStr">
        <is>
          <t>Planejamento</t>
        </is>
      </c>
      <c r="L2758" t="inlineStr">
        <is>
          <t>pds_colado_2026-06-03_a_2026-06-08.txt</t>
        </is>
      </c>
      <c r="M2758">
        <f>IF($A2758="","",TEXT($A2758,"mmmm/yyyy"))</f>
        <v/>
      </c>
      <c r="P2758">
        <f>IFERROR(XLOOKUP($N2758,Base_Enderecos!$A:$A,Base_Enderecos!$B:$B,""),"")</f>
        <v/>
      </c>
      <c r="Q2758">
        <f>IFERROR(XLOOKUP($N2758,Base_Enderecos!$A:$A,Base_Enderecos!$C:$C,""),"")</f>
        <v/>
      </c>
      <c r="R2758">
        <f>IF(ISNUMBER(SEARCH("HDD",$F2758)),"HDD",IF(ISNUMBER(SEARCH("VCA",$F2758)),"VCA","MND"))</f>
        <v/>
      </c>
      <c r="T2758">
        <f>TEXT($A2758,"yyyy-mm")&amp;"|"&amp;$C2758&amp;"|"&amp;$I2758</f>
        <v/>
      </c>
    </row>
    <row r="2759">
      <c r="A2759" s="36" t="n">
        <v>46177</v>
      </c>
      <c r="B2759" t="inlineStr">
        <is>
          <t>Quinta</t>
        </is>
      </c>
      <c r="C2759" t="inlineStr">
        <is>
          <t>CT João Canzi</t>
        </is>
      </c>
      <c r="D2759" t="inlineStr">
        <is>
          <t>Valmir</t>
        </is>
      </c>
      <c r="E2759" t="inlineStr">
        <is>
          <t>Medeiros</t>
        </is>
      </c>
      <c r="F2759" t="inlineStr">
        <is>
          <t>Shaft PV 10.1</t>
        </is>
      </c>
      <c r="G2759" t="inlineStr">
        <is>
          <t>10.1</t>
        </is>
      </c>
      <c r="I2759" t="inlineStr">
        <is>
          <t>10.1</t>
        </is>
      </c>
      <c r="J2759" t="inlineStr">
        <is>
          <t>Shaft</t>
        </is>
      </c>
      <c r="K2759" t="inlineStr">
        <is>
          <t>Planejamento</t>
        </is>
      </c>
      <c r="L2759" t="inlineStr">
        <is>
          <t>pds_colado_2026-06-03_a_2026-06-08.txt</t>
        </is>
      </c>
      <c r="M2759">
        <f>IF($A2759="","",TEXT($A2759,"mmmm/yyyy"))</f>
        <v/>
      </c>
      <c r="P2759">
        <f>IFERROR(XLOOKUP($N2759,Base_Enderecos!$A:$A,Base_Enderecos!$B:$B,""),"")</f>
        <v/>
      </c>
      <c r="Q2759">
        <f>IFERROR(XLOOKUP($N2759,Base_Enderecos!$A:$A,Base_Enderecos!$C:$C,""),"")</f>
        <v/>
      </c>
      <c r="R2759">
        <f>IF(ISNUMBER(SEARCH("HDD",$F2759)),"HDD",IF(ISNUMBER(SEARCH("VCA",$F2759)),"VCA","MND"))</f>
        <v/>
      </c>
      <c r="T2759">
        <f>TEXT($A2759,"yyyy-mm")&amp;"|"&amp;$C2759&amp;"|"&amp;$I2759</f>
        <v/>
      </c>
    </row>
    <row r="2760">
      <c r="A2760" s="36" t="n">
        <v>46177</v>
      </c>
      <c r="B2760" t="inlineStr">
        <is>
          <t>Quinta</t>
        </is>
      </c>
      <c r="C2760" t="inlineStr">
        <is>
          <t>CT João Canzi</t>
        </is>
      </c>
      <c r="D2760" t="inlineStr">
        <is>
          <t>Valmir</t>
        </is>
      </c>
      <c r="E2760" t="inlineStr">
        <is>
          <t>Cesar</t>
        </is>
      </c>
      <c r="F2760" t="inlineStr">
        <is>
          <t>Transformação PV 16</t>
        </is>
      </c>
      <c r="G2760" t="inlineStr">
        <is>
          <t>16</t>
        </is>
      </c>
      <c r="I2760" t="inlineStr">
        <is>
          <t>16</t>
        </is>
      </c>
      <c r="J2760" t="inlineStr">
        <is>
          <t>Transformação</t>
        </is>
      </c>
      <c r="K2760" t="inlineStr">
        <is>
          <t>Planejamento</t>
        </is>
      </c>
      <c r="L2760" t="inlineStr">
        <is>
          <t>pds_colado_2026-06-03_a_2026-06-08.txt</t>
        </is>
      </c>
      <c r="M2760">
        <f>IF($A2760="","",TEXT($A2760,"mmmm/yyyy"))</f>
        <v/>
      </c>
      <c r="P2760">
        <f>IFERROR(XLOOKUP($N2760,Base_Enderecos!$A:$A,Base_Enderecos!$B:$B,""),"")</f>
        <v/>
      </c>
      <c r="Q2760">
        <f>IFERROR(XLOOKUP($N2760,Base_Enderecos!$A:$A,Base_Enderecos!$C:$C,""),"")</f>
        <v/>
      </c>
      <c r="R2760">
        <f>IF(ISNUMBER(SEARCH("HDD",$F2760)),"HDD",IF(ISNUMBER(SEARCH("VCA",$F2760)),"VCA","MND"))</f>
        <v/>
      </c>
      <c r="T2760">
        <f>TEXT($A2760,"yyyy-mm")&amp;"|"&amp;$C2760&amp;"|"&amp;$I2760</f>
        <v/>
      </c>
    </row>
    <row r="2761">
      <c r="A2761" s="36" t="n">
        <v>46177</v>
      </c>
      <c r="B2761" t="inlineStr">
        <is>
          <t>Quinta</t>
        </is>
      </c>
      <c r="C2761" t="inlineStr">
        <is>
          <t>RCE Elvira</t>
        </is>
      </c>
      <c r="D2761" t="inlineStr">
        <is>
          <t>Silvestre</t>
        </is>
      </c>
      <c r="E2761" t="inlineStr">
        <is>
          <t>Valter</t>
        </is>
      </c>
      <c r="F2761" t="inlineStr">
        <is>
          <t>VCA, PVs e Ligações</t>
        </is>
      </c>
      <c r="J2761" t="inlineStr">
        <is>
          <t>VCA</t>
        </is>
      </c>
      <c r="K2761" t="inlineStr">
        <is>
          <t>Planejamento</t>
        </is>
      </c>
      <c r="L2761" t="inlineStr">
        <is>
          <t>pds_colado_2026-06-03_a_2026-06-08.txt</t>
        </is>
      </c>
      <c r="M2761">
        <f>IF($A2761="","",TEXT($A2761,"mmmm/yyyy"))</f>
        <v/>
      </c>
      <c r="P2761">
        <f>IFERROR(XLOOKUP($N2761,Base_Enderecos!$A:$A,Base_Enderecos!$B:$B,""),"")</f>
        <v/>
      </c>
      <c r="Q2761">
        <f>IFERROR(XLOOKUP($N2761,Base_Enderecos!$A:$A,Base_Enderecos!$C:$C,""),"")</f>
        <v/>
      </c>
      <c r="R2761">
        <f>IF(ISNUMBER(SEARCH("HDD",$F2761)),"HDD",IF(ISNUMBER(SEARCH("VCA",$F2761)),"VCA","MND"))</f>
        <v/>
      </c>
      <c r="T2761">
        <f>TEXT($A2761,"yyyy-mm")&amp;"|"&amp;$C2761&amp;"|"&amp;$I2761</f>
        <v/>
      </c>
    </row>
    <row r="2762">
      <c r="A2762" s="36" t="n">
        <v>46177</v>
      </c>
      <c r="B2762" t="inlineStr">
        <is>
          <t>Quinta</t>
        </is>
      </c>
      <c r="C2762" t="inlineStr">
        <is>
          <t>RCE Conj. União</t>
        </is>
      </c>
      <c r="D2762" t="inlineStr">
        <is>
          <t>Silvestre</t>
        </is>
      </c>
      <c r="E2762" t="inlineStr">
        <is>
          <t>Jonathan</t>
        </is>
      </c>
      <c r="F2762" t="inlineStr">
        <is>
          <t>Transformação PV 40.1</t>
        </is>
      </c>
      <c r="G2762" t="inlineStr">
        <is>
          <t>40.1</t>
        </is>
      </c>
      <c r="I2762" t="inlineStr">
        <is>
          <t>40.1</t>
        </is>
      </c>
      <c r="J2762" t="inlineStr">
        <is>
          <t>Transformação</t>
        </is>
      </c>
      <c r="K2762" t="inlineStr">
        <is>
          <t>Planejamento</t>
        </is>
      </c>
      <c r="L2762" t="inlineStr">
        <is>
          <t>pds_colado_2026-06-03_a_2026-06-08.txt</t>
        </is>
      </c>
      <c r="M2762">
        <f>IF($A2762="","",TEXT($A2762,"mmmm/yyyy"))</f>
        <v/>
      </c>
      <c r="P2762">
        <f>IFERROR(XLOOKUP($N2762,Base_Enderecos!$A:$A,Base_Enderecos!$B:$B,""),"")</f>
        <v/>
      </c>
      <c r="Q2762">
        <f>IFERROR(XLOOKUP($N2762,Base_Enderecos!$A:$A,Base_Enderecos!$C:$C,""),"")</f>
        <v/>
      </c>
      <c r="R2762">
        <f>IF(ISNUMBER(SEARCH("HDD",$F2762)),"HDD",IF(ISNUMBER(SEARCH("VCA",$F2762)),"VCA","MND"))</f>
        <v/>
      </c>
      <c r="T2762">
        <f>TEXT($A2762,"yyyy-mm")&amp;"|"&amp;$C2762&amp;"|"&amp;$I2762</f>
        <v/>
      </c>
    </row>
    <row r="2763">
      <c r="A2763" s="36" t="n">
        <v>46177</v>
      </c>
      <c r="B2763" t="inlineStr">
        <is>
          <t>Quinta</t>
        </is>
      </c>
      <c r="C2763" t="inlineStr">
        <is>
          <t>RCE Elias Sleiman / CT João Canzi</t>
        </is>
      </c>
      <c r="D2763" t="inlineStr">
        <is>
          <t>Silvestre</t>
        </is>
      </c>
      <c r="E2763" t="inlineStr">
        <is>
          <t>Edvando</t>
        </is>
      </c>
      <c r="F2763" t="inlineStr">
        <is>
          <t>VCA + interl PV 17 ao PV 22</t>
        </is>
      </c>
      <c r="G2763" t="inlineStr">
        <is>
          <t>17</t>
        </is>
      </c>
      <c r="H2763" t="inlineStr">
        <is>
          <t>22</t>
        </is>
      </c>
      <c r="I2763" t="inlineStr">
        <is>
          <t>17 ao 22</t>
        </is>
      </c>
      <c r="J2763" t="inlineStr">
        <is>
          <t>VCA</t>
        </is>
      </c>
      <c r="K2763" t="inlineStr">
        <is>
          <t>Planejamento</t>
        </is>
      </c>
      <c r="L2763" t="inlineStr">
        <is>
          <t>pds_colado_2026-06-03_a_2026-06-08.txt</t>
        </is>
      </c>
      <c r="M2763">
        <f>IF($A2763="","",TEXT($A2763,"mmmm/yyyy"))</f>
        <v/>
      </c>
      <c r="P2763">
        <f>IFERROR(XLOOKUP($N2763,Base_Enderecos!$A:$A,Base_Enderecos!$B:$B,""),"")</f>
        <v/>
      </c>
      <c r="Q2763">
        <f>IFERROR(XLOOKUP($N2763,Base_Enderecos!$A:$A,Base_Enderecos!$C:$C,""),"")</f>
        <v/>
      </c>
      <c r="R2763">
        <f>IF(ISNUMBER(SEARCH("HDD",$F2763)),"HDD",IF(ISNUMBER(SEARCH("VCA",$F2763)),"VCA","MND"))</f>
        <v/>
      </c>
      <c r="T2763">
        <f>TEXT($A2763,"yyyy-mm")&amp;"|"&amp;$C2763&amp;"|"&amp;$I2763</f>
        <v/>
      </c>
    </row>
    <row r="2764">
      <c r="A2764" s="36" t="n">
        <v>46177</v>
      </c>
      <c r="B2764" t="inlineStr">
        <is>
          <t>Quinta</t>
        </is>
      </c>
      <c r="C2764" t="inlineStr">
        <is>
          <t>RCE São Lucas</t>
        </is>
      </c>
      <c r="D2764" t="inlineStr">
        <is>
          <t>Fábio</t>
        </is>
      </c>
      <c r="E2764" t="inlineStr">
        <is>
          <t>Ricardo</t>
        </is>
      </c>
      <c r="F2764" t="inlineStr">
        <is>
          <t>VCA, PVs e Ligações; (PI 08 ao PI 09)</t>
        </is>
      </c>
      <c r="G2764" t="inlineStr">
        <is>
          <t>08</t>
        </is>
      </c>
      <c r="H2764" t="inlineStr">
        <is>
          <t>09</t>
        </is>
      </c>
      <c r="I2764" t="inlineStr">
        <is>
          <t>08 ao 09</t>
        </is>
      </c>
      <c r="J2764" t="inlineStr">
        <is>
          <t>VCA</t>
        </is>
      </c>
      <c r="K2764" t="inlineStr">
        <is>
          <t>Planejamento</t>
        </is>
      </c>
      <c r="L2764" t="inlineStr">
        <is>
          <t>pds_colado_2026-06-03_a_2026-06-08.txt</t>
        </is>
      </c>
      <c r="M2764">
        <f>IF($A2764="","",TEXT($A2764,"mmmm/yyyy"))</f>
        <v/>
      </c>
      <c r="P2764">
        <f>IFERROR(XLOOKUP($N2764,Base_Enderecos!$A:$A,Base_Enderecos!$B:$B,""),"")</f>
        <v/>
      </c>
      <c r="Q2764">
        <f>IFERROR(XLOOKUP($N2764,Base_Enderecos!$A:$A,Base_Enderecos!$C:$C,""),"")</f>
        <v/>
      </c>
      <c r="R2764">
        <f>IF(ISNUMBER(SEARCH("HDD",$F2764)),"HDD",IF(ISNUMBER(SEARCH("VCA",$F2764)),"VCA","MND"))</f>
        <v/>
      </c>
      <c r="T2764">
        <f>TEXT($A2764,"yyyy-mm")&amp;"|"&amp;$C2764&amp;"|"&amp;$I2764</f>
        <v/>
      </c>
    </row>
    <row r="2765">
      <c r="A2765" s="36" t="n">
        <v>46177</v>
      </c>
      <c r="B2765" t="inlineStr">
        <is>
          <t>Quinta</t>
        </is>
      </c>
      <c r="C2765" t="inlineStr">
        <is>
          <t>RCE São Lucas</t>
        </is>
      </c>
      <c r="D2765" t="inlineStr">
        <is>
          <t>Fábio</t>
        </is>
      </c>
      <c r="E2765" t="inlineStr">
        <is>
          <t>Claudinei</t>
        </is>
      </c>
      <c r="F2765" t="inlineStr">
        <is>
          <t>VCA, PVs e Ligações; (PI 37 ao PI 38)</t>
        </is>
      </c>
      <c r="G2765" t="inlineStr">
        <is>
          <t>37</t>
        </is>
      </c>
      <c r="H2765" t="inlineStr">
        <is>
          <t>38</t>
        </is>
      </c>
      <c r="I2765" t="inlineStr">
        <is>
          <t>37 ao 38</t>
        </is>
      </c>
      <c r="J2765" t="inlineStr">
        <is>
          <t>VCA</t>
        </is>
      </c>
      <c r="K2765" t="inlineStr">
        <is>
          <t>Planejamento</t>
        </is>
      </c>
      <c r="L2765" t="inlineStr">
        <is>
          <t>pds_colado_2026-06-03_a_2026-06-08.txt</t>
        </is>
      </c>
      <c r="M2765">
        <f>IF($A2765="","",TEXT($A2765,"mmmm/yyyy"))</f>
        <v/>
      </c>
      <c r="P2765">
        <f>IFERROR(XLOOKUP($N2765,Base_Enderecos!$A:$A,Base_Enderecos!$B:$B,""),"")</f>
        <v/>
      </c>
      <c r="Q2765">
        <f>IFERROR(XLOOKUP($N2765,Base_Enderecos!$A:$A,Base_Enderecos!$C:$C,""),"")</f>
        <v/>
      </c>
      <c r="R2765">
        <f>IF(ISNUMBER(SEARCH("HDD",$F2765)),"HDD",IF(ISNUMBER(SEARCH("VCA",$F2765)),"VCA","MND"))</f>
        <v/>
      </c>
      <c r="T2765">
        <f>TEXT($A2765,"yyyy-mm")&amp;"|"&amp;$C2765&amp;"|"&amp;$I2765</f>
        <v/>
      </c>
    </row>
    <row r="2766">
      <c r="A2766" s="36" t="n">
        <v>46177</v>
      </c>
      <c r="B2766" t="inlineStr">
        <is>
          <t>Quinta</t>
        </is>
      </c>
      <c r="C2766" t="inlineStr">
        <is>
          <t>RCE São Lucas</t>
        </is>
      </c>
      <c r="D2766" t="inlineStr">
        <is>
          <t>Fábio</t>
        </is>
      </c>
      <c r="E2766" t="inlineStr">
        <is>
          <t>Miro</t>
        </is>
      </c>
      <c r="F2766" t="inlineStr">
        <is>
          <t>VCA, PVs e Ligações; (PI 32 ao PI 60)</t>
        </is>
      </c>
      <c r="G2766" t="inlineStr">
        <is>
          <t>32</t>
        </is>
      </c>
      <c r="H2766" t="inlineStr">
        <is>
          <t>60</t>
        </is>
      </c>
      <c r="I2766" t="inlineStr">
        <is>
          <t>32 ao 60</t>
        </is>
      </c>
      <c r="J2766" t="inlineStr">
        <is>
          <t>VCA</t>
        </is>
      </c>
      <c r="K2766" t="inlineStr">
        <is>
          <t>Planejamento</t>
        </is>
      </c>
      <c r="L2766" t="inlineStr">
        <is>
          <t>pds_colado_2026-06-03_a_2026-06-08.txt</t>
        </is>
      </c>
      <c r="M2766">
        <f>IF($A2766="","",TEXT($A2766,"mmmm/yyyy"))</f>
        <v/>
      </c>
      <c r="P2766">
        <f>IFERROR(XLOOKUP($N2766,Base_Enderecos!$A:$A,Base_Enderecos!$B:$B,""),"")</f>
        <v/>
      </c>
      <c r="Q2766">
        <f>IFERROR(XLOOKUP($N2766,Base_Enderecos!$A:$A,Base_Enderecos!$C:$C,""),"")</f>
        <v/>
      </c>
      <c r="R2766">
        <f>IF(ISNUMBER(SEARCH("HDD",$F2766)),"HDD",IF(ISNUMBER(SEARCH("VCA",$F2766)),"VCA","MND"))</f>
        <v/>
      </c>
      <c r="T2766">
        <f>TEXT($A2766,"yyyy-mm")&amp;"|"&amp;$C2766&amp;"|"&amp;$I2766</f>
        <v/>
      </c>
    </row>
    <row r="2767">
      <c r="A2767" s="36" t="n">
        <v>46177</v>
      </c>
      <c r="B2767" t="inlineStr">
        <is>
          <t>Quinta</t>
        </is>
      </c>
      <c r="C2767" t="inlineStr">
        <is>
          <t>RCE São Lucas</t>
        </is>
      </c>
      <c r="D2767" t="inlineStr">
        <is>
          <t>Fábio</t>
        </is>
      </c>
      <c r="E2767" t="inlineStr">
        <is>
          <t>Emanuel</t>
        </is>
      </c>
      <c r="F2767" t="inlineStr">
        <is>
          <t>VCA, PVs e Ligações; (PI 32 ao PI 60)</t>
        </is>
      </c>
      <c r="G2767" t="inlineStr">
        <is>
          <t>32</t>
        </is>
      </c>
      <c r="H2767" t="inlineStr">
        <is>
          <t>60</t>
        </is>
      </c>
      <c r="I2767" t="inlineStr">
        <is>
          <t>32 ao 60</t>
        </is>
      </c>
      <c r="J2767" t="inlineStr">
        <is>
          <t>VCA</t>
        </is>
      </c>
      <c r="K2767" t="inlineStr">
        <is>
          <t>Planejamento</t>
        </is>
      </c>
      <c r="L2767" t="inlineStr">
        <is>
          <t>pds_colado_2026-06-03_a_2026-06-08.txt</t>
        </is>
      </c>
      <c r="M2767">
        <f>IF($A2767="","",TEXT($A2767,"mmmm/yyyy"))</f>
        <v/>
      </c>
      <c r="P2767">
        <f>IFERROR(XLOOKUP($N2767,Base_Enderecos!$A:$A,Base_Enderecos!$B:$B,""),"")</f>
        <v/>
      </c>
      <c r="Q2767">
        <f>IFERROR(XLOOKUP($N2767,Base_Enderecos!$A:$A,Base_Enderecos!$C:$C,""),"")</f>
        <v/>
      </c>
      <c r="R2767">
        <f>IF(ISNUMBER(SEARCH("HDD",$F2767)),"HDD",IF(ISNUMBER(SEARCH("VCA",$F2767)),"VCA","MND"))</f>
        <v/>
      </c>
      <c r="T2767">
        <f>TEXT($A2767,"yyyy-mm")&amp;"|"&amp;$C2767&amp;"|"&amp;$I2767</f>
        <v/>
      </c>
    </row>
    <row r="2768">
      <c r="A2768" s="36" t="n">
        <v>46177</v>
      </c>
      <c r="B2768" t="inlineStr">
        <is>
          <t>Quinta</t>
        </is>
      </c>
      <c r="C2768" t="inlineStr">
        <is>
          <t>RCE Rua São João</t>
        </is>
      </c>
      <c r="D2768" t="inlineStr">
        <is>
          <t>Fábio</t>
        </is>
      </c>
      <c r="E2768" t="inlineStr">
        <is>
          <t>Antonio</t>
        </is>
      </c>
      <c r="F2768" t="inlineStr">
        <is>
          <t>VCA, PVs e Ligações; (PV 02 ao PV 04)*</t>
        </is>
      </c>
      <c r="G2768" t="inlineStr">
        <is>
          <t>02</t>
        </is>
      </c>
      <c r="H2768" t="inlineStr">
        <is>
          <t>04</t>
        </is>
      </c>
      <c r="I2768" t="inlineStr">
        <is>
          <t>02 ao 04</t>
        </is>
      </c>
      <c r="J2768" t="inlineStr">
        <is>
          <t>VCA</t>
        </is>
      </c>
      <c r="K2768" t="inlineStr">
        <is>
          <t>Planejamento</t>
        </is>
      </c>
      <c r="L2768" t="inlineStr">
        <is>
          <t>pds_colado_2026-06-03_a_2026-06-08.txt</t>
        </is>
      </c>
      <c r="M2768">
        <f>IF($A2768="","",TEXT($A2768,"mmmm/yyyy"))</f>
        <v/>
      </c>
      <c r="P2768">
        <f>IFERROR(XLOOKUP($N2768,Base_Enderecos!$A:$A,Base_Enderecos!$B:$B,""),"")</f>
        <v/>
      </c>
      <c r="Q2768">
        <f>IFERROR(XLOOKUP($N2768,Base_Enderecos!$A:$A,Base_Enderecos!$C:$C,""),"")</f>
        <v/>
      </c>
      <c r="R2768">
        <f>IF(ISNUMBER(SEARCH("HDD",$F2768)),"HDD",IF(ISNUMBER(SEARCH("VCA",$F2768)),"VCA","MND"))</f>
        <v/>
      </c>
      <c r="T2768">
        <f>TEXT($A2768,"yyyy-mm")&amp;"|"&amp;$C2768&amp;"|"&amp;$I2768</f>
        <v/>
      </c>
    </row>
    <row r="2769">
      <c r="A2769" s="36" t="n">
        <v>46177</v>
      </c>
      <c r="B2769" t="inlineStr">
        <is>
          <t>Quinta</t>
        </is>
      </c>
      <c r="C2769" t="inlineStr">
        <is>
          <t>CTS Lourdes Complementar</t>
        </is>
      </c>
      <c r="D2769" t="inlineStr">
        <is>
          <t>Robson</t>
        </is>
      </c>
      <c r="E2769" t="inlineStr">
        <is>
          <t>Marcelo</t>
        </is>
      </c>
      <c r="F2769" t="inlineStr">
        <is>
          <t>Transformação PV 04</t>
        </is>
      </c>
      <c r="G2769" t="inlineStr">
        <is>
          <t>04</t>
        </is>
      </c>
      <c r="I2769" t="inlineStr">
        <is>
          <t>04</t>
        </is>
      </c>
      <c r="J2769" t="inlineStr">
        <is>
          <t>Transformação</t>
        </is>
      </c>
      <c r="K2769" t="inlineStr">
        <is>
          <t>Planejamento</t>
        </is>
      </c>
      <c r="L2769" t="inlineStr">
        <is>
          <t>pds_colado_2026-06-03_a_2026-06-08.txt</t>
        </is>
      </c>
      <c r="M2769">
        <f>IF($A2769="","",TEXT($A2769,"mmmm/yyyy"))</f>
        <v/>
      </c>
      <c r="P2769">
        <f>IFERROR(XLOOKUP($N2769,Base_Enderecos!$A:$A,Base_Enderecos!$B:$B,""),"")</f>
        <v/>
      </c>
      <c r="Q2769">
        <f>IFERROR(XLOOKUP($N2769,Base_Enderecos!$A:$A,Base_Enderecos!$C:$C,""),"")</f>
        <v/>
      </c>
      <c r="R2769">
        <f>IF(ISNUMBER(SEARCH("HDD",$F2769)),"HDD",IF(ISNUMBER(SEARCH("VCA",$F2769)),"VCA","MND"))</f>
        <v/>
      </c>
      <c r="T2769">
        <f>TEXT($A2769,"yyyy-mm")&amp;"|"&amp;$C2769&amp;"|"&amp;$I2769</f>
        <v/>
      </c>
    </row>
    <row r="2770">
      <c r="A2770" s="36" t="n">
        <v>46177</v>
      </c>
      <c r="B2770" t="inlineStr">
        <is>
          <t>Quinta</t>
        </is>
      </c>
      <c r="C2770" t="inlineStr">
        <is>
          <t>CTS Lourdes Complementar</t>
        </is>
      </c>
      <c r="D2770" t="inlineStr">
        <is>
          <t>Robson</t>
        </is>
      </c>
      <c r="E2770" t="inlineStr">
        <is>
          <t>Marcelo</t>
        </is>
      </c>
      <c r="F2770" t="inlineStr">
        <is>
          <t>Botelho Mourão</t>
        </is>
      </c>
      <c r="J2770" t="inlineStr">
        <is>
          <t>Atividade</t>
        </is>
      </c>
      <c r="K2770" t="inlineStr">
        <is>
          <t>Planejamento</t>
        </is>
      </c>
      <c r="L2770" t="inlineStr">
        <is>
          <t>pds_colado_2026-06-03_a_2026-06-08.txt</t>
        </is>
      </c>
      <c r="M2770">
        <f>IF($A2770="","",TEXT($A2770,"mmmm/yyyy"))</f>
        <v/>
      </c>
      <c r="P2770">
        <f>IFERROR(XLOOKUP($N2770,Base_Enderecos!$A:$A,Base_Enderecos!$B:$B,""),"")</f>
        <v/>
      </c>
      <c r="Q2770">
        <f>IFERROR(XLOOKUP($N2770,Base_Enderecos!$A:$A,Base_Enderecos!$C:$C,""),"")</f>
        <v/>
      </c>
      <c r="R2770">
        <f>IF(ISNUMBER(SEARCH("HDD",$F2770)),"HDD",IF(ISNUMBER(SEARCH("VCA",$F2770)),"VCA","MND"))</f>
        <v/>
      </c>
      <c r="T2770">
        <f>TEXT($A2770,"yyyy-mm")&amp;"|"&amp;$C2770&amp;"|"&amp;$I2770</f>
        <v/>
      </c>
    </row>
    <row r="2771">
      <c r="A2771" s="36" t="n">
        <v>46177</v>
      </c>
      <c r="B2771" t="inlineStr">
        <is>
          <t>Quinta</t>
        </is>
      </c>
      <c r="C2771" t="inlineStr">
        <is>
          <t>CTS Lourdes Complementar</t>
        </is>
      </c>
      <c r="D2771" t="inlineStr">
        <is>
          <t>Robson</t>
        </is>
      </c>
      <c r="E2771" t="inlineStr">
        <is>
          <t>Márcio</t>
        </is>
      </c>
      <c r="F2771" t="inlineStr">
        <is>
          <t>Nivelamento BGS PV 05</t>
        </is>
      </c>
      <c r="G2771" t="inlineStr">
        <is>
          <t>05</t>
        </is>
      </c>
      <c r="I2771" t="inlineStr">
        <is>
          <t>05</t>
        </is>
      </c>
      <c r="J2771" t="inlineStr">
        <is>
          <t>Atividade</t>
        </is>
      </c>
      <c r="K2771" t="inlineStr">
        <is>
          <t>Planejamento</t>
        </is>
      </c>
      <c r="L2771" t="inlineStr">
        <is>
          <t>pds_colado_2026-06-03_a_2026-06-08.txt</t>
        </is>
      </c>
      <c r="M2771">
        <f>IF($A2771="","",TEXT($A2771,"mmmm/yyyy"))</f>
        <v/>
      </c>
      <c r="P2771">
        <f>IFERROR(XLOOKUP($N2771,Base_Enderecos!$A:$A,Base_Enderecos!$B:$B,""),"")</f>
        <v/>
      </c>
      <c r="Q2771">
        <f>IFERROR(XLOOKUP($N2771,Base_Enderecos!$A:$A,Base_Enderecos!$C:$C,""),"")</f>
        <v/>
      </c>
      <c r="R2771">
        <f>IF(ISNUMBER(SEARCH("HDD",$F2771)),"HDD",IF(ISNUMBER(SEARCH("VCA",$F2771)),"VCA","MND"))</f>
        <v/>
      </c>
      <c r="T2771">
        <f>TEXT($A2771,"yyyy-mm")&amp;"|"&amp;$C2771&amp;"|"&amp;$I2771</f>
        <v/>
      </c>
    </row>
    <row r="2772">
      <c r="A2772" s="36" t="n">
        <v>46177</v>
      </c>
      <c r="B2772" t="inlineStr">
        <is>
          <t>Quinta</t>
        </is>
      </c>
      <c r="C2772" t="inlineStr">
        <is>
          <t>CTS Lourdes Complementar</t>
        </is>
      </c>
      <c r="D2772" t="inlineStr">
        <is>
          <t>Robson</t>
        </is>
      </c>
      <c r="E2772" t="inlineStr">
        <is>
          <t>Márcio</t>
        </is>
      </c>
      <c r="F2772" t="inlineStr">
        <is>
          <t>SOUTO MAIOR/BENFICA - GABRIEL</t>
        </is>
      </c>
      <c r="J2772" t="inlineStr">
        <is>
          <t>Atividade</t>
        </is>
      </c>
      <c r="K2772" t="inlineStr">
        <is>
          <t>Planejamento</t>
        </is>
      </c>
      <c r="L2772" t="inlineStr">
        <is>
          <t>pds_colado_2026-06-03_a_2026-06-08.txt</t>
        </is>
      </c>
      <c r="M2772">
        <f>IF($A2772="","",TEXT($A2772,"mmmm/yyyy"))</f>
        <v/>
      </c>
      <c r="P2772">
        <f>IFERROR(XLOOKUP($N2772,Base_Enderecos!$A:$A,Base_Enderecos!$B:$B,""),"")</f>
        <v/>
      </c>
      <c r="Q2772">
        <f>IFERROR(XLOOKUP($N2772,Base_Enderecos!$A:$A,Base_Enderecos!$C:$C,""),"")</f>
        <v/>
      </c>
      <c r="R2772">
        <f>IF(ISNUMBER(SEARCH("HDD",$F2772)),"HDD",IF(ISNUMBER(SEARCH("VCA",$F2772)),"VCA","MND"))</f>
        <v/>
      </c>
      <c r="T2772">
        <f>TEXT($A2772,"yyyy-mm")&amp;"|"&amp;$C2772&amp;"|"&amp;$I2772</f>
        <v/>
      </c>
    </row>
    <row r="2773">
      <c r="A2773" s="36" t="n">
        <v>46177</v>
      </c>
      <c r="B2773" t="inlineStr">
        <is>
          <t>Quinta</t>
        </is>
      </c>
      <c r="C2773" t="inlineStr">
        <is>
          <t>CTS Lourdes Complementar</t>
        </is>
      </c>
      <c r="D2773" t="inlineStr">
        <is>
          <t>Robson</t>
        </is>
      </c>
      <c r="E2773" t="inlineStr">
        <is>
          <t>Cidão</t>
        </is>
      </c>
      <c r="F2773" t="inlineStr">
        <is>
          <t>Reparos Gerais</t>
        </is>
      </c>
      <c r="J2773" t="inlineStr">
        <is>
          <t>Atividade</t>
        </is>
      </c>
      <c r="K2773" t="inlineStr">
        <is>
          <t>Planejamento</t>
        </is>
      </c>
      <c r="L2773" t="inlineStr">
        <is>
          <t>pds_colado_2026-06-03_a_2026-06-08.txt</t>
        </is>
      </c>
      <c r="M2773">
        <f>IF($A2773="","",TEXT($A2773,"mmmm/yyyy"))</f>
        <v/>
      </c>
      <c r="P2773">
        <f>IFERROR(XLOOKUP($N2773,Base_Enderecos!$A:$A,Base_Enderecos!$B:$B,""),"")</f>
        <v/>
      </c>
      <c r="Q2773">
        <f>IFERROR(XLOOKUP($N2773,Base_Enderecos!$A:$A,Base_Enderecos!$C:$C,""),"")</f>
        <v/>
      </c>
      <c r="R2773">
        <f>IF(ISNUMBER(SEARCH("HDD",$F2773)),"HDD",IF(ISNUMBER(SEARCH("VCA",$F2773)),"VCA","MND"))</f>
        <v/>
      </c>
      <c r="T2773">
        <f>TEXT($A2773,"yyyy-mm")&amp;"|"&amp;$C2773&amp;"|"&amp;$I2773</f>
        <v/>
      </c>
    </row>
    <row r="2774">
      <c r="A2774" s="36" t="n">
        <v>46177</v>
      </c>
      <c r="B2774" t="inlineStr">
        <is>
          <t>Quinta</t>
        </is>
      </c>
      <c r="C2774" t="inlineStr">
        <is>
          <t>João Canzi – Henko (márcio)</t>
        </is>
      </c>
      <c r="E2774" t="inlineStr">
        <is>
          <t>Vacal</t>
        </is>
      </c>
      <c r="F2774" t="inlineStr">
        <is>
          <t>João Canzi – Henko (Márcio)</t>
        </is>
      </c>
      <c r="J2774" t="inlineStr">
        <is>
          <t>Atividade</t>
        </is>
      </c>
      <c r="K2774" t="inlineStr">
        <is>
          <t>Apoio</t>
        </is>
      </c>
      <c r="L2774" t="inlineStr">
        <is>
          <t>pds_colado_2026-06-03_a_2026-06-08.txt</t>
        </is>
      </c>
      <c r="M2774">
        <f>IF($A2774="","",TEXT($A2774,"mmmm/yyyy"))</f>
        <v/>
      </c>
      <c r="P2774">
        <f>IFERROR(XLOOKUP($N2774,Base_Enderecos!$A:$A,Base_Enderecos!$B:$B,""),"")</f>
        <v/>
      </c>
      <c r="Q2774">
        <f>IFERROR(XLOOKUP($N2774,Base_Enderecos!$A:$A,Base_Enderecos!$C:$C,""),"")</f>
        <v/>
      </c>
      <c r="R2774">
        <f>IF(ISNUMBER(SEARCH("HDD",$F2774)),"HDD",IF(ISNUMBER(SEARCH("VCA",$F2774)),"VCA","MND"))</f>
        <v/>
      </c>
      <c r="T2774">
        <f>TEXT($A2774,"yyyy-mm")&amp;"|"&amp;$C2774&amp;"|"&amp;$I2774</f>
        <v/>
      </c>
    </row>
    <row r="2775">
      <c r="A2775" s="36" t="n">
        <v>46177</v>
      </c>
      <c r="B2775" t="inlineStr">
        <is>
          <t>Quinta</t>
        </is>
      </c>
      <c r="C2775" t="inlineStr">
        <is>
          <t>Iti 15 – Henko (wellington)</t>
        </is>
      </c>
      <c r="E2775" t="inlineStr">
        <is>
          <t>Vacal</t>
        </is>
      </c>
      <c r="F2775" t="inlineStr">
        <is>
          <t>ITI 15 – Henko (Wellington)</t>
        </is>
      </c>
      <c r="J2775" t="inlineStr">
        <is>
          <t>Atividade</t>
        </is>
      </c>
      <c r="K2775" t="inlineStr">
        <is>
          <t>Apoio</t>
        </is>
      </c>
      <c r="L2775" t="inlineStr">
        <is>
          <t>pds_colado_2026-06-03_a_2026-06-08.txt</t>
        </is>
      </c>
      <c r="M2775">
        <f>IF($A2775="","",TEXT($A2775,"mmmm/yyyy"))</f>
        <v/>
      </c>
      <c r="P2775">
        <f>IFERROR(XLOOKUP($N2775,Base_Enderecos!$A:$A,Base_Enderecos!$B:$B,""),"")</f>
        <v/>
      </c>
      <c r="Q2775">
        <f>IFERROR(XLOOKUP($N2775,Base_Enderecos!$A:$A,Base_Enderecos!$C:$C,""),"")</f>
        <v/>
      </c>
      <c r="R2775">
        <f>IF(ISNUMBER(SEARCH("HDD",$F2775)),"HDD",IF(ISNUMBER(SEARCH("VCA",$F2775)),"VCA","MND"))</f>
        <v/>
      </c>
      <c r="T2775">
        <f>TEXT($A2775,"yyyy-mm")&amp;"|"&amp;$C2775&amp;"|"&amp;$I2775</f>
        <v/>
      </c>
    </row>
    <row r="2776">
      <c r="A2776" s="36" t="n">
        <v>46177</v>
      </c>
      <c r="B2776" t="inlineStr">
        <is>
          <t>Quinta</t>
        </is>
      </c>
      <c r="C2776" t="inlineStr">
        <is>
          <t>CTS Lourdes Complementar</t>
        </is>
      </c>
      <c r="D2776" t="inlineStr">
        <is>
          <t>Robson</t>
        </is>
      </c>
      <c r="E2776" t="inlineStr">
        <is>
          <t>Cidão</t>
        </is>
      </c>
      <c r="F2776" t="inlineStr">
        <is>
          <t>Henko (Osmar) - Raspagem</t>
        </is>
      </c>
      <c r="J2776" t="inlineStr">
        <is>
          <t>Atividade</t>
        </is>
      </c>
      <c r="K2776" t="inlineStr">
        <is>
          <t>Planejamento</t>
        </is>
      </c>
      <c r="L2776" t="inlineStr">
        <is>
          <t>pds_colado_2026-06-03_a_2026-06-08.txt</t>
        </is>
      </c>
      <c r="M2776">
        <f>IF($A2776="","",TEXT($A2776,"mmmm/yyyy"))</f>
        <v/>
      </c>
      <c r="P2776">
        <f>IFERROR(XLOOKUP($N2776,Base_Enderecos!$A:$A,Base_Enderecos!$B:$B,""),"")</f>
        <v/>
      </c>
      <c r="Q2776">
        <f>IFERROR(XLOOKUP($N2776,Base_Enderecos!$A:$A,Base_Enderecos!$C:$C,""),"")</f>
        <v/>
      </c>
      <c r="R2776">
        <f>IF(ISNUMBER(SEARCH("HDD",$F2776)),"HDD",IF(ISNUMBER(SEARCH("VCA",$F2776)),"VCA","MND"))</f>
        <v/>
      </c>
      <c r="T2776">
        <f>TEXT($A2776,"yyyy-mm")&amp;"|"&amp;$C2776&amp;"|"&amp;$I2776</f>
        <v/>
      </c>
    </row>
    <row r="2777">
      <c r="A2777" s="36" t="n">
        <v>46177</v>
      </c>
      <c r="B2777" t="inlineStr">
        <is>
          <t>Quinta</t>
        </is>
      </c>
      <c r="C2777" t="inlineStr">
        <is>
          <t>Guindauto</t>
        </is>
      </c>
      <c r="E2777" t="inlineStr">
        <is>
          <t>Guindauto</t>
        </is>
      </c>
      <c r="F2777" t="inlineStr">
        <is>
          <t>Marcio - Apoio as equipes</t>
        </is>
      </c>
      <c r="J2777" t="inlineStr">
        <is>
          <t>Atividade</t>
        </is>
      </c>
      <c r="K2777" t="inlineStr">
        <is>
          <t>Apoio</t>
        </is>
      </c>
      <c r="L2777" t="inlineStr">
        <is>
          <t>pds_colado_2026-06-03_a_2026-06-08.txt</t>
        </is>
      </c>
      <c r="M2777">
        <f>IF($A2777="","",TEXT($A2777,"mmmm/yyyy"))</f>
        <v/>
      </c>
      <c r="P2777">
        <f>IFERROR(XLOOKUP($N2777,Base_Enderecos!$A:$A,Base_Enderecos!$B:$B,""),"")</f>
        <v/>
      </c>
      <c r="Q2777">
        <f>IFERROR(XLOOKUP($N2777,Base_Enderecos!$A:$A,Base_Enderecos!$C:$C,""),"")</f>
        <v/>
      </c>
      <c r="R2777">
        <f>IF(ISNUMBER(SEARCH("HDD",$F2777)),"HDD",IF(ISNUMBER(SEARCH("VCA",$F2777)),"VCA","MND"))</f>
        <v/>
      </c>
      <c r="T2777">
        <f>TEXT($A2777,"yyyy-mm")&amp;"|"&amp;$C2777&amp;"|"&amp;$I2777</f>
        <v/>
      </c>
    </row>
    <row r="2778">
      <c r="A2778" s="36" t="n">
        <v>46177</v>
      </c>
      <c r="B2778" t="inlineStr">
        <is>
          <t>Quinta</t>
        </is>
      </c>
      <c r="C2778" t="inlineStr">
        <is>
          <t>Guindauto</t>
        </is>
      </c>
      <c r="E2778" t="inlineStr">
        <is>
          <t>Guindauto</t>
        </is>
      </c>
      <c r="F2778" t="inlineStr">
        <is>
          <t>Luiz - Apoio as equipes</t>
        </is>
      </c>
      <c r="J2778" t="inlineStr">
        <is>
          <t>Atividade</t>
        </is>
      </c>
      <c r="K2778" t="inlineStr">
        <is>
          <t>Apoio</t>
        </is>
      </c>
      <c r="L2778" t="inlineStr">
        <is>
          <t>pds_colado_2026-06-03_a_2026-06-08.txt</t>
        </is>
      </c>
      <c r="M2778">
        <f>IF($A2778="","",TEXT($A2778,"mmmm/yyyy"))</f>
        <v/>
      </c>
      <c r="P2778">
        <f>IFERROR(XLOOKUP($N2778,Base_Enderecos!$A:$A,Base_Enderecos!$B:$B,""),"")</f>
        <v/>
      </c>
      <c r="Q2778">
        <f>IFERROR(XLOOKUP($N2778,Base_Enderecos!$A:$A,Base_Enderecos!$C:$C,""),"")</f>
        <v/>
      </c>
      <c r="R2778">
        <f>IF(ISNUMBER(SEARCH("HDD",$F2778)),"HDD",IF(ISNUMBER(SEARCH("VCA",$F2778)),"VCA","MND"))</f>
        <v/>
      </c>
      <c r="T2778">
        <f>TEXT($A2778,"yyyy-mm")&amp;"|"&amp;$C2778&amp;"|"&amp;$I2778</f>
        <v/>
      </c>
    </row>
    <row r="2779">
      <c r="A2779" s="36" t="n">
        <v>46178</v>
      </c>
      <c r="B2779" t="inlineStr">
        <is>
          <t>Sexta</t>
        </is>
      </c>
      <c r="C2779" t="inlineStr">
        <is>
          <t>CT João Canzi</t>
        </is>
      </c>
      <c r="D2779" t="inlineStr">
        <is>
          <t>Valmir</t>
        </is>
      </c>
      <c r="E2779" t="inlineStr">
        <is>
          <t>Goiânia Drill</t>
        </is>
      </c>
      <c r="F2779" t="inlineStr">
        <is>
          <t>Puxe do PV-17 ao PV-18</t>
        </is>
      </c>
      <c r="G2779" t="inlineStr">
        <is>
          <t>17</t>
        </is>
      </c>
      <c r="H2779" t="inlineStr">
        <is>
          <t>18</t>
        </is>
      </c>
      <c r="I2779" t="inlineStr">
        <is>
          <t>17 ao 18</t>
        </is>
      </c>
      <c r="J2779" t="inlineStr">
        <is>
          <t>HDD</t>
        </is>
      </c>
      <c r="K2779" t="inlineStr">
        <is>
          <t>Planejamento</t>
        </is>
      </c>
      <c r="L2779" t="inlineStr">
        <is>
          <t>pds_colado_2026-06-03_a_2026-06-08.txt</t>
        </is>
      </c>
      <c r="M2779">
        <f>IF($A2779="","",TEXT($A2779,"mmmm/yyyy"))</f>
        <v/>
      </c>
      <c r="P2779">
        <f>IFERROR(XLOOKUP($N2779,Base_Enderecos!$A:$A,Base_Enderecos!$B:$B,""),"")</f>
        <v/>
      </c>
      <c r="Q2779">
        <f>IFERROR(XLOOKUP($N2779,Base_Enderecos!$A:$A,Base_Enderecos!$C:$C,""),"")</f>
        <v/>
      </c>
      <c r="R2779">
        <f>IF(ISNUMBER(SEARCH("HDD",$F2779)),"HDD",IF(ISNUMBER(SEARCH("VCA",$F2779)),"VCA","MND"))</f>
        <v/>
      </c>
      <c r="T2779">
        <f>TEXT($A2779,"yyyy-mm")&amp;"|"&amp;$C2779&amp;"|"&amp;$I2779</f>
        <v/>
      </c>
    </row>
    <row r="2780">
      <c r="A2780" s="36" t="n">
        <v>46178</v>
      </c>
      <c r="B2780" t="inlineStr">
        <is>
          <t>Sexta</t>
        </is>
      </c>
      <c r="C2780" t="inlineStr">
        <is>
          <t>CT João Canzi</t>
        </is>
      </c>
      <c r="D2780" t="inlineStr">
        <is>
          <t>Valmir</t>
        </is>
      </c>
      <c r="E2780" t="inlineStr">
        <is>
          <t>Bruno</t>
        </is>
      </c>
      <c r="F2780" t="inlineStr">
        <is>
          <t>Apoio ao HDD</t>
        </is>
      </c>
      <c r="J2780" t="inlineStr">
        <is>
          <t>HDD</t>
        </is>
      </c>
      <c r="K2780" t="inlineStr">
        <is>
          <t>Planejamento</t>
        </is>
      </c>
      <c r="L2780" t="inlineStr">
        <is>
          <t>pds_colado_2026-06-03_a_2026-06-08.txt</t>
        </is>
      </c>
      <c r="M2780">
        <f>IF($A2780="","",TEXT($A2780,"mmmm/yyyy"))</f>
        <v/>
      </c>
      <c r="P2780">
        <f>IFERROR(XLOOKUP($N2780,Base_Enderecos!$A:$A,Base_Enderecos!$B:$B,""),"")</f>
        <v/>
      </c>
      <c r="Q2780">
        <f>IFERROR(XLOOKUP($N2780,Base_Enderecos!$A:$A,Base_Enderecos!$C:$C,""),"")</f>
        <v/>
      </c>
      <c r="R2780">
        <f>IF(ISNUMBER(SEARCH("HDD",$F2780)),"HDD",IF(ISNUMBER(SEARCH("VCA",$F2780)),"VCA","MND"))</f>
        <v/>
      </c>
      <c r="T2780">
        <f>TEXT($A2780,"yyyy-mm")&amp;"|"&amp;$C2780&amp;"|"&amp;$I2780</f>
        <v/>
      </c>
    </row>
    <row r="2781">
      <c r="A2781" s="36" t="n">
        <v>46178</v>
      </c>
      <c r="B2781" t="inlineStr">
        <is>
          <t>Sexta</t>
        </is>
      </c>
      <c r="C2781" t="inlineStr">
        <is>
          <t>CT João Canzi</t>
        </is>
      </c>
      <c r="D2781" t="inlineStr">
        <is>
          <t>Valmir</t>
        </is>
      </c>
      <c r="E2781" t="inlineStr">
        <is>
          <t>Medeiros</t>
        </is>
      </c>
      <c r="F2781" t="inlineStr">
        <is>
          <t>Shaft PV 10.1</t>
        </is>
      </c>
      <c r="G2781" t="inlineStr">
        <is>
          <t>10.1</t>
        </is>
      </c>
      <c r="I2781" t="inlineStr">
        <is>
          <t>10.1</t>
        </is>
      </c>
      <c r="J2781" t="inlineStr">
        <is>
          <t>Shaft</t>
        </is>
      </c>
      <c r="K2781" t="inlineStr">
        <is>
          <t>Planejamento</t>
        </is>
      </c>
      <c r="L2781" t="inlineStr">
        <is>
          <t>pds_colado_2026-06-03_a_2026-06-08.txt</t>
        </is>
      </c>
      <c r="M2781">
        <f>IF($A2781="","",TEXT($A2781,"mmmm/yyyy"))</f>
        <v/>
      </c>
      <c r="P2781">
        <f>IFERROR(XLOOKUP($N2781,Base_Enderecos!$A:$A,Base_Enderecos!$B:$B,""),"")</f>
        <v/>
      </c>
      <c r="Q2781">
        <f>IFERROR(XLOOKUP($N2781,Base_Enderecos!$A:$A,Base_Enderecos!$C:$C,""),"")</f>
        <v/>
      </c>
      <c r="R2781">
        <f>IF(ISNUMBER(SEARCH("HDD",$F2781)),"HDD",IF(ISNUMBER(SEARCH("VCA",$F2781)),"VCA","MND"))</f>
        <v/>
      </c>
      <c r="T2781">
        <f>TEXT($A2781,"yyyy-mm")&amp;"|"&amp;$C2781&amp;"|"&amp;$I2781</f>
        <v/>
      </c>
    </row>
    <row r="2782">
      <c r="A2782" s="36" t="n">
        <v>46178</v>
      </c>
      <c r="B2782" t="inlineStr">
        <is>
          <t>Sexta</t>
        </is>
      </c>
      <c r="C2782" t="inlineStr">
        <is>
          <t>CT João Canzi</t>
        </is>
      </c>
      <c r="D2782" t="inlineStr">
        <is>
          <t>Valmir</t>
        </is>
      </c>
      <c r="E2782" t="inlineStr">
        <is>
          <t>Cesar</t>
        </is>
      </c>
      <c r="F2782" t="inlineStr">
        <is>
          <t>Transformação PV 16</t>
        </is>
      </c>
      <c r="G2782" t="inlineStr">
        <is>
          <t>16</t>
        </is>
      </c>
      <c r="I2782" t="inlineStr">
        <is>
          <t>16</t>
        </is>
      </c>
      <c r="J2782" t="inlineStr">
        <is>
          <t>Transformação</t>
        </is>
      </c>
      <c r="K2782" t="inlineStr">
        <is>
          <t>Planejamento</t>
        </is>
      </c>
      <c r="L2782" t="inlineStr">
        <is>
          <t>pds_colado_2026-06-03_a_2026-06-08.txt</t>
        </is>
      </c>
      <c r="M2782">
        <f>IF($A2782="","",TEXT($A2782,"mmmm/yyyy"))</f>
        <v/>
      </c>
      <c r="P2782">
        <f>IFERROR(XLOOKUP($N2782,Base_Enderecos!$A:$A,Base_Enderecos!$B:$B,""),"")</f>
        <v/>
      </c>
      <c r="Q2782">
        <f>IFERROR(XLOOKUP($N2782,Base_Enderecos!$A:$A,Base_Enderecos!$C:$C,""),"")</f>
        <v/>
      </c>
      <c r="R2782">
        <f>IF(ISNUMBER(SEARCH("HDD",$F2782)),"HDD",IF(ISNUMBER(SEARCH("VCA",$F2782)),"VCA","MND"))</f>
        <v/>
      </c>
      <c r="T2782">
        <f>TEXT($A2782,"yyyy-mm")&amp;"|"&amp;$C2782&amp;"|"&amp;$I2782</f>
        <v/>
      </c>
    </row>
    <row r="2783">
      <c r="A2783" s="36" t="n">
        <v>46178</v>
      </c>
      <c r="B2783" t="inlineStr">
        <is>
          <t>Sexta</t>
        </is>
      </c>
      <c r="C2783" t="inlineStr">
        <is>
          <t>RCE Elvira</t>
        </is>
      </c>
      <c r="D2783" t="inlineStr">
        <is>
          <t>Silvestre</t>
        </is>
      </c>
      <c r="E2783" t="inlineStr">
        <is>
          <t>Valter</t>
        </is>
      </c>
      <c r="F2783" t="inlineStr">
        <is>
          <t>VCA, PVs e Ligações</t>
        </is>
      </c>
      <c r="J2783" t="inlineStr">
        <is>
          <t>VCA</t>
        </is>
      </c>
      <c r="K2783" t="inlineStr">
        <is>
          <t>Planejamento</t>
        </is>
      </c>
      <c r="L2783" t="inlineStr">
        <is>
          <t>pds_colado_2026-06-03_a_2026-06-08.txt</t>
        </is>
      </c>
      <c r="M2783">
        <f>IF($A2783="","",TEXT($A2783,"mmmm/yyyy"))</f>
        <v/>
      </c>
      <c r="P2783">
        <f>IFERROR(XLOOKUP($N2783,Base_Enderecos!$A:$A,Base_Enderecos!$B:$B,""),"")</f>
        <v/>
      </c>
      <c r="Q2783">
        <f>IFERROR(XLOOKUP($N2783,Base_Enderecos!$A:$A,Base_Enderecos!$C:$C,""),"")</f>
        <v/>
      </c>
      <c r="R2783">
        <f>IF(ISNUMBER(SEARCH("HDD",$F2783)),"HDD",IF(ISNUMBER(SEARCH("VCA",$F2783)),"VCA","MND"))</f>
        <v/>
      </c>
      <c r="T2783">
        <f>TEXT($A2783,"yyyy-mm")&amp;"|"&amp;$C2783&amp;"|"&amp;$I2783</f>
        <v/>
      </c>
    </row>
    <row r="2784">
      <c r="A2784" s="36" t="n">
        <v>46178</v>
      </c>
      <c r="B2784" t="inlineStr">
        <is>
          <t>Sexta</t>
        </is>
      </c>
      <c r="C2784" t="inlineStr">
        <is>
          <t>RCE Conj. União</t>
        </is>
      </c>
      <c r="D2784" t="inlineStr">
        <is>
          <t>Silvestre</t>
        </is>
      </c>
      <c r="E2784" t="inlineStr">
        <is>
          <t>Jonathan</t>
        </is>
      </c>
      <c r="F2784" t="inlineStr">
        <is>
          <t>Transformação PV 40.1</t>
        </is>
      </c>
      <c r="G2784" t="inlineStr">
        <is>
          <t>40.1</t>
        </is>
      </c>
      <c r="I2784" t="inlineStr">
        <is>
          <t>40.1</t>
        </is>
      </c>
      <c r="J2784" t="inlineStr">
        <is>
          <t>Transformação</t>
        </is>
      </c>
      <c r="K2784" t="inlineStr">
        <is>
          <t>Planejamento</t>
        </is>
      </c>
      <c r="L2784" t="inlineStr">
        <is>
          <t>pds_colado_2026-06-03_a_2026-06-08.txt</t>
        </is>
      </c>
      <c r="M2784">
        <f>IF($A2784="","",TEXT($A2784,"mmmm/yyyy"))</f>
        <v/>
      </c>
      <c r="P2784">
        <f>IFERROR(XLOOKUP($N2784,Base_Enderecos!$A:$A,Base_Enderecos!$B:$B,""),"")</f>
        <v/>
      </c>
      <c r="Q2784">
        <f>IFERROR(XLOOKUP($N2784,Base_Enderecos!$A:$A,Base_Enderecos!$C:$C,""),"")</f>
        <v/>
      </c>
      <c r="R2784">
        <f>IF(ISNUMBER(SEARCH("HDD",$F2784)),"HDD",IF(ISNUMBER(SEARCH("VCA",$F2784)),"VCA","MND"))</f>
        <v/>
      </c>
      <c r="T2784">
        <f>TEXT($A2784,"yyyy-mm")&amp;"|"&amp;$C2784&amp;"|"&amp;$I2784</f>
        <v/>
      </c>
    </row>
    <row r="2785">
      <c r="A2785" s="36" t="n">
        <v>46178</v>
      </c>
      <c r="B2785" t="inlineStr">
        <is>
          <t>Sexta</t>
        </is>
      </c>
      <c r="C2785" t="inlineStr">
        <is>
          <t>RCE Elias Sleiman / CT João Canzi</t>
        </is>
      </c>
      <c r="D2785" t="inlineStr">
        <is>
          <t>Silvestre</t>
        </is>
      </c>
      <c r="E2785" t="inlineStr">
        <is>
          <t>Edvando</t>
        </is>
      </c>
      <c r="F2785" t="inlineStr">
        <is>
          <t>VCA + interl PV 17 ao PV 22</t>
        </is>
      </c>
      <c r="G2785" t="inlineStr">
        <is>
          <t>17</t>
        </is>
      </c>
      <c r="H2785" t="inlineStr">
        <is>
          <t>22</t>
        </is>
      </c>
      <c r="I2785" t="inlineStr">
        <is>
          <t>17 ao 22</t>
        </is>
      </c>
      <c r="J2785" t="inlineStr">
        <is>
          <t>VCA</t>
        </is>
      </c>
      <c r="K2785" t="inlineStr">
        <is>
          <t>Planejamento</t>
        </is>
      </c>
      <c r="L2785" t="inlineStr">
        <is>
          <t>pds_colado_2026-06-03_a_2026-06-08.txt</t>
        </is>
      </c>
      <c r="M2785">
        <f>IF($A2785="","",TEXT($A2785,"mmmm/yyyy"))</f>
        <v/>
      </c>
      <c r="P2785">
        <f>IFERROR(XLOOKUP($N2785,Base_Enderecos!$A:$A,Base_Enderecos!$B:$B,""),"")</f>
        <v/>
      </c>
      <c r="Q2785">
        <f>IFERROR(XLOOKUP($N2785,Base_Enderecos!$A:$A,Base_Enderecos!$C:$C,""),"")</f>
        <v/>
      </c>
      <c r="R2785">
        <f>IF(ISNUMBER(SEARCH("HDD",$F2785)),"HDD",IF(ISNUMBER(SEARCH("VCA",$F2785)),"VCA","MND"))</f>
        <v/>
      </c>
      <c r="T2785">
        <f>TEXT($A2785,"yyyy-mm")&amp;"|"&amp;$C2785&amp;"|"&amp;$I2785</f>
        <v/>
      </c>
    </row>
    <row r="2786">
      <c r="A2786" s="36" t="n">
        <v>46178</v>
      </c>
      <c r="B2786" t="inlineStr">
        <is>
          <t>Sexta</t>
        </is>
      </c>
      <c r="C2786" t="inlineStr">
        <is>
          <t>RCE São Lucas</t>
        </is>
      </c>
      <c r="D2786" t="inlineStr">
        <is>
          <t>Fábio</t>
        </is>
      </c>
      <c r="E2786" t="inlineStr">
        <is>
          <t>Ricardo</t>
        </is>
      </c>
      <c r="F2786" t="inlineStr">
        <is>
          <t>VCA, PVs e Ligações; (PI 08 ao PI 09)</t>
        </is>
      </c>
      <c r="G2786" t="inlineStr">
        <is>
          <t>08</t>
        </is>
      </c>
      <c r="H2786" t="inlineStr">
        <is>
          <t>09</t>
        </is>
      </c>
      <c r="I2786" t="inlineStr">
        <is>
          <t>08 ao 09</t>
        </is>
      </c>
      <c r="J2786" t="inlineStr">
        <is>
          <t>VCA</t>
        </is>
      </c>
      <c r="K2786" t="inlineStr">
        <is>
          <t>Planejamento</t>
        </is>
      </c>
      <c r="L2786" t="inlineStr">
        <is>
          <t>pds_colado_2026-06-03_a_2026-06-08.txt</t>
        </is>
      </c>
      <c r="M2786">
        <f>IF($A2786="","",TEXT($A2786,"mmmm/yyyy"))</f>
        <v/>
      </c>
      <c r="P2786">
        <f>IFERROR(XLOOKUP($N2786,Base_Enderecos!$A:$A,Base_Enderecos!$B:$B,""),"")</f>
        <v/>
      </c>
      <c r="Q2786">
        <f>IFERROR(XLOOKUP($N2786,Base_Enderecos!$A:$A,Base_Enderecos!$C:$C,""),"")</f>
        <v/>
      </c>
      <c r="R2786">
        <f>IF(ISNUMBER(SEARCH("HDD",$F2786)),"HDD",IF(ISNUMBER(SEARCH("VCA",$F2786)),"VCA","MND"))</f>
        <v/>
      </c>
      <c r="T2786">
        <f>TEXT($A2786,"yyyy-mm")&amp;"|"&amp;$C2786&amp;"|"&amp;$I2786</f>
        <v/>
      </c>
    </row>
    <row r="2787">
      <c r="A2787" s="36" t="n">
        <v>46178</v>
      </c>
      <c r="B2787" t="inlineStr">
        <is>
          <t>Sexta</t>
        </is>
      </c>
      <c r="C2787" t="inlineStr">
        <is>
          <t>RCE São Lucas</t>
        </is>
      </c>
      <c r="D2787" t="inlineStr">
        <is>
          <t>Fábio</t>
        </is>
      </c>
      <c r="E2787" t="inlineStr">
        <is>
          <t>Claudinei</t>
        </is>
      </c>
      <c r="F2787" t="inlineStr">
        <is>
          <t>VCA, PVs e Ligações; (PI 37 ao PI 38)</t>
        </is>
      </c>
      <c r="G2787" t="inlineStr">
        <is>
          <t>37</t>
        </is>
      </c>
      <c r="H2787" t="inlineStr">
        <is>
          <t>38</t>
        </is>
      </c>
      <c r="I2787" t="inlineStr">
        <is>
          <t>37 ao 38</t>
        </is>
      </c>
      <c r="J2787" t="inlineStr">
        <is>
          <t>VCA</t>
        </is>
      </c>
      <c r="K2787" t="inlineStr">
        <is>
          <t>Planejamento</t>
        </is>
      </c>
      <c r="L2787" t="inlineStr">
        <is>
          <t>pds_colado_2026-06-03_a_2026-06-08.txt</t>
        </is>
      </c>
      <c r="M2787">
        <f>IF($A2787="","",TEXT($A2787,"mmmm/yyyy"))</f>
        <v/>
      </c>
      <c r="P2787">
        <f>IFERROR(XLOOKUP($N2787,Base_Enderecos!$A:$A,Base_Enderecos!$B:$B,""),"")</f>
        <v/>
      </c>
      <c r="Q2787">
        <f>IFERROR(XLOOKUP($N2787,Base_Enderecos!$A:$A,Base_Enderecos!$C:$C,""),"")</f>
        <v/>
      </c>
      <c r="R2787">
        <f>IF(ISNUMBER(SEARCH("HDD",$F2787)),"HDD",IF(ISNUMBER(SEARCH("VCA",$F2787)),"VCA","MND"))</f>
        <v/>
      </c>
      <c r="T2787">
        <f>TEXT($A2787,"yyyy-mm")&amp;"|"&amp;$C2787&amp;"|"&amp;$I2787</f>
        <v/>
      </c>
    </row>
    <row r="2788">
      <c r="A2788" s="36" t="n">
        <v>46178</v>
      </c>
      <c r="B2788" t="inlineStr">
        <is>
          <t>Sexta</t>
        </is>
      </c>
      <c r="C2788" t="inlineStr">
        <is>
          <t>RCE São Lucas</t>
        </is>
      </c>
      <c r="D2788" t="inlineStr">
        <is>
          <t>Fábio</t>
        </is>
      </c>
      <c r="E2788" t="inlineStr">
        <is>
          <t>Miro</t>
        </is>
      </c>
      <c r="F2788" t="inlineStr">
        <is>
          <t>VCA, PVs e Ligações; (PI 32 ao PI 60)</t>
        </is>
      </c>
      <c r="G2788" t="inlineStr">
        <is>
          <t>32</t>
        </is>
      </c>
      <c r="H2788" t="inlineStr">
        <is>
          <t>60</t>
        </is>
      </c>
      <c r="I2788" t="inlineStr">
        <is>
          <t>32 ao 60</t>
        </is>
      </c>
      <c r="J2788" t="inlineStr">
        <is>
          <t>VCA</t>
        </is>
      </c>
      <c r="K2788" t="inlineStr">
        <is>
          <t>Planejamento</t>
        </is>
      </c>
      <c r="L2788" t="inlineStr">
        <is>
          <t>pds_colado_2026-06-03_a_2026-06-08.txt</t>
        </is>
      </c>
      <c r="M2788">
        <f>IF($A2788="","",TEXT($A2788,"mmmm/yyyy"))</f>
        <v/>
      </c>
      <c r="P2788">
        <f>IFERROR(XLOOKUP($N2788,Base_Enderecos!$A:$A,Base_Enderecos!$B:$B,""),"")</f>
        <v/>
      </c>
      <c r="Q2788">
        <f>IFERROR(XLOOKUP($N2788,Base_Enderecos!$A:$A,Base_Enderecos!$C:$C,""),"")</f>
        <v/>
      </c>
      <c r="R2788">
        <f>IF(ISNUMBER(SEARCH("HDD",$F2788)),"HDD",IF(ISNUMBER(SEARCH("VCA",$F2788)),"VCA","MND"))</f>
        <v/>
      </c>
      <c r="T2788">
        <f>TEXT($A2788,"yyyy-mm")&amp;"|"&amp;$C2788&amp;"|"&amp;$I2788</f>
        <v/>
      </c>
    </row>
    <row r="2789">
      <c r="A2789" s="36" t="n">
        <v>46178</v>
      </c>
      <c r="B2789" t="inlineStr">
        <is>
          <t>Sexta</t>
        </is>
      </c>
      <c r="C2789" t="inlineStr">
        <is>
          <t>RCE São Lucas</t>
        </is>
      </c>
      <c r="D2789" t="inlineStr">
        <is>
          <t>Fábio</t>
        </is>
      </c>
      <c r="E2789" t="inlineStr">
        <is>
          <t>Emanuel</t>
        </is>
      </c>
      <c r="F2789" t="inlineStr">
        <is>
          <t>VCA, PVs e Ligações; (PI 25 ao PI 26)</t>
        </is>
      </c>
      <c r="G2789" t="inlineStr">
        <is>
          <t>25</t>
        </is>
      </c>
      <c r="H2789" t="inlineStr">
        <is>
          <t>26</t>
        </is>
      </c>
      <c r="I2789" t="inlineStr">
        <is>
          <t>25 ao 26</t>
        </is>
      </c>
      <c r="J2789" t="inlineStr">
        <is>
          <t>VCA</t>
        </is>
      </c>
      <c r="K2789" t="inlineStr">
        <is>
          <t>Planejamento</t>
        </is>
      </c>
      <c r="L2789" t="inlineStr">
        <is>
          <t>pds_colado_2026-06-03_a_2026-06-08.txt</t>
        </is>
      </c>
      <c r="M2789">
        <f>IF($A2789="","",TEXT($A2789,"mmmm/yyyy"))</f>
        <v/>
      </c>
      <c r="P2789">
        <f>IFERROR(XLOOKUP($N2789,Base_Enderecos!$A:$A,Base_Enderecos!$B:$B,""),"")</f>
        <v/>
      </c>
      <c r="Q2789">
        <f>IFERROR(XLOOKUP($N2789,Base_Enderecos!$A:$A,Base_Enderecos!$C:$C,""),"")</f>
        <v/>
      </c>
      <c r="R2789">
        <f>IF(ISNUMBER(SEARCH("HDD",$F2789)),"HDD",IF(ISNUMBER(SEARCH("VCA",$F2789)),"VCA","MND"))</f>
        <v/>
      </c>
      <c r="T2789">
        <f>TEXT($A2789,"yyyy-mm")&amp;"|"&amp;$C2789&amp;"|"&amp;$I2789</f>
        <v/>
      </c>
    </row>
    <row r="2790">
      <c r="A2790" s="36" t="n">
        <v>46178</v>
      </c>
      <c r="B2790" t="inlineStr">
        <is>
          <t>Sexta</t>
        </is>
      </c>
      <c r="C2790" t="inlineStr">
        <is>
          <t>RCE São Lucas</t>
        </is>
      </c>
      <c r="D2790" t="inlineStr">
        <is>
          <t>Fábio</t>
        </is>
      </c>
      <c r="E2790" t="inlineStr">
        <is>
          <t>Antonio</t>
        </is>
      </c>
      <c r="F2790" t="inlineStr">
        <is>
          <t>VCA, PVs e Ligações; (Início Ponto 04)*</t>
        </is>
      </c>
      <c r="J2790" t="inlineStr">
        <is>
          <t>VCA</t>
        </is>
      </c>
      <c r="K2790" t="inlineStr">
        <is>
          <t>Planejamento</t>
        </is>
      </c>
      <c r="L2790" t="inlineStr">
        <is>
          <t>pds_colado_2026-06-03_a_2026-06-08.txt</t>
        </is>
      </c>
      <c r="M2790">
        <f>IF($A2790="","",TEXT($A2790,"mmmm/yyyy"))</f>
        <v/>
      </c>
      <c r="P2790">
        <f>IFERROR(XLOOKUP($N2790,Base_Enderecos!$A:$A,Base_Enderecos!$B:$B,""),"")</f>
        <v/>
      </c>
      <c r="Q2790">
        <f>IFERROR(XLOOKUP($N2790,Base_Enderecos!$A:$A,Base_Enderecos!$C:$C,""),"")</f>
        <v/>
      </c>
      <c r="R2790">
        <f>IF(ISNUMBER(SEARCH("HDD",$F2790)),"HDD",IF(ISNUMBER(SEARCH("VCA",$F2790)),"VCA","MND"))</f>
        <v/>
      </c>
      <c r="T2790">
        <f>TEXT($A2790,"yyyy-mm")&amp;"|"&amp;$C2790&amp;"|"&amp;$I2790</f>
        <v/>
      </c>
    </row>
    <row r="2791">
      <c r="A2791" s="36" t="n">
        <v>46178</v>
      </c>
      <c r="B2791" t="inlineStr">
        <is>
          <t>Sexta</t>
        </is>
      </c>
      <c r="C2791" t="inlineStr">
        <is>
          <t>CTS Lourdes Complementar</t>
        </is>
      </c>
      <c r="D2791" t="inlineStr">
        <is>
          <t>Robson</t>
        </is>
      </c>
      <c r="E2791" t="inlineStr">
        <is>
          <t>Marcelo</t>
        </is>
      </c>
      <c r="F2791" t="inlineStr">
        <is>
          <t>Transformação PV 04</t>
        </is>
      </c>
      <c r="G2791" t="inlineStr">
        <is>
          <t>04</t>
        </is>
      </c>
      <c r="I2791" t="inlineStr">
        <is>
          <t>04</t>
        </is>
      </c>
      <c r="J2791" t="inlineStr">
        <is>
          <t>Transformação</t>
        </is>
      </c>
      <c r="K2791" t="inlineStr">
        <is>
          <t>Planejamento</t>
        </is>
      </c>
      <c r="L2791" t="inlineStr">
        <is>
          <t>pds_colado_2026-06-03_a_2026-06-08.txt</t>
        </is>
      </c>
      <c r="M2791">
        <f>IF($A2791="","",TEXT($A2791,"mmmm/yyyy"))</f>
        <v/>
      </c>
      <c r="P2791">
        <f>IFERROR(XLOOKUP($N2791,Base_Enderecos!$A:$A,Base_Enderecos!$B:$B,""),"")</f>
        <v/>
      </c>
      <c r="Q2791">
        <f>IFERROR(XLOOKUP($N2791,Base_Enderecos!$A:$A,Base_Enderecos!$C:$C,""),"")</f>
        <v/>
      </c>
      <c r="R2791">
        <f>IF(ISNUMBER(SEARCH("HDD",$F2791)),"HDD",IF(ISNUMBER(SEARCH("VCA",$F2791)),"VCA","MND"))</f>
        <v/>
      </c>
      <c r="T2791">
        <f>TEXT($A2791,"yyyy-mm")&amp;"|"&amp;$C2791&amp;"|"&amp;$I2791</f>
        <v/>
      </c>
    </row>
    <row r="2792">
      <c r="A2792" s="36" t="n">
        <v>46178</v>
      </c>
      <c r="B2792" t="inlineStr">
        <is>
          <t>Sexta</t>
        </is>
      </c>
      <c r="C2792" t="inlineStr">
        <is>
          <t>CTS Lourdes Complementar</t>
        </is>
      </c>
      <c r="D2792" t="inlineStr">
        <is>
          <t>Robson</t>
        </is>
      </c>
      <c r="E2792" t="inlineStr">
        <is>
          <t>Márcio</t>
        </is>
      </c>
      <c r="F2792" t="inlineStr">
        <is>
          <t>Shaft PV 05</t>
        </is>
      </c>
      <c r="G2792" t="inlineStr">
        <is>
          <t>05</t>
        </is>
      </c>
      <c r="I2792" t="inlineStr">
        <is>
          <t>05</t>
        </is>
      </c>
      <c r="J2792" t="inlineStr">
        <is>
          <t>Shaft</t>
        </is>
      </c>
      <c r="K2792" t="inlineStr">
        <is>
          <t>Planejamento</t>
        </is>
      </c>
      <c r="L2792" t="inlineStr">
        <is>
          <t>pds_colado_2026-06-03_a_2026-06-08.txt</t>
        </is>
      </c>
      <c r="M2792">
        <f>IF($A2792="","",TEXT($A2792,"mmmm/yyyy"))</f>
        <v/>
      </c>
      <c r="P2792">
        <f>IFERROR(XLOOKUP($N2792,Base_Enderecos!$A:$A,Base_Enderecos!$B:$B,""),"")</f>
        <v/>
      </c>
      <c r="Q2792">
        <f>IFERROR(XLOOKUP($N2792,Base_Enderecos!$A:$A,Base_Enderecos!$C:$C,""),"")</f>
        <v/>
      </c>
      <c r="R2792">
        <f>IF(ISNUMBER(SEARCH("HDD",$F2792)),"HDD",IF(ISNUMBER(SEARCH("VCA",$F2792)),"VCA","MND"))</f>
        <v/>
      </c>
      <c r="T2792">
        <f>TEXT($A2792,"yyyy-mm")&amp;"|"&amp;$C2792&amp;"|"&amp;$I2792</f>
        <v/>
      </c>
    </row>
    <row r="2793">
      <c r="A2793" s="36" t="n">
        <v>46178</v>
      </c>
      <c r="B2793" t="inlineStr">
        <is>
          <t>Sexta</t>
        </is>
      </c>
      <c r="C2793" t="inlineStr">
        <is>
          <t>CTS Lourdes Complementar</t>
        </is>
      </c>
      <c r="D2793" t="inlineStr">
        <is>
          <t>Robson</t>
        </is>
      </c>
      <c r="E2793" t="inlineStr">
        <is>
          <t>Márcio</t>
        </is>
      </c>
      <c r="F2793" t="inlineStr">
        <is>
          <t>Mar de Coral/BENFICA - GABRIEL</t>
        </is>
      </c>
      <c r="J2793" t="inlineStr">
        <is>
          <t>Atividade</t>
        </is>
      </c>
      <c r="K2793" t="inlineStr">
        <is>
          <t>Planejamento</t>
        </is>
      </c>
      <c r="L2793" t="inlineStr">
        <is>
          <t>pds_colado_2026-06-03_a_2026-06-08.txt</t>
        </is>
      </c>
      <c r="M2793">
        <f>IF($A2793="","",TEXT($A2793,"mmmm/yyyy"))</f>
        <v/>
      </c>
      <c r="P2793">
        <f>IFERROR(XLOOKUP($N2793,Base_Enderecos!$A:$A,Base_Enderecos!$B:$B,""),"")</f>
        <v/>
      </c>
      <c r="Q2793">
        <f>IFERROR(XLOOKUP($N2793,Base_Enderecos!$A:$A,Base_Enderecos!$C:$C,""),"")</f>
        <v/>
      </c>
      <c r="R2793">
        <f>IF(ISNUMBER(SEARCH("HDD",$F2793)),"HDD",IF(ISNUMBER(SEARCH("VCA",$F2793)),"VCA","MND"))</f>
        <v/>
      </c>
      <c r="T2793">
        <f>TEXT($A2793,"yyyy-mm")&amp;"|"&amp;$C2793&amp;"|"&amp;$I2793</f>
        <v/>
      </c>
    </row>
    <row r="2794">
      <c r="A2794" s="36" t="n">
        <v>46178</v>
      </c>
      <c r="B2794" t="inlineStr">
        <is>
          <t>Sexta</t>
        </is>
      </c>
      <c r="C2794" t="inlineStr">
        <is>
          <t>CTS Lourdes Complementar</t>
        </is>
      </c>
      <c r="D2794" t="inlineStr">
        <is>
          <t>Robson</t>
        </is>
      </c>
      <c r="E2794" t="inlineStr">
        <is>
          <t>Cidão</t>
        </is>
      </c>
      <c r="F2794" t="inlineStr">
        <is>
          <t>Reparos Gerais</t>
        </is>
      </c>
      <c r="J2794" t="inlineStr">
        <is>
          <t>Atividade</t>
        </is>
      </c>
      <c r="K2794" t="inlineStr">
        <is>
          <t>Planejamento</t>
        </is>
      </c>
      <c r="L2794" t="inlineStr">
        <is>
          <t>pds_colado_2026-06-03_a_2026-06-08.txt</t>
        </is>
      </c>
      <c r="M2794">
        <f>IF($A2794="","",TEXT($A2794,"mmmm/yyyy"))</f>
        <v/>
      </c>
      <c r="P2794">
        <f>IFERROR(XLOOKUP($N2794,Base_Enderecos!$A:$A,Base_Enderecos!$B:$B,""),"")</f>
        <v/>
      </c>
      <c r="Q2794">
        <f>IFERROR(XLOOKUP($N2794,Base_Enderecos!$A:$A,Base_Enderecos!$C:$C,""),"")</f>
        <v/>
      </c>
      <c r="R2794">
        <f>IF(ISNUMBER(SEARCH("HDD",$F2794)),"HDD",IF(ISNUMBER(SEARCH("VCA",$F2794)),"VCA","MND"))</f>
        <v/>
      </c>
      <c r="T2794">
        <f>TEXT($A2794,"yyyy-mm")&amp;"|"&amp;$C2794&amp;"|"&amp;$I2794</f>
        <v/>
      </c>
    </row>
    <row r="2795">
      <c r="A2795" s="36" t="n">
        <v>46178</v>
      </c>
      <c r="B2795" t="inlineStr">
        <is>
          <t>Sexta</t>
        </is>
      </c>
      <c r="C2795" t="inlineStr">
        <is>
          <t>João Canzi – Henko (wellington/thiago)</t>
        </is>
      </c>
      <c r="E2795" t="inlineStr">
        <is>
          <t>Vacal</t>
        </is>
      </c>
      <c r="F2795" t="inlineStr">
        <is>
          <t>João Canzi – Henko (Wellington/Thiago)</t>
        </is>
      </c>
      <c r="J2795" t="inlineStr">
        <is>
          <t>Atividade</t>
        </is>
      </c>
      <c r="K2795" t="inlineStr">
        <is>
          <t>Apoio</t>
        </is>
      </c>
      <c r="L2795" t="inlineStr">
        <is>
          <t>pds_colado_2026-06-03_a_2026-06-08.txt</t>
        </is>
      </c>
      <c r="M2795">
        <f>IF($A2795="","",TEXT($A2795,"mmmm/yyyy"))</f>
        <v/>
      </c>
      <c r="P2795">
        <f>IFERROR(XLOOKUP($N2795,Base_Enderecos!$A:$A,Base_Enderecos!$B:$B,""),"")</f>
        <v/>
      </c>
      <c r="Q2795">
        <f>IFERROR(XLOOKUP($N2795,Base_Enderecos!$A:$A,Base_Enderecos!$C:$C,""),"")</f>
        <v/>
      </c>
      <c r="R2795">
        <f>IF(ISNUMBER(SEARCH("HDD",$F2795)),"HDD",IF(ISNUMBER(SEARCH("VCA",$F2795)),"VCA","MND"))</f>
        <v/>
      </c>
      <c r="T2795">
        <f>TEXT($A2795,"yyyy-mm")&amp;"|"&amp;$C2795&amp;"|"&amp;$I2795</f>
        <v/>
      </c>
    </row>
    <row r="2796">
      <c r="A2796" s="36" t="n">
        <v>46178</v>
      </c>
      <c r="B2796" t="inlineStr">
        <is>
          <t>Sexta</t>
        </is>
      </c>
      <c r="C2796" t="inlineStr">
        <is>
          <t>Lourdes – Henko (marcio)</t>
        </is>
      </c>
      <c r="E2796" t="inlineStr">
        <is>
          <t>Vacal</t>
        </is>
      </c>
      <c r="F2796" t="inlineStr">
        <is>
          <t>Lourdes – Henko (Marcio)</t>
        </is>
      </c>
      <c r="J2796" t="inlineStr">
        <is>
          <t>Atividade</t>
        </is>
      </c>
      <c r="K2796" t="inlineStr">
        <is>
          <t>Apoio</t>
        </is>
      </c>
      <c r="L2796" t="inlineStr">
        <is>
          <t>pds_colado_2026-06-03_a_2026-06-08.txt</t>
        </is>
      </c>
      <c r="M2796">
        <f>IF($A2796="","",TEXT($A2796,"mmmm/yyyy"))</f>
        <v/>
      </c>
      <c r="P2796">
        <f>IFERROR(XLOOKUP($N2796,Base_Enderecos!$A:$A,Base_Enderecos!$B:$B,""),"")</f>
        <v/>
      </c>
      <c r="Q2796">
        <f>IFERROR(XLOOKUP($N2796,Base_Enderecos!$A:$A,Base_Enderecos!$C:$C,""),"")</f>
        <v/>
      </c>
      <c r="R2796">
        <f>IF(ISNUMBER(SEARCH("HDD",$F2796)),"HDD",IF(ISNUMBER(SEARCH("VCA",$F2796)),"VCA","MND"))</f>
        <v/>
      </c>
      <c r="T2796">
        <f>TEXT($A2796,"yyyy-mm")&amp;"|"&amp;$C2796&amp;"|"&amp;$I2796</f>
        <v/>
      </c>
    </row>
    <row r="2797">
      <c r="A2797" s="36" t="n">
        <v>46178</v>
      </c>
      <c r="B2797" t="inlineStr">
        <is>
          <t>Sexta</t>
        </is>
      </c>
      <c r="C2797" t="inlineStr">
        <is>
          <t>Iti 15 – Henko (osmar)</t>
        </is>
      </c>
      <c r="E2797" t="inlineStr">
        <is>
          <t>Vacal</t>
        </is>
      </c>
      <c r="F2797" t="inlineStr">
        <is>
          <t>ITI 15 – Henko (Osmar)</t>
        </is>
      </c>
      <c r="J2797" t="inlineStr">
        <is>
          <t>Atividade</t>
        </is>
      </c>
      <c r="K2797" t="inlineStr">
        <is>
          <t>Apoio</t>
        </is>
      </c>
      <c r="L2797" t="inlineStr">
        <is>
          <t>pds_colado_2026-06-03_a_2026-06-08.txt</t>
        </is>
      </c>
      <c r="M2797">
        <f>IF($A2797="","",TEXT($A2797,"mmmm/yyyy"))</f>
        <v/>
      </c>
      <c r="P2797">
        <f>IFERROR(XLOOKUP($N2797,Base_Enderecos!$A:$A,Base_Enderecos!$B:$B,""),"")</f>
        <v/>
      </c>
      <c r="Q2797">
        <f>IFERROR(XLOOKUP($N2797,Base_Enderecos!$A:$A,Base_Enderecos!$C:$C,""),"")</f>
        <v/>
      </c>
      <c r="R2797">
        <f>IF(ISNUMBER(SEARCH("HDD",$F2797)),"HDD",IF(ISNUMBER(SEARCH("VCA",$F2797)),"VCA","MND"))</f>
        <v/>
      </c>
      <c r="T2797">
        <f>TEXT($A2797,"yyyy-mm")&amp;"|"&amp;$C2797&amp;"|"&amp;$I2797</f>
        <v/>
      </c>
    </row>
    <row r="2798">
      <c r="A2798" s="36" t="n">
        <v>46178</v>
      </c>
      <c r="B2798" t="inlineStr">
        <is>
          <t>Sexta</t>
        </is>
      </c>
      <c r="C2798" t="inlineStr">
        <is>
          <t>Guindauto</t>
        </is>
      </c>
      <c r="E2798" t="inlineStr">
        <is>
          <t>Guindauto</t>
        </is>
      </c>
      <c r="F2798" t="inlineStr">
        <is>
          <t>Marcio - Apoio as equipes</t>
        </is>
      </c>
      <c r="J2798" t="inlineStr">
        <is>
          <t>Atividade</t>
        </is>
      </c>
      <c r="K2798" t="inlineStr">
        <is>
          <t>Apoio</t>
        </is>
      </c>
      <c r="L2798" t="inlineStr">
        <is>
          <t>pds_colado_2026-06-03_a_2026-06-08.txt</t>
        </is>
      </c>
      <c r="M2798">
        <f>IF($A2798="","",TEXT($A2798,"mmmm/yyyy"))</f>
        <v/>
      </c>
      <c r="P2798">
        <f>IFERROR(XLOOKUP($N2798,Base_Enderecos!$A:$A,Base_Enderecos!$B:$B,""),"")</f>
        <v/>
      </c>
      <c r="Q2798">
        <f>IFERROR(XLOOKUP($N2798,Base_Enderecos!$A:$A,Base_Enderecos!$C:$C,""),"")</f>
        <v/>
      </c>
      <c r="R2798">
        <f>IF(ISNUMBER(SEARCH("HDD",$F2798)),"HDD",IF(ISNUMBER(SEARCH("VCA",$F2798)),"VCA","MND"))</f>
        <v/>
      </c>
      <c r="T2798">
        <f>TEXT($A2798,"yyyy-mm")&amp;"|"&amp;$C2798&amp;"|"&amp;$I2798</f>
        <v/>
      </c>
    </row>
    <row r="2799">
      <c r="A2799" s="36" t="n">
        <v>46178</v>
      </c>
      <c r="B2799" t="inlineStr">
        <is>
          <t>Sexta</t>
        </is>
      </c>
      <c r="C2799" t="inlineStr">
        <is>
          <t>Guindauto</t>
        </is>
      </c>
      <c r="E2799" t="inlineStr">
        <is>
          <t>Guindauto</t>
        </is>
      </c>
      <c r="F2799" t="inlineStr">
        <is>
          <t>Luiz - Apoio as equipes</t>
        </is>
      </c>
      <c r="J2799" t="inlineStr">
        <is>
          <t>Atividade</t>
        </is>
      </c>
      <c r="K2799" t="inlineStr">
        <is>
          <t>Apoio</t>
        </is>
      </c>
      <c r="L2799" t="inlineStr">
        <is>
          <t>pds_colado_2026-06-03_a_2026-06-08.txt</t>
        </is>
      </c>
      <c r="M2799">
        <f>IF($A2799="","",TEXT($A2799,"mmmm/yyyy"))</f>
        <v/>
      </c>
      <c r="P2799">
        <f>IFERROR(XLOOKUP($N2799,Base_Enderecos!$A:$A,Base_Enderecos!$B:$B,""),"")</f>
        <v/>
      </c>
      <c r="Q2799">
        <f>IFERROR(XLOOKUP($N2799,Base_Enderecos!$A:$A,Base_Enderecos!$C:$C,""),"")</f>
        <v/>
      </c>
      <c r="R2799">
        <f>IF(ISNUMBER(SEARCH("HDD",$F2799)),"HDD",IF(ISNUMBER(SEARCH("VCA",$F2799)),"VCA","MND"))</f>
        <v/>
      </c>
      <c r="T2799">
        <f>TEXT($A2799,"yyyy-mm")&amp;"|"&amp;$C2799&amp;"|"&amp;$I2799</f>
        <v/>
      </c>
    </row>
    <row r="2800">
      <c r="A2800" s="36" t="n">
        <v>46179</v>
      </c>
      <c r="B2800" t="inlineStr">
        <is>
          <t>Sábado</t>
        </is>
      </c>
      <c r="C2800" t="inlineStr">
        <is>
          <t>CT João Canzi</t>
        </is>
      </c>
      <c r="D2800" t="inlineStr">
        <is>
          <t>Valmir</t>
        </is>
      </c>
      <c r="E2800" t="inlineStr">
        <is>
          <t>Goiânia Drill</t>
        </is>
      </c>
      <c r="F2800" t="inlineStr">
        <is>
          <t>Complemento Puxe PV 10.1 ao PV 10</t>
        </is>
      </c>
      <c r="G2800" t="inlineStr">
        <is>
          <t>10.1</t>
        </is>
      </c>
      <c r="H2800" t="inlineStr">
        <is>
          <t>10</t>
        </is>
      </c>
      <c r="I2800" t="inlineStr">
        <is>
          <t>10.1 ao 10</t>
        </is>
      </c>
      <c r="J2800" t="inlineStr">
        <is>
          <t>HDD</t>
        </is>
      </c>
      <c r="K2800" t="inlineStr">
        <is>
          <t>Planejamento</t>
        </is>
      </c>
      <c r="L2800" t="inlineStr">
        <is>
          <t>pds_colado_2026-06-03_a_2026-06-08.txt</t>
        </is>
      </c>
      <c r="M2800">
        <f>IF($A2800="","",TEXT($A2800,"mmmm/yyyy"))</f>
        <v/>
      </c>
      <c r="P2800">
        <f>IFERROR(XLOOKUP($N2800,Base_Enderecos!$A:$A,Base_Enderecos!$B:$B,""),"")</f>
        <v/>
      </c>
      <c r="Q2800">
        <f>IFERROR(XLOOKUP($N2800,Base_Enderecos!$A:$A,Base_Enderecos!$C:$C,""),"")</f>
        <v/>
      </c>
      <c r="R2800">
        <f>IF(ISNUMBER(SEARCH("HDD",$F2800)),"HDD",IF(ISNUMBER(SEARCH("VCA",$F2800)),"VCA","MND"))</f>
        <v/>
      </c>
      <c r="T2800">
        <f>TEXT($A2800,"yyyy-mm")&amp;"|"&amp;$C2800&amp;"|"&amp;$I2800</f>
        <v/>
      </c>
    </row>
    <row r="2801">
      <c r="A2801" s="36" t="n">
        <v>46179</v>
      </c>
      <c r="B2801" t="inlineStr">
        <is>
          <t>Sábado</t>
        </is>
      </c>
      <c r="C2801" t="inlineStr">
        <is>
          <t>CT João Canzi</t>
        </is>
      </c>
      <c r="D2801" t="inlineStr">
        <is>
          <t>Valmir</t>
        </is>
      </c>
      <c r="E2801" t="inlineStr">
        <is>
          <t>Bruno</t>
        </is>
      </c>
      <c r="F2801" t="inlineStr">
        <is>
          <t>Apoio ao HDD</t>
        </is>
      </c>
      <c r="J2801" t="inlineStr">
        <is>
          <t>HDD</t>
        </is>
      </c>
      <c r="K2801" t="inlineStr">
        <is>
          <t>Planejamento</t>
        </is>
      </c>
      <c r="L2801" t="inlineStr">
        <is>
          <t>pds_colado_2026-06-03_a_2026-06-08.txt</t>
        </is>
      </c>
      <c r="M2801">
        <f>IF($A2801="","",TEXT($A2801,"mmmm/yyyy"))</f>
        <v/>
      </c>
      <c r="P2801">
        <f>IFERROR(XLOOKUP($N2801,Base_Enderecos!$A:$A,Base_Enderecos!$B:$B,""),"")</f>
        <v/>
      </c>
      <c r="Q2801">
        <f>IFERROR(XLOOKUP($N2801,Base_Enderecos!$A:$A,Base_Enderecos!$C:$C,""),"")</f>
        <v/>
      </c>
      <c r="R2801">
        <f>IF(ISNUMBER(SEARCH("HDD",$F2801)),"HDD",IF(ISNUMBER(SEARCH("VCA",$F2801)),"VCA","MND"))</f>
        <v/>
      </c>
      <c r="T2801">
        <f>TEXT($A2801,"yyyy-mm")&amp;"|"&amp;$C2801&amp;"|"&amp;$I2801</f>
        <v/>
      </c>
    </row>
    <row r="2802">
      <c r="A2802" s="36" t="n">
        <v>46179</v>
      </c>
      <c r="B2802" t="inlineStr">
        <is>
          <t>Sábado</t>
        </is>
      </c>
      <c r="C2802" t="inlineStr">
        <is>
          <t>CT João Canzi</t>
        </is>
      </c>
      <c r="D2802" t="inlineStr">
        <is>
          <t>Valmir</t>
        </is>
      </c>
      <c r="E2802" t="inlineStr">
        <is>
          <t>Jhonatan</t>
        </is>
      </c>
      <c r="F2802" t="inlineStr">
        <is>
          <t>Transformação PV 17</t>
        </is>
      </c>
      <c r="G2802" t="inlineStr">
        <is>
          <t>17</t>
        </is>
      </c>
      <c r="I2802" t="inlineStr">
        <is>
          <t>17</t>
        </is>
      </c>
      <c r="J2802" t="inlineStr">
        <is>
          <t>Transformação</t>
        </is>
      </c>
      <c r="K2802" t="inlineStr">
        <is>
          <t>Planejamento</t>
        </is>
      </c>
      <c r="L2802" t="inlineStr">
        <is>
          <t>pds_colado_2026-06-03_a_2026-06-08.txt</t>
        </is>
      </c>
      <c r="M2802">
        <f>IF($A2802="","",TEXT($A2802,"mmmm/yyyy"))</f>
        <v/>
      </c>
      <c r="P2802">
        <f>IFERROR(XLOOKUP($N2802,Base_Enderecos!$A:$A,Base_Enderecos!$B:$B,""),"")</f>
        <v/>
      </c>
      <c r="Q2802">
        <f>IFERROR(XLOOKUP($N2802,Base_Enderecos!$A:$A,Base_Enderecos!$C:$C,""),"")</f>
        <v/>
      </c>
      <c r="R2802">
        <f>IF(ISNUMBER(SEARCH("HDD",$F2802)),"HDD",IF(ISNUMBER(SEARCH("VCA",$F2802)),"VCA","MND"))</f>
        <v/>
      </c>
      <c r="T2802">
        <f>TEXT($A2802,"yyyy-mm")&amp;"|"&amp;$C2802&amp;"|"&amp;$I2802</f>
        <v/>
      </c>
    </row>
    <row r="2803">
      <c r="A2803" s="36" t="n">
        <v>46179</v>
      </c>
      <c r="B2803" t="inlineStr">
        <is>
          <t>Sábado</t>
        </is>
      </c>
      <c r="C2803" t="inlineStr">
        <is>
          <t>RCE Maria Santos Machado</t>
        </is>
      </c>
      <c r="D2803" t="inlineStr">
        <is>
          <t>Valmir</t>
        </is>
      </c>
      <c r="E2803" t="inlineStr">
        <is>
          <t>Cesar</t>
        </is>
      </c>
      <c r="F2803" t="inlineStr">
        <is>
          <t>VCA e PVP-0</t>
        </is>
      </c>
      <c r="J2803" t="inlineStr">
        <is>
          <t>VCA</t>
        </is>
      </c>
      <c r="K2803" t="inlineStr">
        <is>
          <t>Planejamento</t>
        </is>
      </c>
      <c r="L2803" t="inlineStr">
        <is>
          <t>pds_colado_2026-06-03_a_2026-06-08.txt</t>
        </is>
      </c>
      <c r="M2803">
        <f>IF($A2803="","",TEXT($A2803,"mmmm/yyyy"))</f>
        <v/>
      </c>
      <c r="P2803">
        <f>IFERROR(XLOOKUP($N2803,Base_Enderecos!$A:$A,Base_Enderecos!$B:$B,""),"")</f>
        <v/>
      </c>
      <c r="Q2803">
        <f>IFERROR(XLOOKUP($N2803,Base_Enderecos!$A:$A,Base_Enderecos!$C:$C,""),"")</f>
        <v/>
      </c>
      <c r="R2803">
        <f>IF(ISNUMBER(SEARCH("HDD",$F2803)),"HDD",IF(ISNUMBER(SEARCH("VCA",$F2803)),"VCA","MND"))</f>
        <v/>
      </c>
      <c r="T2803">
        <f>TEXT($A2803,"yyyy-mm")&amp;"|"&amp;$C2803&amp;"|"&amp;$I2803</f>
        <v/>
      </c>
    </row>
    <row r="2804">
      <c r="A2804" s="36" t="n">
        <v>46179</v>
      </c>
      <c r="B2804" t="inlineStr">
        <is>
          <t>Sábado</t>
        </is>
      </c>
      <c r="C2804" t="inlineStr">
        <is>
          <t>RCE Elias Sleiman / CT João Canzi</t>
        </is>
      </c>
      <c r="D2804" t="inlineStr">
        <is>
          <t>Antonio</t>
        </is>
      </c>
      <c r="E2804" t="inlineStr">
        <is>
          <t>Edvando</t>
        </is>
      </c>
      <c r="F2804" t="inlineStr">
        <is>
          <t>VCA + interl PV 21 ao PV 22</t>
        </is>
      </c>
      <c r="G2804" t="inlineStr">
        <is>
          <t>21</t>
        </is>
      </c>
      <c r="H2804" t="inlineStr">
        <is>
          <t>22</t>
        </is>
      </c>
      <c r="I2804" t="inlineStr">
        <is>
          <t>21 ao 22</t>
        </is>
      </c>
      <c r="J2804" t="inlineStr">
        <is>
          <t>VCA</t>
        </is>
      </c>
      <c r="K2804" t="inlineStr">
        <is>
          <t>Planejamento</t>
        </is>
      </c>
      <c r="L2804" t="inlineStr">
        <is>
          <t>pds_colado_2026-06-03_a_2026-06-08.txt</t>
        </is>
      </c>
      <c r="M2804">
        <f>IF($A2804="","",TEXT($A2804,"mmmm/yyyy"))</f>
        <v/>
      </c>
      <c r="P2804">
        <f>IFERROR(XLOOKUP($N2804,Base_Enderecos!$A:$A,Base_Enderecos!$B:$B,""),"")</f>
        <v/>
      </c>
      <c r="Q2804">
        <f>IFERROR(XLOOKUP($N2804,Base_Enderecos!$A:$A,Base_Enderecos!$C:$C,""),"")</f>
        <v/>
      </c>
      <c r="R2804">
        <f>IF(ISNUMBER(SEARCH("HDD",$F2804)),"HDD",IF(ISNUMBER(SEARCH("VCA",$F2804)),"VCA","MND"))</f>
        <v/>
      </c>
      <c r="T2804">
        <f>TEXT($A2804,"yyyy-mm")&amp;"|"&amp;$C2804&amp;"|"&amp;$I2804</f>
        <v/>
      </c>
    </row>
    <row r="2805">
      <c r="A2805" s="36" t="n">
        <v>46179</v>
      </c>
      <c r="B2805" t="inlineStr">
        <is>
          <t>Sábado</t>
        </is>
      </c>
      <c r="C2805" t="inlineStr">
        <is>
          <t>RCE Elias Sleiman / CT João Canzi</t>
        </is>
      </c>
      <c r="D2805" t="inlineStr">
        <is>
          <t>Antonio</t>
        </is>
      </c>
      <c r="E2805" t="inlineStr">
        <is>
          <t>Cidão</t>
        </is>
      </c>
      <c r="F2805" t="inlineStr">
        <is>
          <t>VCA + interl PV 25 ao PV 26</t>
        </is>
      </c>
      <c r="G2805" t="inlineStr">
        <is>
          <t>25</t>
        </is>
      </c>
      <c r="H2805" t="inlineStr">
        <is>
          <t>26</t>
        </is>
      </c>
      <c r="I2805" t="inlineStr">
        <is>
          <t>25 ao 26</t>
        </is>
      </c>
      <c r="J2805" t="inlineStr">
        <is>
          <t>VCA</t>
        </is>
      </c>
      <c r="K2805" t="inlineStr">
        <is>
          <t>Planejamento</t>
        </is>
      </c>
      <c r="L2805" t="inlineStr">
        <is>
          <t>pds_colado_2026-06-03_a_2026-06-08.txt</t>
        </is>
      </c>
      <c r="M2805">
        <f>IF($A2805="","",TEXT($A2805,"mmmm/yyyy"))</f>
        <v/>
      </c>
      <c r="P2805">
        <f>IFERROR(XLOOKUP($N2805,Base_Enderecos!$A:$A,Base_Enderecos!$B:$B,""),"")</f>
        <v/>
      </c>
      <c r="Q2805">
        <f>IFERROR(XLOOKUP($N2805,Base_Enderecos!$A:$A,Base_Enderecos!$C:$C,""),"")</f>
        <v/>
      </c>
      <c r="R2805">
        <f>IF(ISNUMBER(SEARCH("HDD",$F2805)),"HDD",IF(ISNUMBER(SEARCH("VCA",$F2805)),"VCA","MND"))</f>
        <v/>
      </c>
      <c r="T2805">
        <f>TEXT($A2805,"yyyy-mm")&amp;"|"&amp;$C2805&amp;"|"&amp;$I2805</f>
        <v/>
      </c>
    </row>
    <row r="2806">
      <c r="A2806" s="36" t="n">
        <v>46179</v>
      </c>
      <c r="B2806" t="inlineStr">
        <is>
          <t>Sábado</t>
        </is>
      </c>
      <c r="C2806" t="inlineStr">
        <is>
          <t>CTS Lourdes Complementar</t>
        </is>
      </c>
      <c r="D2806" t="inlineStr">
        <is>
          <t>Antonio</t>
        </is>
      </c>
      <c r="E2806" t="inlineStr">
        <is>
          <t>Marcelo</t>
        </is>
      </c>
      <c r="F2806" t="inlineStr">
        <is>
          <t>Shaft PV 05</t>
        </is>
      </c>
      <c r="G2806" t="inlineStr">
        <is>
          <t>05</t>
        </is>
      </c>
      <c r="I2806" t="inlineStr">
        <is>
          <t>05</t>
        </is>
      </c>
      <c r="J2806" t="inlineStr">
        <is>
          <t>Shaft</t>
        </is>
      </c>
      <c r="K2806" t="inlineStr">
        <is>
          <t>Planejamento</t>
        </is>
      </c>
      <c r="L2806" t="inlineStr">
        <is>
          <t>pds_colado_2026-06-03_a_2026-06-08.txt</t>
        </is>
      </c>
      <c r="M2806">
        <f>IF($A2806="","",TEXT($A2806,"mmmm/yyyy"))</f>
        <v/>
      </c>
      <c r="P2806">
        <f>IFERROR(XLOOKUP($N2806,Base_Enderecos!$A:$A,Base_Enderecos!$B:$B,""),"")</f>
        <v/>
      </c>
      <c r="Q2806">
        <f>IFERROR(XLOOKUP($N2806,Base_Enderecos!$A:$A,Base_Enderecos!$C:$C,""),"")</f>
        <v/>
      </c>
      <c r="R2806">
        <f>IF(ISNUMBER(SEARCH("HDD",$F2806)),"HDD",IF(ISNUMBER(SEARCH("VCA",$F2806)),"VCA","MND"))</f>
        <v/>
      </c>
      <c r="T2806">
        <f>TEXT($A2806,"yyyy-mm")&amp;"|"&amp;$C2806&amp;"|"&amp;$I2806</f>
        <v/>
      </c>
    </row>
    <row r="2807">
      <c r="A2807" s="36" t="n">
        <v>46179</v>
      </c>
      <c r="B2807" t="inlineStr">
        <is>
          <t>Sábado</t>
        </is>
      </c>
      <c r="C2807" t="inlineStr">
        <is>
          <t>RCE São Lucas</t>
        </is>
      </c>
      <c r="D2807" t="inlineStr">
        <is>
          <t>Fábio</t>
        </is>
      </c>
      <c r="E2807" t="inlineStr">
        <is>
          <t>Ricardo</t>
        </is>
      </c>
      <c r="F2807" t="inlineStr">
        <is>
          <t>VCA, PVs e Ligações; (PI 08 ao PI 09)</t>
        </is>
      </c>
      <c r="G2807" t="inlineStr">
        <is>
          <t>08</t>
        </is>
      </c>
      <c r="H2807" t="inlineStr">
        <is>
          <t>09</t>
        </is>
      </c>
      <c r="I2807" t="inlineStr">
        <is>
          <t>08 ao 09</t>
        </is>
      </c>
      <c r="J2807" t="inlineStr">
        <is>
          <t>VCA</t>
        </is>
      </c>
      <c r="K2807" t="inlineStr">
        <is>
          <t>Planejamento</t>
        </is>
      </c>
      <c r="L2807" t="inlineStr">
        <is>
          <t>pds_colado_2026-06-03_a_2026-06-08.txt</t>
        </is>
      </c>
      <c r="M2807">
        <f>IF($A2807="","",TEXT($A2807,"mmmm/yyyy"))</f>
        <v/>
      </c>
      <c r="P2807">
        <f>IFERROR(XLOOKUP($N2807,Base_Enderecos!$A:$A,Base_Enderecos!$B:$B,""),"")</f>
        <v/>
      </c>
      <c r="Q2807">
        <f>IFERROR(XLOOKUP($N2807,Base_Enderecos!$A:$A,Base_Enderecos!$C:$C,""),"")</f>
        <v/>
      </c>
      <c r="R2807">
        <f>IF(ISNUMBER(SEARCH("HDD",$F2807)),"HDD",IF(ISNUMBER(SEARCH("VCA",$F2807)),"VCA","MND"))</f>
        <v/>
      </c>
      <c r="T2807">
        <f>TEXT($A2807,"yyyy-mm")&amp;"|"&amp;$C2807&amp;"|"&amp;$I2807</f>
        <v/>
      </c>
    </row>
    <row r="2808">
      <c r="A2808" s="36" t="n">
        <v>46179</v>
      </c>
      <c r="B2808" t="inlineStr">
        <is>
          <t>Sábado</t>
        </is>
      </c>
      <c r="C2808" t="inlineStr">
        <is>
          <t>RCE São Lucas</t>
        </is>
      </c>
      <c r="D2808" t="inlineStr">
        <is>
          <t>Fábio</t>
        </is>
      </c>
      <c r="E2808" t="inlineStr">
        <is>
          <t>Claudinei</t>
        </is>
      </c>
      <c r="F2808" t="inlineStr">
        <is>
          <t>VCA, PVs e Ligações; (PI 37 ao PI 38)</t>
        </is>
      </c>
      <c r="G2808" t="inlineStr">
        <is>
          <t>37</t>
        </is>
      </c>
      <c r="H2808" t="inlineStr">
        <is>
          <t>38</t>
        </is>
      </c>
      <c r="I2808" t="inlineStr">
        <is>
          <t>37 ao 38</t>
        </is>
      </c>
      <c r="J2808" t="inlineStr">
        <is>
          <t>VCA</t>
        </is>
      </c>
      <c r="K2808" t="inlineStr">
        <is>
          <t>Planejamento</t>
        </is>
      </c>
      <c r="L2808" t="inlineStr">
        <is>
          <t>pds_colado_2026-06-03_a_2026-06-08.txt</t>
        </is>
      </c>
      <c r="M2808">
        <f>IF($A2808="","",TEXT($A2808,"mmmm/yyyy"))</f>
        <v/>
      </c>
      <c r="P2808">
        <f>IFERROR(XLOOKUP($N2808,Base_Enderecos!$A:$A,Base_Enderecos!$B:$B,""),"")</f>
        <v/>
      </c>
      <c r="Q2808">
        <f>IFERROR(XLOOKUP($N2808,Base_Enderecos!$A:$A,Base_Enderecos!$C:$C,""),"")</f>
        <v/>
      </c>
      <c r="R2808">
        <f>IF(ISNUMBER(SEARCH("HDD",$F2808)),"HDD",IF(ISNUMBER(SEARCH("VCA",$F2808)),"VCA","MND"))</f>
        <v/>
      </c>
      <c r="T2808">
        <f>TEXT($A2808,"yyyy-mm")&amp;"|"&amp;$C2808&amp;"|"&amp;$I2808</f>
        <v/>
      </c>
    </row>
    <row r="2809">
      <c r="A2809" s="36" t="n">
        <v>46179</v>
      </c>
      <c r="B2809" t="inlineStr">
        <is>
          <t>Sábado</t>
        </is>
      </c>
      <c r="C2809" t="inlineStr">
        <is>
          <t>RCE São Lucas</t>
        </is>
      </c>
      <c r="D2809" t="inlineStr">
        <is>
          <t>Fábio</t>
        </is>
      </c>
      <c r="E2809" t="inlineStr">
        <is>
          <t>Miro</t>
        </is>
      </c>
      <c r="F2809" t="inlineStr">
        <is>
          <t>VCA, PVs e Ligações; (PI 60 ao PI 61)</t>
        </is>
      </c>
      <c r="G2809" t="inlineStr">
        <is>
          <t>60</t>
        </is>
      </c>
      <c r="H2809" t="inlineStr">
        <is>
          <t>61</t>
        </is>
      </c>
      <c r="I2809" t="inlineStr">
        <is>
          <t>60 ao 61</t>
        </is>
      </c>
      <c r="J2809" t="inlineStr">
        <is>
          <t>VCA</t>
        </is>
      </c>
      <c r="K2809" t="inlineStr">
        <is>
          <t>Planejamento</t>
        </is>
      </c>
      <c r="L2809" t="inlineStr">
        <is>
          <t>pds_colado_2026-06-03_a_2026-06-08.txt</t>
        </is>
      </c>
      <c r="M2809">
        <f>IF($A2809="","",TEXT($A2809,"mmmm/yyyy"))</f>
        <v/>
      </c>
      <c r="P2809">
        <f>IFERROR(XLOOKUP($N2809,Base_Enderecos!$A:$A,Base_Enderecos!$B:$B,""),"")</f>
        <v/>
      </c>
      <c r="Q2809">
        <f>IFERROR(XLOOKUP($N2809,Base_Enderecos!$A:$A,Base_Enderecos!$C:$C,""),"")</f>
        <v/>
      </c>
      <c r="R2809">
        <f>IF(ISNUMBER(SEARCH("HDD",$F2809)),"HDD",IF(ISNUMBER(SEARCH("VCA",$F2809)),"VCA","MND"))</f>
        <v/>
      </c>
      <c r="T2809">
        <f>TEXT($A2809,"yyyy-mm")&amp;"|"&amp;$C2809&amp;"|"&amp;$I2809</f>
        <v/>
      </c>
    </row>
    <row r="2810">
      <c r="A2810" s="36" t="n">
        <v>46179</v>
      </c>
      <c r="B2810" t="inlineStr">
        <is>
          <t>Sábado</t>
        </is>
      </c>
      <c r="C2810" t="inlineStr">
        <is>
          <t>RCE São Lucas</t>
        </is>
      </c>
      <c r="D2810" t="inlineStr">
        <is>
          <t>Fábio</t>
        </is>
      </c>
      <c r="E2810" t="inlineStr">
        <is>
          <t>Emanuel</t>
        </is>
      </c>
      <c r="F2810" t="inlineStr">
        <is>
          <t>VCA, PVs e Ligações; (PI 25 ao PI 26)</t>
        </is>
      </c>
      <c r="G2810" t="inlineStr">
        <is>
          <t>25</t>
        </is>
      </c>
      <c r="H2810" t="inlineStr">
        <is>
          <t>26</t>
        </is>
      </c>
      <c r="I2810" t="inlineStr">
        <is>
          <t>25 ao 26</t>
        </is>
      </c>
      <c r="J2810" t="inlineStr">
        <is>
          <t>VCA</t>
        </is>
      </c>
      <c r="K2810" t="inlineStr">
        <is>
          <t>Planejamento</t>
        </is>
      </c>
      <c r="L2810" t="inlineStr">
        <is>
          <t>pds_colado_2026-06-03_a_2026-06-08.txt</t>
        </is>
      </c>
      <c r="M2810">
        <f>IF($A2810="","",TEXT($A2810,"mmmm/yyyy"))</f>
        <v/>
      </c>
      <c r="P2810">
        <f>IFERROR(XLOOKUP($N2810,Base_Enderecos!$A:$A,Base_Enderecos!$B:$B,""),"")</f>
        <v/>
      </c>
      <c r="Q2810">
        <f>IFERROR(XLOOKUP($N2810,Base_Enderecos!$A:$A,Base_Enderecos!$C:$C,""),"")</f>
        <v/>
      </c>
      <c r="R2810">
        <f>IF(ISNUMBER(SEARCH("HDD",$F2810)),"HDD",IF(ISNUMBER(SEARCH("VCA",$F2810)),"VCA","MND"))</f>
        <v/>
      </c>
      <c r="T2810">
        <f>TEXT($A2810,"yyyy-mm")&amp;"|"&amp;$C2810&amp;"|"&amp;$I2810</f>
        <v/>
      </c>
    </row>
    <row r="2811">
      <c r="A2811" s="36" t="n">
        <v>46179</v>
      </c>
      <c r="B2811" t="inlineStr">
        <is>
          <t>Sábado</t>
        </is>
      </c>
      <c r="C2811" t="inlineStr">
        <is>
          <t>RCE São Lucas</t>
        </is>
      </c>
      <c r="D2811" t="inlineStr">
        <is>
          <t>Fábio</t>
        </is>
      </c>
      <c r="E2811" t="inlineStr">
        <is>
          <t>Antonio</t>
        </is>
      </c>
      <c r="F2811" t="inlineStr">
        <is>
          <t>VCA, PVs e Ligações; (Inicio Ponto 04)*</t>
        </is>
      </c>
      <c r="J2811" t="inlineStr">
        <is>
          <t>VCA</t>
        </is>
      </c>
      <c r="K2811" t="inlineStr">
        <is>
          <t>Planejamento</t>
        </is>
      </c>
      <c r="L2811" t="inlineStr">
        <is>
          <t>pds_colado_2026-06-03_a_2026-06-08.txt</t>
        </is>
      </c>
      <c r="M2811">
        <f>IF($A2811="","",TEXT($A2811,"mmmm/yyyy"))</f>
        <v/>
      </c>
      <c r="P2811">
        <f>IFERROR(XLOOKUP($N2811,Base_Enderecos!$A:$A,Base_Enderecos!$B:$B,""),"")</f>
        <v/>
      </c>
      <c r="Q2811">
        <f>IFERROR(XLOOKUP($N2811,Base_Enderecos!$A:$A,Base_Enderecos!$C:$C,""),"")</f>
        <v/>
      </c>
      <c r="R2811">
        <f>IF(ISNUMBER(SEARCH("HDD",$F2811)),"HDD",IF(ISNUMBER(SEARCH("VCA",$F2811)),"VCA","MND"))</f>
        <v/>
      </c>
      <c r="T2811">
        <f>TEXT($A2811,"yyyy-mm")&amp;"|"&amp;$C2811&amp;"|"&amp;$I2811</f>
        <v/>
      </c>
    </row>
    <row r="2812">
      <c r="A2812" s="36" t="n">
        <v>46179</v>
      </c>
      <c r="B2812" t="inlineStr">
        <is>
          <t>Sábado</t>
        </is>
      </c>
      <c r="C2812" t="inlineStr">
        <is>
          <t>RCE São Lucas</t>
        </is>
      </c>
      <c r="D2812" t="inlineStr">
        <is>
          <t>Fábio</t>
        </is>
      </c>
      <c r="E2812" t="inlineStr">
        <is>
          <t>Antonio</t>
        </is>
      </c>
      <c r="F2812" t="inlineStr">
        <is>
          <t>SERVIÇOS REPOSIÇÃO – LEANDRO</t>
        </is>
      </c>
      <c r="J2812" t="inlineStr">
        <is>
          <t>Atividade</t>
        </is>
      </c>
      <c r="K2812" t="inlineStr">
        <is>
          <t>Planejamento</t>
        </is>
      </c>
      <c r="L2812" t="inlineStr">
        <is>
          <t>pds_colado_2026-06-03_a_2026-06-08.txt</t>
        </is>
      </c>
      <c r="M2812">
        <f>IF($A2812="","",TEXT($A2812,"mmmm/yyyy"))</f>
        <v/>
      </c>
      <c r="P2812">
        <f>IFERROR(XLOOKUP($N2812,Base_Enderecos!$A:$A,Base_Enderecos!$B:$B,""),"")</f>
        <v/>
      </c>
      <c r="Q2812">
        <f>IFERROR(XLOOKUP($N2812,Base_Enderecos!$A:$A,Base_Enderecos!$C:$C,""),"")</f>
        <v/>
      </c>
      <c r="R2812">
        <f>IF(ISNUMBER(SEARCH("HDD",$F2812)),"HDD",IF(ISNUMBER(SEARCH("VCA",$F2812)),"VCA","MND"))</f>
        <v/>
      </c>
      <c r="T2812">
        <f>TEXT($A2812,"yyyy-mm")&amp;"|"&amp;$C2812&amp;"|"&amp;$I2812</f>
        <v/>
      </c>
    </row>
    <row r="2813">
      <c r="A2813" s="36" t="n">
        <v>46179</v>
      </c>
      <c r="B2813" t="inlineStr">
        <is>
          <t>Sábado</t>
        </is>
      </c>
      <c r="C2813" t="inlineStr">
        <is>
          <t>RCE São Lucas</t>
        </is>
      </c>
      <c r="D2813" t="inlineStr">
        <is>
          <t>Fábio</t>
        </is>
      </c>
      <c r="E2813" t="inlineStr">
        <is>
          <t>Antonio</t>
        </is>
      </c>
      <c r="F2813" t="inlineStr">
        <is>
          <t>Reparos Gerais</t>
        </is>
      </c>
      <c r="J2813" t="inlineStr">
        <is>
          <t>Atividade</t>
        </is>
      </c>
      <c r="K2813" t="inlineStr">
        <is>
          <t>Planejamento</t>
        </is>
      </c>
      <c r="L2813" t="inlineStr">
        <is>
          <t>pds_colado_2026-06-03_a_2026-06-08.txt</t>
        </is>
      </c>
      <c r="M2813">
        <f>IF($A2813="","",TEXT($A2813,"mmmm/yyyy"))</f>
        <v/>
      </c>
      <c r="P2813">
        <f>IFERROR(XLOOKUP($N2813,Base_Enderecos!$A:$A,Base_Enderecos!$B:$B,""),"")</f>
        <v/>
      </c>
      <c r="Q2813">
        <f>IFERROR(XLOOKUP($N2813,Base_Enderecos!$A:$A,Base_Enderecos!$C:$C,""),"")</f>
        <v/>
      </c>
      <c r="R2813">
        <f>IF(ISNUMBER(SEARCH("HDD",$F2813)),"HDD",IF(ISNUMBER(SEARCH("VCA",$F2813)),"VCA","MND"))</f>
        <v/>
      </c>
      <c r="T2813">
        <f>TEXT($A2813,"yyyy-mm")&amp;"|"&amp;$C2813&amp;"|"&amp;$I2813</f>
        <v/>
      </c>
    </row>
    <row r="2814">
      <c r="A2814" s="36" t="n">
        <v>46179</v>
      </c>
      <c r="B2814" t="inlineStr">
        <is>
          <t>Sábado</t>
        </is>
      </c>
      <c r="C2814" t="inlineStr">
        <is>
          <t>João Canzi – Henko (wellington/thiago)</t>
        </is>
      </c>
      <c r="E2814" t="inlineStr">
        <is>
          <t>Vacal</t>
        </is>
      </c>
      <c r="F2814" t="inlineStr">
        <is>
          <t>João Canzi – Henko (Wellington/Thiago)</t>
        </is>
      </c>
      <c r="J2814" t="inlineStr">
        <is>
          <t>Atividade</t>
        </is>
      </c>
      <c r="K2814" t="inlineStr">
        <is>
          <t>Apoio</t>
        </is>
      </c>
      <c r="L2814" t="inlineStr">
        <is>
          <t>pds_colado_2026-06-03_a_2026-06-08.txt</t>
        </is>
      </c>
      <c r="M2814">
        <f>IF($A2814="","",TEXT($A2814,"mmmm/yyyy"))</f>
        <v/>
      </c>
      <c r="P2814">
        <f>IFERROR(XLOOKUP($N2814,Base_Enderecos!$A:$A,Base_Enderecos!$B:$B,""),"")</f>
        <v/>
      </c>
      <c r="Q2814">
        <f>IFERROR(XLOOKUP($N2814,Base_Enderecos!$A:$A,Base_Enderecos!$C:$C,""),"")</f>
        <v/>
      </c>
      <c r="R2814">
        <f>IF(ISNUMBER(SEARCH("HDD",$F2814)),"HDD",IF(ISNUMBER(SEARCH("VCA",$F2814)),"VCA","MND"))</f>
        <v/>
      </c>
      <c r="T2814">
        <f>TEXT($A2814,"yyyy-mm")&amp;"|"&amp;$C2814&amp;"|"&amp;$I2814</f>
        <v/>
      </c>
    </row>
    <row r="2815">
      <c r="A2815" s="36" t="n">
        <v>46179</v>
      </c>
      <c r="B2815" t="inlineStr">
        <is>
          <t>Sábado</t>
        </is>
      </c>
      <c r="C2815" t="inlineStr">
        <is>
          <t>João Canzi – Henko (marcio)</t>
        </is>
      </c>
      <c r="E2815" t="inlineStr">
        <is>
          <t>Vacal</t>
        </is>
      </c>
      <c r="F2815" t="inlineStr">
        <is>
          <t>João Canzi – Henko (Marcio)</t>
        </is>
      </c>
      <c r="J2815" t="inlineStr">
        <is>
          <t>Atividade</t>
        </is>
      </c>
      <c r="K2815" t="inlineStr">
        <is>
          <t>Apoio</t>
        </is>
      </c>
      <c r="L2815" t="inlineStr">
        <is>
          <t>pds_colado_2026-06-03_a_2026-06-08.txt</t>
        </is>
      </c>
      <c r="M2815">
        <f>IF($A2815="","",TEXT($A2815,"mmmm/yyyy"))</f>
        <v/>
      </c>
      <c r="P2815">
        <f>IFERROR(XLOOKUP($N2815,Base_Enderecos!$A:$A,Base_Enderecos!$B:$B,""),"")</f>
        <v/>
      </c>
      <c r="Q2815">
        <f>IFERROR(XLOOKUP($N2815,Base_Enderecos!$A:$A,Base_Enderecos!$C:$C,""),"")</f>
        <v/>
      </c>
      <c r="R2815">
        <f>IF(ISNUMBER(SEARCH("HDD",$F2815)),"HDD",IF(ISNUMBER(SEARCH("VCA",$F2815)),"VCA","MND"))</f>
        <v/>
      </c>
      <c r="T2815">
        <f>TEXT($A2815,"yyyy-mm")&amp;"|"&amp;$C2815&amp;"|"&amp;$I2815</f>
        <v/>
      </c>
    </row>
    <row r="2816">
      <c r="A2816" s="36" t="n">
        <v>46179</v>
      </c>
      <c r="B2816" t="inlineStr">
        <is>
          <t>Sábado</t>
        </is>
      </c>
      <c r="C2816" t="inlineStr">
        <is>
          <t>Iti 15 – Henko (osmar)</t>
        </is>
      </c>
      <c r="E2816" t="inlineStr">
        <is>
          <t>Vacal</t>
        </is>
      </c>
      <c r="F2816" t="inlineStr">
        <is>
          <t>ITI 15 – Henko (Osmar)</t>
        </is>
      </c>
      <c r="J2816" t="inlineStr">
        <is>
          <t>Atividade</t>
        </is>
      </c>
      <c r="K2816" t="inlineStr">
        <is>
          <t>Apoio</t>
        </is>
      </c>
      <c r="L2816" t="inlineStr">
        <is>
          <t>pds_colado_2026-06-03_a_2026-06-08.txt</t>
        </is>
      </c>
      <c r="M2816">
        <f>IF($A2816="","",TEXT($A2816,"mmmm/yyyy"))</f>
        <v/>
      </c>
      <c r="P2816">
        <f>IFERROR(XLOOKUP($N2816,Base_Enderecos!$A:$A,Base_Enderecos!$B:$B,""),"")</f>
        <v/>
      </c>
      <c r="Q2816">
        <f>IFERROR(XLOOKUP($N2816,Base_Enderecos!$A:$A,Base_Enderecos!$C:$C,""),"")</f>
        <v/>
      </c>
      <c r="R2816">
        <f>IF(ISNUMBER(SEARCH("HDD",$F2816)),"HDD",IF(ISNUMBER(SEARCH("VCA",$F2816)),"VCA","MND"))</f>
        <v/>
      </c>
      <c r="T2816">
        <f>TEXT($A2816,"yyyy-mm")&amp;"|"&amp;$C2816&amp;"|"&amp;$I2816</f>
        <v/>
      </c>
    </row>
    <row r="2817">
      <c r="A2817" s="36" t="n">
        <v>46179</v>
      </c>
      <c r="B2817" t="inlineStr">
        <is>
          <t>Sábado</t>
        </is>
      </c>
      <c r="C2817" t="inlineStr">
        <is>
          <t>Guindauto</t>
        </is>
      </c>
      <c r="E2817" t="inlineStr">
        <is>
          <t>Guindauto</t>
        </is>
      </c>
      <c r="F2817" t="inlineStr">
        <is>
          <t>Luiz - Apoio as equipes</t>
        </is>
      </c>
      <c r="J2817" t="inlineStr">
        <is>
          <t>Atividade</t>
        </is>
      </c>
      <c r="K2817" t="inlineStr">
        <is>
          <t>Apoio</t>
        </is>
      </c>
      <c r="L2817" t="inlineStr">
        <is>
          <t>pds_colado_2026-06-03_a_2026-06-08.txt</t>
        </is>
      </c>
      <c r="M2817">
        <f>IF($A2817="","",TEXT($A2817,"mmmm/yyyy"))</f>
        <v/>
      </c>
      <c r="P2817">
        <f>IFERROR(XLOOKUP($N2817,Base_Enderecos!$A:$A,Base_Enderecos!$B:$B,""),"")</f>
        <v/>
      </c>
      <c r="Q2817">
        <f>IFERROR(XLOOKUP($N2817,Base_Enderecos!$A:$A,Base_Enderecos!$C:$C,""),"")</f>
        <v/>
      </c>
      <c r="R2817">
        <f>IF(ISNUMBER(SEARCH("HDD",$F2817)),"HDD",IF(ISNUMBER(SEARCH("VCA",$F2817)),"VCA","MND"))</f>
        <v/>
      </c>
      <c r="T2817">
        <f>TEXT($A2817,"yyyy-mm")&amp;"|"&amp;$C2817&amp;"|"&amp;$I2817</f>
        <v/>
      </c>
    </row>
    <row r="2818">
      <c r="A2818" s="36" t="n">
        <v>46181</v>
      </c>
      <c r="B2818" t="inlineStr">
        <is>
          <t>Segunda</t>
        </is>
      </c>
      <c r="C2818" t="inlineStr">
        <is>
          <t>CT João Canzi</t>
        </is>
      </c>
      <c r="D2818" t="inlineStr">
        <is>
          <t>Valmir</t>
        </is>
      </c>
      <c r="E2818" t="inlineStr">
        <is>
          <t>Goiânia Drill</t>
        </is>
      </c>
      <c r="F2818" t="inlineStr">
        <is>
          <t>Puxe do PV-18 ao PV-19</t>
        </is>
      </c>
      <c r="G2818" t="inlineStr">
        <is>
          <t>18</t>
        </is>
      </c>
      <c r="H2818" t="inlineStr">
        <is>
          <t>19</t>
        </is>
      </c>
      <c r="I2818" t="inlineStr">
        <is>
          <t>18 ao 19</t>
        </is>
      </c>
      <c r="J2818" t="inlineStr">
        <is>
          <t>HDD</t>
        </is>
      </c>
      <c r="K2818" t="inlineStr">
        <is>
          <t>Planejamento</t>
        </is>
      </c>
      <c r="L2818" t="inlineStr">
        <is>
          <t>pds_colado_2026-06-03_a_2026-06-08.txt</t>
        </is>
      </c>
      <c r="M2818">
        <f>IF($A2818="","",TEXT($A2818,"mmmm/yyyy"))</f>
        <v/>
      </c>
      <c r="P2818">
        <f>IFERROR(XLOOKUP($N2818,Base_Enderecos!$A:$A,Base_Enderecos!$B:$B,""),"")</f>
        <v/>
      </c>
      <c r="Q2818">
        <f>IFERROR(XLOOKUP($N2818,Base_Enderecos!$A:$A,Base_Enderecos!$C:$C,""),"")</f>
        <v/>
      </c>
      <c r="R2818">
        <f>IF(ISNUMBER(SEARCH("HDD",$F2818)),"HDD",IF(ISNUMBER(SEARCH("VCA",$F2818)),"VCA","MND"))</f>
        <v/>
      </c>
      <c r="T2818">
        <f>TEXT($A2818,"yyyy-mm")&amp;"|"&amp;$C2818&amp;"|"&amp;$I2818</f>
        <v/>
      </c>
    </row>
    <row r="2819">
      <c r="A2819" s="36" t="n">
        <v>46181</v>
      </c>
      <c r="B2819" t="inlineStr">
        <is>
          <t>Segunda</t>
        </is>
      </c>
      <c r="C2819" t="inlineStr">
        <is>
          <t>CT João Canzi</t>
        </is>
      </c>
      <c r="D2819" t="inlineStr">
        <is>
          <t>Valmir</t>
        </is>
      </c>
      <c r="E2819" t="inlineStr">
        <is>
          <t>Bruno</t>
        </is>
      </c>
      <c r="F2819" t="inlineStr">
        <is>
          <t>Apoio ao HDD</t>
        </is>
      </c>
      <c r="J2819" t="inlineStr">
        <is>
          <t>HDD</t>
        </is>
      </c>
      <c r="K2819" t="inlineStr">
        <is>
          <t>Planejamento</t>
        </is>
      </c>
      <c r="L2819" t="inlineStr">
        <is>
          <t>pds_colado_2026-06-03_a_2026-06-08.txt</t>
        </is>
      </c>
      <c r="M2819">
        <f>IF($A2819="","",TEXT($A2819,"mmmm/yyyy"))</f>
        <v/>
      </c>
      <c r="P2819">
        <f>IFERROR(XLOOKUP($N2819,Base_Enderecos!$A:$A,Base_Enderecos!$B:$B,""),"")</f>
        <v/>
      </c>
      <c r="Q2819">
        <f>IFERROR(XLOOKUP($N2819,Base_Enderecos!$A:$A,Base_Enderecos!$C:$C,""),"")</f>
        <v/>
      </c>
      <c r="R2819">
        <f>IF(ISNUMBER(SEARCH("HDD",$F2819)),"HDD",IF(ISNUMBER(SEARCH("VCA",$F2819)),"VCA","MND"))</f>
        <v/>
      </c>
      <c r="T2819">
        <f>TEXT($A2819,"yyyy-mm")&amp;"|"&amp;$C2819&amp;"|"&amp;$I2819</f>
        <v/>
      </c>
    </row>
    <row r="2820">
      <c r="A2820" s="36" t="n">
        <v>46181</v>
      </c>
      <c r="B2820" t="inlineStr">
        <is>
          <t>Segunda</t>
        </is>
      </c>
      <c r="C2820" t="inlineStr">
        <is>
          <t>CT João Canzi</t>
        </is>
      </c>
      <c r="D2820" t="inlineStr">
        <is>
          <t>Valmir</t>
        </is>
      </c>
      <c r="E2820" t="inlineStr">
        <is>
          <t>Medeiros</t>
        </is>
      </c>
      <c r="F2820" t="inlineStr">
        <is>
          <t>Reaterro Shaft PV 10.1</t>
        </is>
      </c>
      <c r="G2820" t="inlineStr">
        <is>
          <t>10.1</t>
        </is>
      </c>
      <c r="I2820" t="inlineStr">
        <is>
          <t>10.1</t>
        </is>
      </c>
      <c r="J2820" t="inlineStr">
        <is>
          <t>Shaft</t>
        </is>
      </c>
      <c r="K2820" t="inlineStr">
        <is>
          <t>Planejamento</t>
        </is>
      </c>
      <c r="L2820" t="inlineStr">
        <is>
          <t>pds_colado_2026-06-03_a_2026-06-08.txt</t>
        </is>
      </c>
      <c r="M2820">
        <f>IF($A2820="","",TEXT($A2820,"mmmm/yyyy"))</f>
        <v/>
      </c>
      <c r="P2820">
        <f>IFERROR(XLOOKUP($N2820,Base_Enderecos!$A:$A,Base_Enderecos!$B:$B,""),"")</f>
        <v/>
      </c>
      <c r="Q2820">
        <f>IFERROR(XLOOKUP($N2820,Base_Enderecos!$A:$A,Base_Enderecos!$C:$C,""),"")</f>
        <v/>
      </c>
      <c r="R2820">
        <f>IF(ISNUMBER(SEARCH("HDD",$F2820)),"HDD",IF(ISNUMBER(SEARCH("VCA",$F2820)),"VCA","MND"))</f>
        <v/>
      </c>
      <c r="T2820">
        <f>TEXT($A2820,"yyyy-mm")&amp;"|"&amp;$C2820&amp;"|"&amp;$I2820</f>
        <v/>
      </c>
    </row>
    <row r="2821">
      <c r="A2821" s="36" t="n">
        <v>46181</v>
      </c>
      <c r="B2821" t="inlineStr">
        <is>
          <t>Segunda</t>
        </is>
      </c>
      <c r="C2821" t="inlineStr">
        <is>
          <t>CT João Canzi</t>
        </is>
      </c>
      <c r="D2821" t="inlineStr">
        <is>
          <t>Valmir</t>
        </is>
      </c>
      <c r="E2821" t="inlineStr">
        <is>
          <t>Márcio</t>
        </is>
      </c>
      <c r="F2821" t="inlineStr">
        <is>
          <t>Transformação PV 10</t>
        </is>
      </c>
      <c r="G2821" t="inlineStr">
        <is>
          <t>10</t>
        </is>
      </c>
      <c r="I2821" t="inlineStr">
        <is>
          <t>10</t>
        </is>
      </c>
      <c r="J2821" t="inlineStr">
        <is>
          <t>Transformação</t>
        </is>
      </c>
      <c r="K2821" t="inlineStr">
        <is>
          <t>Planejamento</t>
        </is>
      </c>
      <c r="L2821" t="inlineStr">
        <is>
          <t>pds_colado_2026-06-03_a_2026-06-08.txt</t>
        </is>
      </c>
      <c r="M2821">
        <f>IF($A2821="","",TEXT($A2821,"mmmm/yyyy"))</f>
        <v/>
      </c>
      <c r="P2821">
        <f>IFERROR(XLOOKUP($N2821,Base_Enderecos!$A:$A,Base_Enderecos!$B:$B,""),"")</f>
        <v/>
      </c>
      <c r="Q2821">
        <f>IFERROR(XLOOKUP($N2821,Base_Enderecos!$A:$A,Base_Enderecos!$C:$C,""),"")</f>
        <v/>
      </c>
      <c r="R2821">
        <f>IF(ISNUMBER(SEARCH("HDD",$F2821)),"HDD",IF(ISNUMBER(SEARCH("VCA",$F2821)),"VCA","MND"))</f>
        <v/>
      </c>
      <c r="T2821">
        <f>TEXT($A2821,"yyyy-mm")&amp;"|"&amp;$C2821&amp;"|"&amp;$I2821</f>
        <v/>
      </c>
    </row>
    <row r="2822">
      <c r="A2822" s="36" t="n">
        <v>46181</v>
      </c>
      <c r="B2822" t="inlineStr">
        <is>
          <t>Segunda</t>
        </is>
      </c>
      <c r="C2822" t="inlineStr">
        <is>
          <t>RCE Elvira</t>
        </is>
      </c>
      <c r="D2822" t="inlineStr">
        <is>
          <t>Silvestre</t>
        </is>
      </c>
      <c r="E2822" t="inlineStr">
        <is>
          <t>Valter</t>
        </is>
      </c>
      <c r="F2822" t="inlineStr">
        <is>
          <t>VCA, PVs e Ligações</t>
        </is>
      </c>
      <c r="J2822" t="inlineStr">
        <is>
          <t>VCA</t>
        </is>
      </c>
      <c r="K2822" t="inlineStr">
        <is>
          <t>Planejamento</t>
        </is>
      </c>
      <c r="L2822" t="inlineStr">
        <is>
          <t>pds_colado_2026-06-03_a_2026-06-08.txt</t>
        </is>
      </c>
      <c r="M2822">
        <f>IF($A2822="","",TEXT($A2822,"mmmm/yyyy"))</f>
        <v/>
      </c>
      <c r="P2822">
        <f>IFERROR(XLOOKUP($N2822,Base_Enderecos!$A:$A,Base_Enderecos!$B:$B,""),"")</f>
        <v/>
      </c>
      <c r="Q2822">
        <f>IFERROR(XLOOKUP($N2822,Base_Enderecos!$A:$A,Base_Enderecos!$C:$C,""),"")</f>
        <v/>
      </c>
      <c r="R2822">
        <f>IF(ISNUMBER(SEARCH("HDD",$F2822)),"HDD",IF(ISNUMBER(SEARCH("VCA",$F2822)),"VCA","MND"))</f>
        <v/>
      </c>
      <c r="T2822">
        <f>TEXT($A2822,"yyyy-mm")&amp;"|"&amp;$C2822&amp;"|"&amp;$I2822</f>
        <v/>
      </c>
    </row>
    <row r="2823">
      <c r="A2823" s="36" t="n">
        <v>46181</v>
      </c>
      <c r="B2823" t="inlineStr">
        <is>
          <t>Segunda</t>
        </is>
      </c>
      <c r="C2823" t="inlineStr">
        <is>
          <t>RCE Elias Sleiman</t>
        </is>
      </c>
      <c r="D2823" t="inlineStr">
        <is>
          <t>Silvestre</t>
        </is>
      </c>
      <c r="E2823" t="inlineStr">
        <is>
          <t>Edvando</t>
        </is>
      </c>
      <c r="F2823" t="inlineStr">
        <is>
          <t>VCA PV 22 ao PV 23</t>
        </is>
      </c>
      <c r="G2823" t="inlineStr">
        <is>
          <t>22</t>
        </is>
      </c>
      <c r="H2823" t="inlineStr">
        <is>
          <t>23</t>
        </is>
      </c>
      <c r="I2823" t="inlineStr">
        <is>
          <t>22 ao 23</t>
        </is>
      </c>
      <c r="J2823" t="inlineStr">
        <is>
          <t>VCA</t>
        </is>
      </c>
      <c r="K2823" t="inlineStr">
        <is>
          <t>Planejamento</t>
        </is>
      </c>
      <c r="L2823" t="inlineStr">
        <is>
          <t>pds_colado_2026-06-03_a_2026-06-08.txt</t>
        </is>
      </c>
      <c r="M2823">
        <f>IF($A2823="","",TEXT($A2823,"mmmm/yyyy"))</f>
        <v/>
      </c>
      <c r="P2823">
        <f>IFERROR(XLOOKUP($N2823,Base_Enderecos!$A:$A,Base_Enderecos!$B:$B,""),"")</f>
        <v/>
      </c>
      <c r="Q2823">
        <f>IFERROR(XLOOKUP($N2823,Base_Enderecos!$A:$A,Base_Enderecos!$C:$C,""),"")</f>
        <v/>
      </c>
      <c r="R2823">
        <f>IF(ISNUMBER(SEARCH("HDD",$F2823)),"HDD",IF(ISNUMBER(SEARCH("VCA",$F2823)),"VCA","MND"))</f>
        <v/>
      </c>
      <c r="T2823">
        <f>TEXT($A2823,"yyyy-mm")&amp;"|"&amp;$C2823&amp;"|"&amp;$I2823</f>
        <v/>
      </c>
    </row>
    <row r="2824">
      <c r="A2824" s="36" t="n">
        <v>46181</v>
      </c>
      <c r="B2824" t="inlineStr">
        <is>
          <t>Segunda</t>
        </is>
      </c>
      <c r="C2824" t="inlineStr">
        <is>
          <t>RCE Conj. União</t>
        </is>
      </c>
      <c r="D2824" t="inlineStr">
        <is>
          <t>Caroline</t>
        </is>
      </c>
      <c r="E2824" t="inlineStr">
        <is>
          <t>Jhonatan</t>
        </is>
      </c>
      <c r="F2824" t="inlineStr">
        <is>
          <t>VCA, PVs e Ligações</t>
        </is>
      </c>
      <c r="J2824" t="inlineStr">
        <is>
          <t>VCA</t>
        </is>
      </c>
      <c r="K2824" t="inlineStr">
        <is>
          <t>Planejamento</t>
        </is>
      </c>
      <c r="L2824" t="inlineStr">
        <is>
          <t>pds_colado_2026-06-03_a_2026-06-08.txt</t>
        </is>
      </c>
      <c r="M2824">
        <f>IF($A2824="","",TEXT($A2824,"mmmm/yyyy"))</f>
        <v/>
      </c>
      <c r="P2824">
        <f>IFERROR(XLOOKUP($N2824,Base_Enderecos!$A:$A,Base_Enderecos!$B:$B,""),"")</f>
        <v/>
      </c>
      <c r="Q2824">
        <f>IFERROR(XLOOKUP($N2824,Base_Enderecos!$A:$A,Base_Enderecos!$C:$C,""),"")</f>
        <v/>
      </c>
      <c r="R2824">
        <f>IF(ISNUMBER(SEARCH("HDD",$F2824)),"HDD",IF(ISNUMBER(SEARCH("VCA",$F2824)),"VCA","MND"))</f>
        <v/>
      </c>
      <c r="T2824">
        <f>TEXT($A2824,"yyyy-mm")&amp;"|"&amp;$C2824&amp;"|"&amp;$I2824</f>
        <v/>
      </c>
    </row>
    <row r="2825">
      <c r="A2825" s="36" t="n">
        <v>46181</v>
      </c>
      <c r="B2825" t="inlineStr">
        <is>
          <t>Segunda</t>
        </is>
      </c>
      <c r="C2825" t="inlineStr">
        <is>
          <t>RCE Américo Machado/elis Regina</t>
        </is>
      </c>
      <c r="D2825" t="inlineStr">
        <is>
          <t>Caroline</t>
        </is>
      </c>
      <c r="E2825" t="inlineStr">
        <is>
          <t>Cesar</t>
        </is>
      </c>
      <c r="F2825" t="inlineStr">
        <is>
          <t>VCA, PVs e Ligações</t>
        </is>
      </c>
      <c r="J2825" t="inlineStr">
        <is>
          <t>VCA</t>
        </is>
      </c>
      <c r="K2825" t="inlineStr">
        <is>
          <t>Planejamento</t>
        </is>
      </c>
      <c r="L2825" t="inlineStr">
        <is>
          <t>pds_colado_2026-06-03_a_2026-06-08.txt</t>
        </is>
      </c>
      <c r="M2825">
        <f>IF($A2825="","",TEXT($A2825,"mmmm/yyyy"))</f>
        <v/>
      </c>
      <c r="P2825">
        <f>IFERROR(XLOOKUP($N2825,Base_Enderecos!$A:$A,Base_Enderecos!$B:$B,""),"")</f>
        <v/>
      </c>
      <c r="Q2825">
        <f>IFERROR(XLOOKUP($N2825,Base_Enderecos!$A:$A,Base_Enderecos!$C:$C,""),"")</f>
        <v/>
      </c>
      <c r="R2825">
        <f>IF(ISNUMBER(SEARCH("HDD",$F2825)),"HDD",IF(ISNUMBER(SEARCH("VCA",$F2825)),"VCA","MND"))</f>
        <v/>
      </c>
      <c r="T2825">
        <f>TEXT($A2825,"yyyy-mm")&amp;"|"&amp;$C2825&amp;"|"&amp;$I2825</f>
        <v/>
      </c>
    </row>
    <row r="2826">
      <c r="A2826" s="36" t="n">
        <v>46181</v>
      </c>
      <c r="B2826" t="inlineStr">
        <is>
          <t>Segunda</t>
        </is>
      </c>
      <c r="C2826" t="inlineStr">
        <is>
          <t>CTS Lourdes Complementar</t>
        </is>
      </c>
      <c r="D2826" t="inlineStr">
        <is>
          <t>Robson</t>
        </is>
      </c>
      <c r="E2826" t="inlineStr">
        <is>
          <t>Marcelo</t>
        </is>
      </c>
      <c r="F2826" t="inlineStr">
        <is>
          <t>Transformação PV 05 + Interligação</t>
        </is>
      </c>
      <c r="G2826" t="inlineStr">
        <is>
          <t>05</t>
        </is>
      </c>
      <c r="I2826" t="inlineStr">
        <is>
          <t>05</t>
        </is>
      </c>
      <c r="J2826" t="inlineStr">
        <is>
          <t>Transformação</t>
        </is>
      </c>
      <c r="K2826" t="inlineStr">
        <is>
          <t>Planejamento</t>
        </is>
      </c>
      <c r="L2826" t="inlineStr">
        <is>
          <t>pds_colado_2026-06-03_a_2026-06-08.txt</t>
        </is>
      </c>
      <c r="M2826">
        <f>IF($A2826="","",TEXT($A2826,"mmmm/yyyy"))</f>
        <v/>
      </c>
      <c r="P2826">
        <f>IFERROR(XLOOKUP($N2826,Base_Enderecos!$A:$A,Base_Enderecos!$B:$B,""),"")</f>
        <v/>
      </c>
      <c r="Q2826">
        <f>IFERROR(XLOOKUP($N2826,Base_Enderecos!$A:$A,Base_Enderecos!$C:$C,""),"")</f>
        <v/>
      </c>
      <c r="R2826">
        <f>IF(ISNUMBER(SEARCH("HDD",$F2826)),"HDD",IF(ISNUMBER(SEARCH("VCA",$F2826)),"VCA","MND"))</f>
        <v/>
      </c>
      <c r="T2826">
        <f>TEXT($A2826,"yyyy-mm")&amp;"|"&amp;$C2826&amp;"|"&amp;$I2826</f>
        <v/>
      </c>
    </row>
    <row r="2827">
      <c r="A2827" s="36" t="n">
        <v>46181</v>
      </c>
      <c r="B2827" t="inlineStr">
        <is>
          <t>Segunda</t>
        </is>
      </c>
      <c r="C2827" t="inlineStr">
        <is>
          <t>RCE São Lucas</t>
        </is>
      </c>
      <c r="D2827" t="inlineStr">
        <is>
          <t>Fábio</t>
        </is>
      </c>
      <c r="E2827" t="inlineStr">
        <is>
          <t>Ricardo</t>
        </is>
      </c>
      <c r="F2827" t="inlineStr">
        <is>
          <t>VCA, PVs e Ligações</t>
        </is>
      </c>
      <c r="J2827" t="inlineStr">
        <is>
          <t>VCA</t>
        </is>
      </c>
      <c r="K2827" t="inlineStr">
        <is>
          <t>Planejamento</t>
        </is>
      </c>
      <c r="L2827" t="inlineStr">
        <is>
          <t>pds_colado_2026-06-03_a_2026-06-08.txt</t>
        </is>
      </c>
      <c r="M2827">
        <f>IF($A2827="","",TEXT($A2827,"mmmm/yyyy"))</f>
        <v/>
      </c>
      <c r="P2827">
        <f>IFERROR(XLOOKUP($N2827,Base_Enderecos!$A:$A,Base_Enderecos!$B:$B,""),"")</f>
        <v/>
      </c>
      <c r="Q2827">
        <f>IFERROR(XLOOKUP($N2827,Base_Enderecos!$A:$A,Base_Enderecos!$C:$C,""),"")</f>
        <v/>
      </c>
      <c r="R2827">
        <f>IF(ISNUMBER(SEARCH("HDD",$F2827)),"HDD",IF(ISNUMBER(SEARCH("VCA",$F2827)),"VCA","MND"))</f>
        <v/>
      </c>
      <c r="T2827">
        <f>TEXT($A2827,"yyyy-mm")&amp;"|"&amp;$C2827&amp;"|"&amp;$I2827</f>
        <v/>
      </c>
    </row>
    <row r="2828">
      <c r="A2828" s="36" t="n">
        <v>46181</v>
      </c>
      <c r="B2828" t="inlineStr">
        <is>
          <t>Segunda</t>
        </is>
      </c>
      <c r="C2828" t="inlineStr">
        <is>
          <t>RCE São Lucas</t>
        </is>
      </c>
      <c r="D2828" t="inlineStr">
        <is>
          <t>Fábio</t>
        </is>
      </c>
      <c r="E2828" t="inlineStr">
        <is>
          <t>Claudinei</t>
        </is>
      </c>
      <c r="F2828" t="inlineStr">
        <is>
          <t>VCA, PVs e Ligações</t>
        </is>
      </c>
      <c r="J2828" t="inlineStr">
        <is>
          <t>VCA</t>
        </is>
      </c>
      <c r="K2828" t="inlineStr">
        <is>
          <t>Planejamento</t>
        </is>
      </c>
      <c r="L2828" t="inlineStr">
        <is>
          <t>pds_colado_2026-06-03_a_2026-06-08.txt</t>
        </is>
      </c>
      <c r="M2828">
        <f>IF($A2828="","",TEXT($A2828,"mmmm/yyyy"))</f>
        <v/>
      </c>
      <c r="P2828">
        <f>IFERROR(XLOOKUP($N2828,Base_Enderecos!$A:$A,Base_Enderecos!$B:$B,""),"")</f>
        <v/>
      </c>
      <c r="Q2828">
        <f>IFERROR(XLOOKUP($N2828,Base_Enderecos!$A:$A,Base_Enderecos!$C:$C,""),"")</f>
        <v/>
      </c>
      <c r="R2828">
        <f>IF(ISNUMBER(SEARCH("HDD",$F2828)),"HDD",IF(ISNUMBER(SEARCH("VCA",$F2828)),"VCA","MND"))</f>
        <v/>
      </c>
      <c r="T2828">
        <f>TEXT($A2828,"yyyy-mm")&amp;"|"&amp;$C2828&amp;"|"&amp;$I2828</f>
        <v/>
      </c>
    </row>
    <row r="2829">
      <c r="A2829" s="36" t="n">
        <v>46181</v>
      </c>
      <c r="B2829" t="inlineStr">
        <is>
          <t>Segunda</t>
        </is>
      </c>
      <c r="C2829" t="inlineStr">
        <is>
          <t>RCE São Lucas</t>
        </is>
      </c>
      <c r="D2829" t="inlineStr">
        <is>
          <t>Fábio</t>
        </is>
      </c>
      <c r="E2829" t="inlineStr">
        <is>
          <t>Miro</t>
        </is>
      </c>
      <c r="F2829" t="inlineStr">
        <is>
          <t>VCA, PVs e Ligações</t>
        </is>
      </c>
      <c r="J2829" t="inlineStr">
        <is>
          <t>VCA</t>
        </is>
      </c>
      <c r="K2829" t="inlineStr">
        <is>
          <t>Planejamento</t>
        </is>
      </c>
      <c r="L2829" t="inlineStr">
        <is>
          <t>pds_colado_2026-06-03_a_2026-06-08.txt</t>
        </is>
      </c>
      <c r="M2829">
        <f>IF($A2829="","",TEXT($A2829,"mmmm/yyyy"))</f>
        <v/>
      </c>
      <c r="P2829">
        <f>IFERROR(XLOOKUP($N2829,Base_Enderecos!$A:$A,Base_Enderecos!$B:$B,""),"")</f>
        <v/>
      </c>
      <c r="Q2829">
        <f>IFERROR(XLOOKUP($N2829,Base_Enderecos!$A:$A,Base_Enderecos!$C:$C,""),"")</f>
        <v/>
      </c>
      <c r="R2829">
        <f>IF(ISNUMBER(SEARCH("HDD",$F2829)),"HDD",IF(ISNUMBER(SEARCH("VCA",$F2829)),"VCA","MND"))</f>
        <v/>
      </c>
      <c r="T2829">
        <f>TEXT($A2829,"yyyy-mm")&amp;"|"&amp;$C2829&amp;"|"&amp;$I2829</f>
        <v/>
      </c>
    </row>
    <row r="2830">
      <c r="A2830" s="36" t="n">
        <v>46181</v>
      </c>
      <c r="B2830" t="inlineStr">
        <is>
          <t>Segunda</t>
        </is>
      </c>
      <c r="C2830" t="inlineStr">
        <is>
          <t>RCE São Lucas</t>
        </is>
      </c>
      <c r="D2830" t="inlineStr">
        <is>
          <t>Fábio</t>
        </is>
      </c>
      <c r="E2830" t="inlineStr">
        <is>
          <t>Emanuel</t>
        </is>
      </c>
      <c r="F2830" t="inlineStr">
        <is>
          <t>VCA, PVs e Ligações</t>
        </is>
      </c>
      <c r="J2830" t="inlineStr">
        <is>
          <t>VCA</t>
        </is>
      </c>
      <c r="K2830" t="inlineStr">
        <is>
          <t>Planejamento</t>
        </is>
      </c>
      <c r="L2830" t="inlineStr">
        <is>
          <t>pds_colado_2026-06-03_a_2026-06-08.txt</t>
        </is>
      </c>
      <c r="M2830">
        <f>IF($A2830="","",TEXT($A2830,"mmmm/yyyy"))</f>
        <v/>
      </c>
      <c r="P2830">
        <f>IFERROR(XLOOKUP($N2830,Base_Enderecos!$A:$A,Base_Enderecos!$B:$B,""),"")</f>
        <v/>
      </c>
      <c r="Q2830">
        <f>IFERROR(XLOOKUP($N2830,Base_Enderecos!$A:$A,Base_Enderecos!$C:$C,""),"")</f>
        <v/>
      </c>
      <c r="R2830">
        <f>IF(ISNUMBER(SEARCH("HDD",$F2830)),"HDD",IF(ISNUMBER(SEARCH("VCA",$F2830)),"VCA","MND"))</f>
        <v/>
      </c>
      <c r="T2830">
        <f>TEXT($A2830,"yyyy-mm")&amp;"|"&amp;$C2830&amp;"|"&amp;$I2830</f>
        <v/>
      </c>
    </row>
    <row r="2831">
      <c r="A2831" s="36" t="n">
        <v>46181</v>
      </c>
      <c r="B2831" t="inlineStr">
        <is>
          <t>Segunda</t>
        </is>
      </c>
      <c r="C2831" t="inlineStr">
        <is>
          <t>RCE São Lucas</t>
        </is>
      </c>
      <c r="D2831" t="inlineStr">
        <is>
          <t>Fábio</t>
        </is>
      </c>
      <c r="E2831" t="inlineStr">
        <is>
          <t>Antonio</t>
        </is>
      </c>
      <c r="F2831" t="inlineStr">
        <is>
          <t>VCA, PVs e Ligações</t>
        </is>
      </c>
      <c r="J2831" t="inlineStr">
        <is>
          <t>VCA</t>
        </is>
      </c>
      <c r="K2831" t="inlineStr">
        <is>
          <t>Planejamento</t>
        </is>
      </c>
      <c r="L2831" t="inlineStr">
        <is>
          <t>pds_colado_2026-06-03_a_2026-06-08.txt</t>
        </is>
      </c>
      <c r="M2831">
        <f>IF($A2831="","",TEXT($A2831,"mmmm/yyyy"))</f>
        <v/>
      </c>
      <c r="P2831">
        <f>IFERROR(XLOOKUP($N2831,Base_Enderecos!$A:$A,Base_Enderecos!$B:$B,""),"")</f>
        <v/>
      </c>
      <c r="Q2831">
        <f>IFERROR(XLOOKUP($N2831,Base_Enderecos!$A:$A,Base_Enderecos!$C:$C,""),"")</f>
        <v/>
      </c>
      <c r="R2831">
        <f>IF(ISNUMBER(SEARCH("HDD",$F2831)),"HDD",IF(ISNUMBER(SEARCH("VCA",$F2831)),"VCA","MND"))</f>
        <v/>
      </c>
      <c r="T2831">
        <f>TEXT($A2831,"yyyy-mm")&amp;"|"&amp;$C2831&amp;"|"&amp;$I2831</f>
        <v/>
      </c>
    </row>
    <row r="2832">
      <c r="A2832" s="36" t="n">
        <v>46181</v>
      </c>
      <c r="B2832" t="inlineStr">
        <is>
          <t>Segunda</t>
        </is>
      </c>
      <c r="C2832" t="inlineStr">
        <is>
          <t>RCE São Lucas</t>
        </is>
      </c>
      <c r="D2832" t="inlineStr">
        <is>
          <t>Fábio</t>
        </is>
      </c>
      <c r="E2832" t="inlineStr">
        <is>
          <t>Antonio</t>
        </is>
      </c>
      <c r="F2832" t="inlineStr">
        <is>
          <t>SERVIÇOS REPOSIÇÃO – LEANDRO</t>
        </is>
      </c>
      <c r="J2832" t="inlineStr">
        <is>
          <t>Atividade</t>
        </is>
      </c>
      <c r="K2832" t="inlineStr">
        <is>
          <t>Planejamento</t>
        </is>
      </c>
      <c r="L2832" t="inlineStr">
        <is>
          <t>pds_colado_2026-06-03_a_2026-06-08.txt</t>
        </is>
      </c>
      <c r="M2832">
        <f>IF($A2832="","",TEXT($A2832,"mmmm/yyyy"))</f>
        <v/>
      </c>
      <c r="P2832">
        <f>IFERROR(XLOOKUP($N2832,Base_Enderecos!$A:$A,Base_Enderecos!$B:$B,""),"")</f>
        <v/>
      </c>
      <c r="Q2832">
        <f>IFERROR(XLOOKUP($N2832,Base_Enderecos!$A:$A,Base_Enderecos!$C:$C,""),"")</f>
        <v/>
      </c>
      <c r="R2832">
        <f>IF(ISNUMBER(SEARCH("HDD",$F2832)),"HDD",IF(ISNUMBER(SEARCH("VCA",$F2832)),"VCA","MND"))</f>
        <v/>
      </c>
      <c r="T2832">
        <f>TEXT($A2832,"yyyy-mm")&amp;"|"&amp;$C2832&amp;"|"&amp;$I2832</f>
        <v/>
      </c>
    </row>
    <row r="2833">
      <c r="A2833" s="36" t="n">
        <v>46181</v>
      </c>
      <c r="B2833" t="inlineStr">
        <is>
          <t>Segunda</t>
        </is>
      </c>
      <c r="C2833" t="inlineStr">
        <is>
          <t>RCE São Lucas</t>
        </is>
      </c>
      <c r="D2833" t="inlineStr">
        <is>
          <t>Fábio</t>
        </is>
      </c>
      <c r="E2833" t="inlineStr">
        <is>
          <t>Antonio</t>
        </is>
      </c>
      <c r="F2833" t="inlineStr">
        <is>
          <t>Reparos Gerais</t>
        </is>
      </c>
      <c r="J2833" t="inlineStr">
        <is>
          <t>Atividade</t>
        </is>
      </c>
      <c r="K2833" t="inlineStr">
        <is>
          <t>Planejamento</t>
        </is>
      </c>
      <c r="L2833" t="inlineStr">
        <is>
          <t>pds_colado_2026-06-03_a_2026-06-08.txt</t>
        </is>
      </c>
      <c r="M2833">
        <f>IF($A2833="","",TEXT($A2833,"mmmm/yyyy"))</f>
        <v/>
      </c>
      <c r="P2833">
        <f>IFERROR(XLOOKUP($N2833,Base_Enderecos!$A:$A,Base_Enderecos!$B:$B,""),"")</f>
        <v/>
      </c>
      <c r="Q2833">
        <f>IFERROR(XLOOKUP($N2833,Base_Enderecos!$A:$A,Base_Enderecos!$C:$C,""),"")</f>
        <v/>
      </c>
      <c r="R2833">
        <f>IF(ISNUMBER(SEARCH("HDD",$F2833)),"HDD",IF(ISNUMBER(SEARCH("VCA",$F2833)),"VCA","MND"))</f>
        <v/>
      </c>
      <c r="T2833">
        <f>TEXT($A2833,"yyyy-mm")&amp;"|"&amp;$C2833&amp;"|"&amp;$I2833</f>
        <v/>
      </c>
    </row>
    <row r="2834">
      <c r="A2834" s="36" t="n">
        <v>46181</v>
      </c>
      <c r="B2834" t="inlineStr">
        <is>
          <t>Segunda</t>
        </is>
      </c>
      <c r="C2834" t="inlineStr">
        <is>
          <t>CTS Lageado</t>
        </is>
      </c>
      <c r="D2834" t="inlineStr">
        <is>
          <t>Gabriel</t>
        </is>
      </c>
      <c r="E2834" t="inlineStr">
        <is>
          <t>Cidão</t>
        </is>
      </c>
      <c r="F2834" t="inlineStr">
        <is>
          <t>Acabamentos gerais</t>
        </is>
      </c>
      <c r="J2834" t="inlineStr">
        <is>
          <t>Acabamento</t>
        </is>
      </c>
      <c r="K2834" t="inlineStr">
        <is>
          <t>Planejamento</t>
        </is>
      </c>
      <c r="L2834" t="inlineStr">
        <is>
          <t>pds_colado_2026-06-03_a_2026-06-08.txt</t>
        </is>
      </c>
      <c r="M2834">
        <f>IF($A2834="","",TEXT($A2834,"mmmm/yyyy"))</f>
        <v/>
      </c>
      <c r="P2834">
        <f>IFERROR(XLOOKUP($N2834,Base_Enderecos!$A:$A,Base_Enderecos!$B:$B,""),"")</f>
        <v/>
      </c>
      <c r="Q2834">
        <f>IFERROR(XLOOKUP($N2834,Base_Enderecos!$A:$A,Base_Enderecos!$C:$C,""),"")</f>
        <v/>
      </c>
      <c r="R2834">
        <f>IF(ISNUMBER(SEARCH("HDD",$F2834)),"HDD",IF(ISNUMBER(SEARCH("VCA",$F2834)),"VCA","MND"))</f>
        <v/>
      </c>
      <c r="T2834">
        <f>TEXT($A2834,"yyyy-mm")&amp;"|"&amp;$C2834&amp;"|"&amp;$I2834</f>
        <v/>
      </c>
    </row>
    <row r="2835">
      <c r="A2835" s="36" t="n">
        <v>46181</v>
      </c>
      <c r="B2835" t="inlineStr">
        <is>
          <t>Segunda</t>
        </is>
      </c>
      <c r="C2835" t="inlineStr">
        <is>
          <t>João Canzi – Henko (wellington/thiago)</t>
        </is>
      </c>
      <c r="E2835" t="inlineStr">
        <is>
          <t>Vacal</t>
        </is>
      </c>
      <c r="F2835" t="inlineStr">
        <is>
          <t>João Canzi – Henko (Wellington/Thiago)</t>
        </is>
      </c>
      <c r="J2835" t="inlineStr">
        <is>
          <t>Atividade</t>
        </is>
      </c>
      <c r="K2835" t="inlineStr">
        <is>
          <t>Apoio</t>
        </is>
      </c>
      <c r="L2835" t="inlineStr">
        <is>
          <t>pds_colado_2026-06-03_a_2026-06-08.txt</t>
        </is>
      </c>
      <c r="M2835">
        <f>IF($A2835="","",TEXT($A2835,"mmmm/yyyy"))</f>
        <v/>
      </c>
      <c r="P2835">
        <f>IFERROR(XLOOKUP($N2835,Base_Enderecos!$A:$A,Base_Enderecos!$B:$B,""),"")</f>
        <v/>
      </c>
      <c r="Q2835">
        <f>IFERROR(XLOOKUP($N2835,Base_Enderecos!$A:$A,Base_Enderecos!$C:$C,""),"")</f>
        <v/>
      </c>
      <c r="R2835">
        <f>IF(ISNUMBER(SEARCH("HDD",$F2835)),"HDD",IF(ISNUMBER(SEARCH("VCA",$F2835)),"VCA","MND"))</f>
        <v/>
      </c>
      <c r="T2835">
        <f>TEXT($A2835,"yyyy-mm")&amp;"|"&amp;$C2835&amp;"|"&amp;$I2835</f>
        <v/>
      </c>
    </row>
    <row r="2836">
      <c r="A2836" s="36" t="n">
        <v>46181</v>
      </c>
      <c r="B2836" t="inlineStr">
        <is>
          <t>Segunda</t>
        </is>
      </c>
      <c r="C2836" t="inlineStr">
        <is>
          <t>João Canzi – Henko (marcio)</t>
        </is>
      </c>
      <c r="E2836" t="inlineStr">
        <is>
          <t>Vacal</t>
        </is>
      </c>
      <c r="F2836" t="inlineStr">
        <is>
          <t>João Canzi – Henko (Marcio)</t>
        </is>
      </c>
      <c r="J2836" t="inlineStr">
        <is>
          <t>Atividade</t>
        </is>
      </c>
      <c r="K2836" t="inlineStr">
        <is>
          <t>Apoio</t>
        </is>
      </c>
      <c r="L2836" t="inlineStr">
        <is>
          <t>pds_colado_2026-06-03_a_2026-06-08.txt</t>
        </is>
      </c>
      <c r="M2836">
        <f>IF($A2836="","",TEXT($A2836,"mmmm/yyyy"))</f>
        <v/>
      </c>
      <c r="P2836">
        <f>IFERROR(XLOOKUP($N2836,Base_Enderecos!$A:$A,Base_Enderecos!$B:$B,""),"")</f>
        <v/>
      </c>
      <c r="Q2836">
        <f>IFERROR(XLOOKUP($N2836,Base_Enderecos!$A:$A,Base_Enderecos!$C:$C,""),"")</f>
        <v/>
      </c>
      <c r="R2836">
        <f>IF(ISNUMBER(SEARCH("HDD",$F2836)),"HDD",IF(ISNUMBER(SEARCH("VCA",$F2836)),"VCA","MND"))</f>
        <v/>
      </c>
      <c r="T2836">
        <f>TEXT($A2836,"yyyy-mm")&amp;"|"&amp;$C2836&amp;"|"&amp;$I2836</f>
        <v/>
      </c>
    </row>
    <row r="2837">
      <c r="A2837" s="36" t="n">
        <v>46181</v>
      </c>
      <c r="B2837" t="inlineStr">
        <is>
          <t>Segunda</t>
        </is>
      </c>
      <c r="C2837" t="inlineStr">
        <is>
          <t>Iti 15 – Henko (osmar)</t>
        </is>
      </c>
      <c r="E2837" t="inlineStr">
        <is>
          <t>Vacal</t>
        </is>
      </c>
      <c r="F2837" t="inlineStr">
        <is>
          <t>ITI 15 – Henko (Osmar)</t>
        </is>
      </c>
      <c r="J2837" t="inlineStr">
        <is>
          <t>Atividade</t>
        </is>
      </c>
      <c r="K2837" t="inlineStr">
        <is>
          <t>Apoio</t>
        </is>
      </c>
      <c r="L2837" t="inlineStr">
        <is>
          <t>pds_colado_2026-06-03_a_2026-06-08.txt</t>
        </is>
      </c>
      <c r="M2837">
        <f>IF($A2837="","",TEXT($A2837,"mmmm/yyyy"))</f>
        <v/>
      </c>
      <c r="P2837">
        <f>IFERROR(XLOOKUP($N2837,Base_Enderecos!$A:$A,Base_Enderecos!$B:$B,""),"")</f>
        <v/>
      </c>
      <c r="Q2837">
        <f>IFERROR(XLOOKUP($N2837,Base_Enderecos!$A:$A,Base_Enderecos!$C:$C,""),"")</f>
        <v/>
      </c>
      <c r="R2837">
        <f>IF(ISNUMBER(SEARCH("HDD",$F2837)),"HDD",IF(ISNUMBER(SEARCH("VCA",$F2837)),"VCA","MND"))</f>
        <v/>
      </c>
      <c r="T2837">
        <f>TEXT($A2837,"yyyy-mm")&amp;"|"&amp;$C2837&amp;"|"&amp;$I2837</f>
        <v/>
      </c>
    </row>
    <row r="2838">
      <c r="A2838" s="36" t="n">
        <v>46181</v>
      </c>
      <c r="B2838" t="inlineStr">
        <is>
          <t>Segunda</t>
        </is>
      </c>
      <c r="C2838" t="inlineStr">
        <is>
          <t>Guindauto</t>
        </is>
      </c>
      <c r="E2838" t="inlineStr">
        <is>
          <t>Guindauto</t>
        </is>
      </c>
      <c r="F2838" t="inlineStr">
        <is>
          <t>Marcio - Apoio as equipes</t>
        </is>
      </c>
      <c r="J2838" t="inlineStr">
        <is>
          <t>Atividade</t>
        </is>
      </c>
      <c r="K2838" t="inlineStr">
        <is>
          <t>Apoio</t>
        </is>
      </c>
      <c r="L2838" t="inlineStr">
        <is>
          <t>pds_colado_2026-06-03_a_2026-06-08.txt</t>
        </is>
      </c>
      <c r="M2838">
        <f>IF($A2838="","",TEXT($A2838,"mmmm/yyyy"))</f>
        <v/>
      </c>
      <c r="P2838">
        <f>IFERROR(XLOOKUP($N2838,Base_Enderecos!$A:$A,Base_Enderecos!$B:$B,""),"")</f>
        <v/>
      </c>
      <c r="Q2838">
        <f>IFERROR(XLOOKUP($N2838,Base_Enderecos!$A:$A,Base_Enderecos!$C:$C,""),"")</f>
        <v/>
      </c>
      <c r="R2838">
        <f>IF(ISNUMBER(SEARCH("HDD",$F2838)),"HDD",IF(ISNUMBER(SEARCH("VCA",$F2838)),"VCA","MND"))</f>
        <v/>
      </c>
      <c r="T2838">
        <f>TEXT($A2838,"yyyy-mm")&amp;"|"&amp;$C2838&amp;"|"&amp;$I2838</f>
        <v/>
      </c>
    </row>
    <row r="2839">
      <c r="A2839" s="36" t="n">
        <v>46181</v>
      </c>
      <c r="B2839" t="inlineStr">
        <is>
          <t>Segunda</t>
        </is>
      </c>
      <c r="C2839" t="inlineStr">
        <is>
          <t>Guindauto</t>
        </is>
      </c>
      <c r="E2839" t="inlineStr">
        <is>
          <t>Guindauto</t>
        </is>
      </c>
      <c r="F2839" t="inlineStr">
        <is>
          <t>Luiz - Apoio as equipes</t>
        </is>
      </c>
      <c r="J2839" t="inlineStr">
        <is>
          <t>Atividade</t>
        </is>
      </c>
      <c r="K2839" t="inlineStr">
        <is>
          <t>Apoio</t>
        </is>
      </c>
      <c r="L2839" t="inlineStr">
        <is>
          <t>pds_colado_2026-06-03_a_2026-06-08.txt</t>
        </is>
      </c>
      <c r="M2839">
        <f>IF($A2839="","",TEXT($A2839,"mmmm/yyyy"))</f>
        <v/>
      </c>
      <c r="P2839">
        <f>IFERROR(XLOOKUP($N2839,Base_Enderecos!$A:$A,Base_Enderecos!$B:$B,""),"")</f>
        <v/>
      </c>
      <c r="Q2839">
        <f>IFERROR(XLOOKUP($N2839,Base_Enderecos!$A:$A,Base_Enderecos!$C:$C,""),"")</f>
        <v/>
      </c>
      <c r="R2839">
        <f>IF(ISNUMBER(SEARCH("HDD",$F2839)),"HDD",IF(ISNUMBER(SEARCH("VCA",$F2839)),"VCA","MND"))</f>
        <v/>
      </c>
      <c r="T2839">
        <f>TEXT($A2839,"yyyy-mm")&amp;"|"&amp;$C2839&amp;"|"&amp;$I2839</f>
        <v/>
      </c>
    </row>
    <row r="2840">
      <c r="A2840" s="36" t="n">
        <v>46182</v>
      </c>
      <c r="B2840" t="inlineStr">
        <is>
          <t>Terça</t>
        </is>
      </c>
      <c r="C2840" t="inlineStr">
        <is>
          <t>CT João Canzi</t>
        </is>
      </c>
      <c r="D2840" t="inlineStr">
        <is>
          <t>Valmir</t>
        </is>
      </c>
      <c r="E2840" t="inlineStr">
        <is>
          <t>Goiânia Drill</t>
        </is>
      </c>
      <c r="F2840" t="inlineStr">
        <is>
          <t>Piloto e Puxe do PV-19 ao PV-20</t>
        </is>
      </c>
      <c r="G2840" t="inlineStr">
        <is>
          <t>19</t>
        </is>
      </c>
      <c r="H2840" t="inlineStr">
        <is>
          <t>20</t>
        </is>
      </c>
      <c r="I2840" t="inlineStr">
        <is>
          <t>19 ao 20</t>
        </is>
      </c>
      <c r="J2840" t="inlineStr">
        <is>
          <t>HDD</t>
        </is>
      </c>
      <c r="K2840" t="inlineStr">
        <is>
          <t>Planejamento</t>
        </is>
      </c>
      <c r="L2840" t="inlineStr">
        <is>
          <t>PDS-Junho.docx</t>
        </is>
      </c>
      <c r="M2840">
        <f>IF($A2840="","",TEXT($A2840,"mmmm/yyyy"))</f>
        <v/>
      </c>
      <c r="P2840">
        <f>IFERROR(XLOOKUP($N2840,Base_Enderecos!$A:$A,Base_Enderecos!$B:$B,""),"")</f>
        <v/>
      </c>
      <c r="Q2840">
        <f>IFERROR(XLOOKUP($N2840,Base_Enderecos!$A:$A,Base_Enderecos!$C:$C,""),"")</f>
        <v/>
      </c>
      <c r="R2840">
        <f>IF(ISNUMBER(SEARCH("HDD",$F2840)),"HDD",IF(ISNUMBER(SEARCH("VCA",$F2840)),"VCA","MND"))</f>
        <v/>
      </c>
      <c r="T2840">
        <f>TEXT($A2840,"yyyy-mm")&amp;"|"&amp;$C2840&amp;"|"&amp;$I2840</f>
        <v/>
      </c>
    </row>
    <row r="2841">
      <c r="A2841" s="36" t="n">
        <v>46182</v>
      </c>
      <c r="B2841" t="inlineStr">
        <is>
          <t>Terça</t>
        </is>
      </c>
      <c r="C2841" t="inlineStr">
        <is>
          <t>CT João Canzi</t>
        </is>
      </c>
      <c r="D2841" t="inlineStr">
        <is>
          <t>Valmir</t>
        </is>
      </c>
      <c r="E2841" t="inlineStr">
        <is>
          <t>Bruno</t>
        </is>
      </c>
      <c r="F2841" t="inlineStr">
        <is>
          <t>Apoio ao HDD</t>
        </is>
      </c>
      <c r="G2841" t="inlineStr"/>
      <c r="H2841" t="inlineStr"/>
      <c r="I2841" t="inlineStr"/>
      <c r="J2841" t="inlineStr">
        <is>
          <t>HDD</t>
        </is>
      </c>
      <c r="K2841" t="inlineStr">
        <is>
          <t>Planejamento</t>
        </is>
      </c>
      <c r="L2841" t="inlineStr">
        <is>
          <t>PDS-Junho.docx</t>
        </is>
      </c>
      <c r="M2841">
        <f>IF($A2841="","",TEXT($A2841,"mmmm/yyyy"))</f>
        <v/>
      </c>
      <c r="P2841">
        <f>IFERROR(XLOOKUP($N2841,Base_Enderecos!$A:$A,Base_Enderecos!$B:$B,""),"")</f>
        <v/>
      </c>
      <c r="Q2841">
        <f>IFERROR(XLOOKUP($N2841,Base_Enderecos!$A:$A,Base_Enderecos!$C:$C,""),"")</f>
        <v/>
      </c>
      <c r="R2841">
        <f>IF(ISNUMBER(SEARCH("HDD",$F2841)),"HDD",IF(ISNUMBER(SEARCH("VCA",$F2841)),"VCA","MND"))</f>
        <v/>
      </c>
      <c r="T2841">
        <f>TEXT($A2841,"yyyy-mm")&amp;"|"&amp;$C2841&amp;"|"&amp;$I2841</f>
        <v/>
      </c>
    </row>
    <row r="2842">
      <c r="A2842" s="36" t="n">
        <v>46182</v>
      </c>
      <c r="B2842" t="inlineStr">
        <is>
          <t>Terça</t>
        </is>
      </c>
      <c r="C2842" t="inlineStr">
        <is>
          <t>CT João Canzi</t>
        </is>
      </c>
      <c r="D2842" t="inlineStr">
        <is>
          <t>Valmir</t>
        </is>
      </c>
      <c r="E2842" t="inlineStr">
        <is>
          <t>Medeiros</t>
        </is>
      </c>
      <c r="F2842" t="inlineStr">
        <is>
          <t>Reaterro Shaft PV 10.1</t>
        </is>
      </c>
      <c r="G2842" t="inlineStr">
        <is>
          <t>10.1</t>
        </is>
      </c>
      <c r="H2842" t="inlineStr"/>
      <c r="I2842" t="inlineStr">
        <is>
          <t>10.1</t>
        </is>
      </c>
      <c r="J2842" t="inlineStr">
        <is>
          <t>Shaft</t>
        </is>
      </c>
      <c r="K2842" t="inlineStr">
        <is>
          <t>Planejamento</t>
        </is>
      </c>
      <c r="L2842" t="inlineStr">
        <is>
          <t>PDS-Junho.docx</t>
        </is>
      </c>
      <c r="M2842">
        <f>IF($A2842="","",TEXT($A2842,"mmmm/yyyy"))</f>
        <v/>
      </c>
      <c r="P2842">
        <f>IFERROR(XLOOKUP($N2842,Base_Enderecos!$A:$A,Base_Enderecos!$B:$B,""),"")</f>
        <v/>
      </c>
      <c r="Q2842">
        <f>IFERROR(XLOOKUP($N2842,Base_Enderecos!$A:$A,Base_Enderecos!$C:$C,""),"")</f>
        <v/>
      </c>
      <c r="R2842">
        <f>IF(ISNUMBER(SEARCH("HDD",$F2842)),"HDD",IF(ISNUMBER(SEARCH("VCA",$F2842)),"VCA","MND"))</f>
        <v/>
      </c>
      <c r="T2842">
        <f>TEXT($A2842,"yyyy-mm")&amp;"|"&amp;$C2842&amp;"|"&amp;$I2842</f>
        <v/>
      </c>
    </row>
    <row r="2843">
      <c r="A2843" s="36" t="n">
        <v>46182</v>
      </c>
      <c r="B2843" t="inlineStr">
        <is>
          <t>Terça</t>
        </is>
      </c>
      <c r="C2843" t="inlineStr">
        <is>
          <t>CT João Canzi</t>
        </is>
      </c>
      <c r="D2843" t="inlineStr">
        <is>
          <t>Valmir</t>
        </is>
      </c>
      <c r="E2843" t="inlineStr">
        <is>
          <t>Márcio</t>
        </is>
      </c>
      <c r="F2843" t="inlineStr">
        <is>
          <t>Transformação PV 10</t>
        </is>
      </c>
      <c r="G2843" t="inlineStr">
        <is>
          <t>10</t>
        </is>
      </c>
      <c r="H2843" t="inlineStr"/>
      <c r="I2843" t="inlineStr">
        <is>
          <t>10</t>
        </is>
      </c>
      <c r="J2843" t="inlineStr">
        <is>
          <t>Transformação</t>
        </is>
      </c>
      <c r="K2843" t="inlineStr">
        <is>
          <t>Planejamento</t>
        </is>
      </c>
      <c r="L2843" t="inlineStr">
        <is>
          <t>PDS-Junho.docx</t>
        </is>
      </c>
      <c r="M2843">
        <f>IF($A2843="","",TEXT($A2843,"mmmm/yyyy"))</f>
        <v/>
      </c>
      <c r="P2843">
        <f>IFERROR(XLOOKUP($N2843,Base_Enderecos!$A:$A,Base_Enderecos!$B:$B,""),"")</f>
        <v/>
      </c>
      <c r="Q2843">
        <f>IFERROR(XLOOKUP($N2843,Base_Enderecos!$A:$A,Base_Enderecos!$C:$C,""),"")</f>
        <v/>
      </c>
      <c r="R2843">
        <f>IF(ISNUMBER(SEARCH("HDD",$F2843)),"HDD",IF(ISNUMBER(SEARCH("VCA",$F2843)),"VCA","MND"))</f>
        <v/>
      </c>
      <c r="T2843">
        <f>TEXT($A2843,"yyyy-mm")&amp;"|"&amp;$C2843&amp;"|"&amp;$I2843</f>
        <v/>
      </c>
    </row>
    <row r="2844">
      <c r="A2844" s="36" t="n">
        <v>46182</v>
      </c>
      <c r="B2844" t="inlineStr">
        <is>
          <t>Terça</t>
        </is>
      </c>
      <c r="C2844" t="inlineStr">
        <is>
          <t>RCE Elvira</t>
        </is>
      </c>
      <c r="D2844" t="inlineStr">
        <is>
          <t>Silvestre</t>
        </is>
      </c>
      <c r="E2844" t="inlineStr">
        <is>
          <t>Valter</t>
        </is>
      </c>
      <c r="F2844" t="inlineStr">
        <is>
          <t>VCA, PVs e Ligações</t>
        </is>
      </c>
      <c r="G2844" t="inlineStr"/>
      <c r="H2844" t="inlineStr"/>
      <c r="I2844" t="inlineStr"/>
      <c r="J2844" t="inlineStr">
        <is>
          <t>VCA</t>
        </is>
      </c>
      <c r="K2844" t="inlineStr">
        <is>
          <t>Planejamento</t>
        </is>
      </c>
      <c r="L2844" t="inlineStr">
        <is>
          <t>PDS-Junho.docx</t>
        </is>
      </c>
      <c r="M2844">
        <f>IF($A2844="","",TEXT($A2844,"mmmm/yyyy"))</f>
        <v/>
      </c>
      <c r="P2844">
        <f>IFERROR(XLOOKUP($N2844,Base_Enderecos!$A:$A,Base_Enderecos!$B:$B,""),"")</f>
        <v/>
      </c>
      <c r="Q2844">
        <f>IFERROR(XLOOKUP($N2844,Base_Enderecos!$A:$A,Base_Enderecos!$C:$C,""),"")</f>
        <v/>
      </c>
      <c r="R2844">
        <f>IF(ISNUMBER(SEARCH("HDD",$F2844)),"HDD",IF(ISNUMBER(SEARCH("VCA",$F2844)),"VCA","MND"))</f>
        <v/>
      </c>
      <c r="T2844">
        <f>TEXT($A2844,"yyyy-mm")&amp;"|"&amp;$C2844&amp;"|"&amp;$I2844</f>
        <v/>
      </c>
    </row>
    <row r="2845">
      <c r="A2845" s="36" t="n">
        <v>46182</v>
      </c>
      <c r="B2845" t="inlineStr">
        <is>
          <t>Terça</t>
        </is>
      </c>
      <c r="C2845" t="inlineStr">
        <is>
          <t>RCE Elias Sleiman / CT João Canzi</t>
        </is>
      </c>
      <c r="D2845" t="inlineStr">
        <is>
          <t>Silvestre</t>
        </is>
      </c>
      <c r="E2845" t="inlineStr">
        <is>
          <t>Edvando</t>
        </is>
      </c>
      <c r="F2845" t="inlineStr">
        <is>
          <t>VCA PV 22 ao PV 23</t>
        </is>
      </c>
      <c r="G2845" t="inlineStr">
        <is>
          <t>22</t>
        </is>
      </c>
      <c r="H2845" t="inlineStr">
        <is>
          <t>23</t>
        </is>
      </c>
      <c r="I2845" t="inlineStr">
        <is>
          <t>22 ao 23</t>
        </is>
      </c>
      <c r="J2845" t="inlineStr">
        <is>
          <t>VCA</t>
        </is>
      </c>
      <c r="K2845" t="inlineStr">
        <is>
          <t>Planejamento</t>
        </is>
      </c>
      <c r="L2845" t="inlineStr">
        <is>
          <t>PDS-Junho.docx</t>
        </is>
      </c>
      <c r="M2845">
        <f>IF($A2845="","",TEXT($A2845,"mmmm/yyyy"))</f>
        <v/>
      </c>
      <c r="P2845">
        <f>IFERROR(XLOOKUP($N2845,Base_Enderecos!$A:$A,Base_Enderecos!$B:$B,""),"")</f>
        <v/>
      </c>
      <c r="Q2845">
        <f>IFERROR(XLOOKUP($N2845,Base_Enderecos!$A:$A,Base_Enderecos!$C:$C,""),"")</f>
        <v/>
      </c>
      <c r="R2845">
        <f>IF(ISNUMBER(SEARCH("HDD",$F2845)),"HDD",IF(ISNUMBER(SEARCH("VCA",$F2845)),"VCA","MND"))</f>
        <v/>
      </c>
      <c r="T2845">
        <f>TEXT($A2845,"yyyy-mm")&amp;"|"&amp;$C2845&amp;"|"&amp;$I2845</f>
        <v/>
      </c>
    </row>
    <row r="2846">
      <c r="A2846" s="36" t="n">
        <v>46182</v>
      </c>
      <c r="B2846" t="inlineStr">
        <is>
          <t>Terça</t>
        </is>
      </c>
      <c r="C2846" t="inlineStr">
        <is>
          <t>RCE Conj. União</t>
        </is>
      </c>
      <c r="D2846" t="inlineStr">
        <is>
          <t>Caroline</t>
        </is>
      </c>
      <c r="E2846" t="inlineStr">
        <is>
          <t>Jhonatan</t>
        </is>
      </c>
      <c r="F2846" t="inlineStr">
        <is>
          <t>Shaft PV 48</t>
        </is>
      </c>
      <c r="G2846" t="inlineStr">
        <is>
          <t>48</t>
        </is>
      </c>
      <c r="H2846" t="inlineStr"/>
      <c r="I2846" t="inlineStr">
        <is>
          <t>48</t>
        </is>
      </c>
      <c r="J2846" t="inlineStr">
        <is>
          <t>Shaft</t>
        </is>
      </c>
      <c r="K2846" t="inlineStr">
        <is>
          <t>Planejamento</t>
        </is>
      </c>
      <c r="L2846" t="inlineStr">
        <is>
          <t>PDS-Junho.docx</t>
        </is>
      </c>
      <c r="M2846">
        <f>IF($A2846="","",TEXT($A2846,"mmmm/yyyy"))</f>
        <v/>
      </c>
      <c r="P2846">
        <f>IFERROR(XLOOKUP($N2846,Base_Enderecos!$A:$A,Base_Enderecos!$B:$B,""),"")</f>
        <v/>
      </c>
      <c r="Q2846">
        <f>IFERROR(XLOOKUP($N2846,Base_Enderecos!$A:$A,Base_Enderecos!$C:$C,""),"")</f>
        <v/>
      </c>
      <c r="R2846">
        <f>IF(ISNUMBER(SEARCH("HDD",$F2846)),"HDD",IF(ISNUMBER(SEARCH("VCA",$F2846)),"VCA","MND"))</f>
        <v/>
      </c>
      <c r="T2846">
        <f>TEXT($A2846,"yyyy-mm")&amp;"|"&amp;$C2846&amp;"|"&amp;$I2846</f>
        <v/>
      </c>
    </row>
    <row r="2847">
      <c r="A2847" s="36" t="n">
        <v>46182</v>
      </c>
      <c r="B2847" t="inlineStr">
        <is>
          <t>Terça</t>
        </is>
      </c>
      <c r="C2847" t="inlineStr">
        <is>
          <t>RCE Américo Machado/elis Regina</t>
        </is>
      </c>
      <c r="D2847" t="inlineStr">
        <is>
          <t>Caroline</t>
        </is>
      </c>
      <c r="E2847" t="inlineStr">
        <is>
          <t>Cesar</t>
        </is>
      </c>
      <c r="F2847" t="inlineStr">
        <is>
          <t>Shaft PV 01</t>
        </is>
      </c>
      <c r="G2847" t="inlineStr">
        <is>
          <t>01</t>
        </is>
      </c>
      <c r="H2847" t="inlineStr"/>
      <c r="I2847" t="inlineStr">
        <is>
          <t>01</t>
        </is>
      </c>
      <c r="J2847" t="inlineStr">
        <is>
          <t>Shaft</t>
        </is>
      </c>
      <c r="K2847" t="inlineStr">
        <is>
          <t>Planejamento</t>
        </is>
      </c>
      <c r="L2847" t="inlineStr">
        <is>
          <t>PDS-Junho.docx</t>
        </is>
      </c>
      <c r="M2847">
        <f>IF($A2847="","",TEXT($A2847,"mmmm/yyyy"))</f>
        <v/>
      </c>
      <c r="P2847">
        <f>IFERROR(XLOOKUP($N2847,Base_Enderecos!$A:$A,Base_Enderecos!$B:$B,""),"")</f>
        <v/>
      </c>
      <c r="Q2847">
        <f>IFERROR(XLOOKUP($N2847,Base_Enderecos!$A:$A,Base_Enderecos!$C:$C,""),"")</f>
        <v/>
      </c>
      <c r="R2847">
        <f>IF(ISNUMBER(SEARCH("HDD",$F2847)),"HDD",IF(ISNUMBER(SEARCH("VCA",$F2847)),"VCA","MND"))</f>
        <v/>
      </c>
      <c r="T2847">
        <f>TEXT($A2847,"yyyy-mm")&amp;"|"&amp;$C2847&amp;"|"&amp;$I2847</f>
        <v/>
      </c>
    </row>
    <row r="2848">
      <c r="A2848" s="36" t="n">
        <v>46182</v>
      </c>
      <c r="B2848" t="inlineStr">
        <is>
          <t>Terça</t>
        </is>
      </c>
      <c r="C2848" t="inlineStr">
        <is>
          <t>CTS Lourdes Complementar</t>
        </is>
      </c>
      <c r="D2848" t="inlineStr">
        <is>
          <t>Robson</t>
        </is>
      </c>
      <c r="E2848" t="inlineStr">
        <is>
          <t>Marcelo</t>
        </is>
      </c>
      <c r="F2848" t="inlineStr">
        <is>
          <t>Transformação PV 05 + Interligação</t>
        </is>
      </c>
      <c r="G2848" t="inlineStr">
        <is>
          <t>05</t>
        </is>
      </c>
      <c r="H2848" t="inlineStr"/>
      <c r="I2848" t="inlineStr">
        <is>
          <t>05</t>
        </is>
      </c>
      <c r="J2848" t="inlineStr">
        <is>
          <t>Transformação</t>
        </is>
      </c>
      <c r="K2848" t="inlineStr">
        <is>
          <t>Planejamento</t>
        </is>
      </c>
      <c r="L2848" t="inlineStr">
        <is>
          <t>PDS-Junho.docx</t>
        </is>
      </c>
      <c r="M2848">
        <f>IF($A2848="","",TEXT($A2848,"mmmm/yyyy"))</f>
        <v/>
      </c>
      <c r="P2848">
        <f>IFERROR(XLOOKUP($N2848,Base_Enderecos!$A:$A,Base_Enderecos!$B:$B,""),"")</f>
        <v/>
      </c>
      <c r="Q2848">
        <f>IFERROR(XLOOKUP($N2848,Base_Enderecos!$A:$A,Base_Enderecos!$C:$C,""),"")</f>
        <v/>
      </c>
      <c r="R2848">
        <f>IF(ISNUMBER(SEARCH("HDD",$F2848)),"HDD",IF(ISNUMBER(SEARCH("VCA",$F2848)),"VCA","MND"))</f>
        <v/>
      </c>
      <c r="T2848">
        <f>TEXT($A2848,"yyyy-mm")&amp;"|"&amp;$C2848&amp;"|"&amp;$I2848</f>
        <v/>
      </c>
    </row>
    <row r="2849">
      <c r="A2849" s="36" t="n">
        <v>46182</v>
      </c>
      <c r="B2849" t="inlineStr">
        <is>
          <t>Terça</t>
        </is>
      </c>
      <c r="C2849" t="inlineStr">
        <is>
          <t>RCE São Lucas</t>
        </is>
      </c>
      <c r="D2849" t="inlineStr">
        <is>
          <t>Fábio</t>
        </is>
      </c>
      <c r="E2849" t="inlineStr">
        <is>
          <t>Ricardo (pi 08 Ao Pi 09)</t>
        </is>
      </c>
      <c r="F2849" t="inlineStr">
        <is>
          <t>VCA, PVs e Ligações</t>
        </is>
      </c>
      <c r="G2849" t="inlineStr"/>
      <c r="H2849" t="inlineStr"/>
      <c r="I2849" t="inlineStr"/>
      <c r="J2849" t="inlineStr">
        <is>
          <t>VCA</t>
        </is>
      </c>
      <c r="K2849" t="inlineStr">
        <is>
          <t>Planejamento</t>
        </is>
      </c>
      <c r="L2849" t="inlineStr">
        <is>
          <t>PDS-Junho.docx</t>
        </is>
      </c>
      <c r="M2849">
        <f>IF($A2849="","",TEXT($A2849,"mmmm/yyyy"))</f>
        <v/>
      </c>
      <c r="P2849">
        <f>IFERROR(XLOOKUP($N2849,Base_Enderecos!$A:$A,Base_Enderecos!$B:$B,""),"")</f>
        <v/>
      </c>
      <c r="Q2849">
        <f>IFERROR(XLOOKUP($N2849,Base_Enderecos!$A:$A,Base_Enderecos!$C:$C,""),"")</f>
        <v/>
      </c>
      <c r="R2849">
        <f>IF(ISNUMBER(SEARCH("HDD",$F2849)),"HDD",IF(ISNUMBER(SEARCH("VCA",$F2849)),"VCA","MND"))</f>
        <v/>
      </c>
      <c r="T2849">
        <f>TEXT($A2849,"yyyy-mm")&amp;"|"&amp;$C2849&amp;"|"&amp;$I2849</f>
        <v/>
      </c>
    </row>
    <row r="2850">
      <c r="A2850" s="36" t="n">
        <v>46182</v>
      </c>
      <c r="B2850" t="inlineStr">
        <is>
          <t>Terça</t>
        </is>
      </c>
      <c r="C2850" t="inlineStr">
        <is>
          <t>RCE São Lucas</t>
        </is>
      </c>
      <c r="D2850" t="inlineStr">
        <is>
          <t>Fábio</t>
        </is>
      </c>
      <c r="E2850" t="inlineStr">
        <is>
          <t>Claudinei (pi 38 Ao Pi 81)</t>
        </is>
      </c>
      <c r="F2850" t="inlineStr">
        <is>
          <t>VCA, PVs e Ligações</t>
        </is>
      </c>
      <c r="G2850" t="inlineStr"/>
      <c r="H2850" t="inlineStr"/>
      <c r="I2850" t="inlineStr"/>
      <c r="J2850" t="inlineStr">
        <is>
          <t>VCA</t>
        </is>
      </c>
      <c r="K2850" t="inlineStr">
        <is>
          <t>Planejamento</t>
        </is>
      </c>
      <c r="L2850" t="inlineStr">
        <is>
          <t>PDS-Junho.docx</t>
        </is>
      </c>
      <c r="M2850">
        <f>IF($A2850="","",TEXT($A2850,"mmmm/yyyy"))</f>
        <v/>
      </c>
      <c r="P2850">
        <f>IFERROR(XLOOKUP($N2850,Base_Enderecos!$A:$A,Base_Enderecos!$B:$B,""),"")</f>
        <v/>
      </c>
      <c r="Q2850">
        <f>IFERROR(XLOOKUP($N2850,Base_Enderecos!$A:$A,Base_Enderecos!$C:$C,""),"")</f>
        <v/>
      </c>
      <c r="R2850">
        <f>IF(ISNUMBER(SEARCH("HDD",$F2850)),"HDD",IF(ISNUMBER(SEARCH("VCA",$F2850)),"VCA","MND"))</f>
        <v/>
      </c>
      <c r="T2850">
        <f>TEXT($A2850,"yyyy-mm")&amp;"|"&amp;$C2850&amp;"|"&amp;$I2850</f>
        <v/>
      </c>
    </row>
    <row r="2851">
      <c r="A2851" s="36" t="n">
        <v>46182</v>
      </c>
      <c r="B2851" t="inlineStr">
        <is>
          <t>Terça</t>
        </is>
      </c>
      <c r="C2851" t="inlineStr">
        <is>
          <t>RCE São Lucas</t>
        </is>
      </c>
      <c r="D2851" t="inlineStr">
        <is>
          <t>Fábio</t>
        </is>
      </c>
      <c r="E2851" t="inlineStr">
        <is>
          <t>Miro (pi 60 Ao Pi 61)</t>
        </is>
      </c>
      <c r="F2851" t="inlineStr">
        <is>
          <t>VCA, PVs e Ligações</t>
        </is>
      </c>
      <c r="G2851" t="inlineStr"/>
      <c r="H2851" t="inlineStr"/>
      <c r="I2851" t="inlineStr"/>
      <c r="J2851" t="inlineStr">
        <is>
          <t>VCA</t>
        </is>
      </c>
      <c r="K2851" t="inlineStr">
        <is>
          <t>Planejamento</t>
        </is>
      </c>
      <c r="L2851" t="inlineStr">
        <is>
          <t>PDS-Junho.docx</t>
        </is>
      </c>
      <c r="M2851">
        <f>IF($A2851="","",TEXT($A2851,"mmmm/yyyy"))</f>
        <v/>
      </c>
      <c r="P2851">
        <f>IFERROR(XLOOKUP($N2851,Base_Enderecos!$A:$A,Base_Enderecos!$B:$B,""),"")</f>
        <v/>
      </c>
      <c r="Q2851">
        <f>IFERROR(XLOOKUP($N2851,Base_Enderecos!$A:$A,Base_Enderecos!$C:$C,""),"")</f>
        <v/>
      </c>
      <c r="R2851">
        <f>IF(ISNUMBER(SEARCH("HDD",$F2851)),"HDD",IF(ISNUMBER(SEARCH("VCA",$F2851)),"VCA","MND"))</f>
        <v/>
      </c>
      <c r="T2851">
        <f>TEXT($A2851,"yyyy-mm")&amp;"|"&amp;$C2851&amp;"|"&amp;$I2851</f>
        <v/>
      </c>
    </row>
    <row r="2852">
      <c r="A2852" s="36" t="n">
        <v>46182</v>
      </c>
      <c r="B2852" t="inlineStr">
        <is>
          <t>Terça</t>
        </is>
      </c>
      <c r="C2852" t="inlineStr">
        <is>
          <t>RCE São Lucas</t>
        </is>
      </c>
      <c r="D2852" t="inlineStr">
        <is>
          <t>Fábio</t>
        </is>
      </c>
      <c r="E2852" t="inlineStr">
        <is>
          <t>Emanuel (pi 25 Ao Pi 26)</t>
        </is>
      </c>
      <c r="F2852" t="inlineStr">
        <is>
          <t>VCA, PVs e Ligações</t>
        </is>
      </c>
      <c r="G2852" t="inlineStr"/>
      <c r="H2852" t="inlineStr"/>
      <c r="I2852" t="inlineStr"/>
      <c r="J2852" t="inlineStr">
        <is>
          <t>VCA</t>
        </is>
      </c>
      <c r="K2852" t="inlineStr">
        <is>
          <t>Planejamento</t>
        </is>
      </c>
      <c r="L2852" t="inlineStr">
        <is>
          <t>PDS-Junho.docx</t>
        </is>
      </c>
      <c r="M2852">
        <f>IF($A2852="","",TEXT($A2852,"mmmm/yyyy"))</f>
        <v/>
      </c>
      <c r="P2852">
        <f>IFERROR(XLOOKUP($N2852,Base_Enderecos!$A:$A,Base_Enderecos!$B:$B,""),"")</f>
        <v/>
      </c>
      <c r="Q2852">
        <f>IFERROR(XLOOKUP($N2852,Base_Enderecos!$A:$A,Base_Enderecos!$C:$C,""),"")</f>
        <v/>
      </c>
      <c r="R2852">
        <f>IF(ISNUMBER(SEARCH("HDD",$F2852)),"HDD",IF(ISNUMBER(SEARCH("VCA",$F2852)),"VCA","MND"))</f>
        <v/>
      </c>
      <c r="T2852">
        <f>TEXT($A2852,"yyyy-mm")&amp;"|"&amp;$C2852&amp;"|"&amp;$I2852</f>
        <v/>
      </c>
    </row>
    <row r="2853">
      <c r="A2853" s="36" t="n">
        <v>46182</v>
      </c>
      <c r="B2853" t="inlineStr">
        <is>
          <t>Terça</t>
        </is>
      </c>
      <c r="C2853" t="inlineStr">
        <is>
          <t>RCE São Lucas</t>
        </is>
      </c>
      <c r="D2853" t="inlineStr">
        <is>
          <t>Fábio</t>
        </is>
      </c>
      <c r="E2853" t="inlineStr">
        <is>
          <t>Antonio (pi 55 Ao Pi 56)</t>
        </is>
      </c>
      <c r="F2853" t="inlineStr">
        <is>
          <t>VCA, PVs e Ligações</t>
        </is>
      </c>
      <c r="G2853" t="inlineStr"/>
      <c r="H2853" t="inlineStr"/>
      <c r="I2853" t="inlineStr"/>
      <c r="J2853" t="inlineStr">
        <is>
          <t>VCA</t>
        </is>
      </c>
      <c r="K2853" t="inlineStr">
        <is>
          <t>Planejamento</t>
        </is>
      </c>
      <c r="L2853" t="inlineStr">
        <is>
          <t>PDS-Junho.docx</t>
        </is>
      </c>
      <c r="M2853">
        <f>IF($A2853="","",TEXT($A2853,"mmmm/yyyy"))</f>
        <v/>
      </c>
      <c r="P2853">
        <f>IFERROR(XLOOKUP($N2853,Base_Enderecos!$A:$A,Base_Enderecos!$B:$B,""),"")</f>
        <v/>
      </c>
      <c r="Q2853">
        <f>IFERROR(XLOOKUP($N2853,Base_Enderecos!$A:$A,Base_Enderecos!$C:$C,""),"")</f>
        <v/>
      </c>
      <c r="R2853">
        <f>IF(ISNUMBER(SEARCH("HDD",$F2853)),"HDD",IF(ISNUMBER(SEARCH("VCA",$F2853)),"VCA","MND"))</f>
        <v/>
      </c>
      <c r="T2853">
        <f>TEXT($A2853,"yyyy-mm")&amp;"|"&amp;$C2853&amp;"|"&amp;$I2853</f>
        <v/>
      </c>
    </row>
    <row r="2854">
      <c r="A2854" s="36" t="n">
        <v>46182</v>
      </c>
      <c r="B2854" t="inlineStr">
        <is>
          <t>Terça</t>
        </is>
      </c>
      <c r="C2854" t="inlineStr">
        <is>
          <t>RCE São Lucas</t>
        </is>
      </c>
      <c r="D2854" t="inlineStr">
        <is>
          <t>Fábio</t>
        </is>
      </c>
      <c r="E2854" t="inlineStr">
        <is>
          <t>Antonio (pi 55 Ao Pi 56)</t>
        </is>
      </c>
      <c r="F2854" t="inlineStr">
        <is>
          <t>SERVIÇOS REPOSIÇÃO – LEANDRO</t>
        </is>
      </c>
      <c r="G2854" t="inlineStr"/>
      <c r="H2854" t="inlineStr"/>
      <c r="I2854" t="inlineStr"/>
      <c r="J2854" t="inlineStr">
        <is>
          <t>Atividade</t>
        </is>
      </c>
      <c r="K2854" t="inlineStr">
        <is>
          <t>Planejamento</t>
        </is>
      </c>
      <c r="L2854" t="inlineStr">
        <is>
          <t>PDS-Junho.docx</t>
        </is>
      </c>
      <c r="M2854">
        <f>IF($A2854="","",TEXT($A2854,"mmmm/yyyy"))</f>
        <v/>
      </c>
      <c r="P2854">
        <f>IFERROR(XLOOKUP($N2854,Base_Enderecos!$A:$A,Base_Enderecos!$B:$B,""),"")</f>
        <v/>
      </c>
      <c r="Q2854">
        <f>IFERROR(XLOOKUP($N2854,Base_Enderecos!$A:$A,Base_Enderecos!$C:$C,""),"")</f>
        <v/>
      </c>
      <c r="R2854">
        <f>IF(ISNUMBER(SEARCH("HDD",$F2854)),"HDD",IF(ISNUMBER(SEARCH("VCA",$F2854)),"VCA","MND"))</f>
        <v/>
      </c>
      <c r="T2854">
        <f>TEXT($A2854,"yyyy-mm")&amp;"|"&amp;$C2854&amp;"|"&amp;$I2854</f>
        <v/>
      </c>
    </row>
    <row r="2855">
      <c r="A2855" s="36" t="n">
        <v>46182</v>
      </c>
      <c r="B2855" t="inlineStr">
        <is>
          <t>Terça</t>
        </is>
      </c>
      <c r="C2855" t="inlineStr">
        <is>
          <t>RCE São Lucas</t>
        </is>
      </c>
      <c r="D2855" t="inlineStr">
        <is>
          <t>Fábio</t>
        </is>
      </c>
      <c r="E2855" t="inlineStr">
        <is>
          <t>Antonio (pi 55 Ao Pi 56)</t>
        </is>
      </c>
      <c r="F2855" t="inlineStr">
        <is>
          <t>Reparos Gerais</t>
        </is>
      </c>
      <c r="G2855" t="inlineStr"/>
      <c r="H2855" t="inlineStr"/>
      <c r="I2855" t="inlineStr"/>
      <c r="J2855" t="inlineStr">
        <is>
          <t>Atividade</t>
        </is>
      </c>
      <c r="K2855" t="inlineStr">
        <is>
          <t>Planejamento</t>
        </is>
      </c>
      <c r="L2855" t="inlineStr">
        <is>
          <t>PDS-Junho.docx</t>
        </is>
      </c>
      <c r="M2855">
        <f>IF($A2855="","",TEXT($A2855,"mmmm/yyyy"))</f>
        <v/>
      </c>
      <c r="P2855">
        <f>IFERROR(XLOOKUP($N2855,Base_Enderecos!$A:$A,Base_Enderecos!$B:$B,""),"")</f>
        <v/>
      </c>
      <c r="Q2855">
        <f>IFERROR(XLOOKUP($N2855,Base_Enderecos!$A:$A,Base_Enderecos!$C:$C,""),"")</f>
        <v/>
      </c>
      <c r="R2855">
        <f>IF(ISNUMBER(SEARCH("HDD",$F2855)),"HDD",IF(ISNUMBER(SEARCH("VCA",$F2855)),"VCA","MND"))</f>
        <v/>
      </c>
      <c r="T2855">
        <f>TEXT($A2855,"yyyy-mm")&amp;"|"&amp;$C2855&amp;"|"&amp;$I2855</f>
        <v/>
      </c>
    </row>
    <row r="2856">
      <c r="A2856" s="36" t="n">
        <v>46182</v>
      </c>
      <c r="B2856" t="inlineStr">
        <is>
          <t>Terça</t>
        </is>
      </c>
      <c r="C2856" t="inlineStr">
        <is>
          <t>CTS Lageado</t>
        </is>
      </c>
      <c r="D2856" t="inlineStr">
        <is>
          <t>Gabriel</t>
        </is>
      </c>
      <c r="E2856" t="inlineStr">
        <is>
          <t>Cidão</t>
        </is>
      </c>
      <c r="F2856" t="inlineStr">
        <is>
          <t>Acabamentos gerais</t>
        </is>
      </c>
      <c r="G2856" t="inlineStr"/>
      <c r="H2856" t="inlineStr"/>
      <c r="I2856" t="inlineStr"/>
      <c r="J2856" t="inlineStr">
        <is>
          <t>Acabamento</t>
        </is>
      </c>
      <c r="K2856" t="inlineStr">
        <is>
          <t>Planejamento</t>
        </is>
      </c>
      <c r="L2856" t="inlineStr">
        <is>
          <t>PDS-Junho.docx</t>
        </is>
      </c>
      <c r="M2856">
        <f>IF($A2856="","",TEXT($A2856,"mmmm/yyyy"))</f>
        <v/>
      </c>
      <c r="P2856">
        <f>IFERROR(XLOOKUP($N2856,Base_Enderecos!$A:$A,Base_Enderecos!$B:$B,""),"")</f>
        <v/>
      </c>
      <c r="Q2856">
        <f>IFERROR(XLOOKUP($N2856,Base_Enderecos!$A:$A,Base_Enderecos!$C:$C,""),"")</f>
        <v/>
      </c>
      <c r="R2856">
        <f>IF(ISNUMBER(SEARCH("HDD",$F2856)),"HDD",IF(ISNUMBER(SEARCH("VCA",$F2856)),"VCA","MND"))</f>
        <v/>
      </c>
      <c r="T2856">
        <f>TEXT($A2856,"yyyy-mm")&amp;"|"&amp;$C2856&amp;"|"&amp;$I2856</f>
        <v/>
      </c>
    </row>
    <row r="2857">
      <c r="A2857" s="36" t="n">
        <v>46182</v>
      </c>
      <c r="B2857" t="inlineStr">
        <is>
          <t>Terça</t>
        </is>
      </c>
      <c r="C2857" t="inlineStr">
        <is>
          <t>João Canzi</t>
        </is>
      </c>
      <c r="D2857" t="inlineStr"/>
      <c r="E2857" t="inlineStr">
        <is>
          <t>Vacal</t>
        </is>
      </c>
      <c r="F2857" t="inlineStr">
        <is>
          <t>João Canzi - Renasce</t>
        </is>
      </c>
      <c r="G2857" t="inlineStr"/>
      <c r="H2857" t="inlineStr"/>
      <c r="I2857" t="inlineStr"/>
      <c r="J2857" t="inlineStr">
        <is>
          <t>Atividade</t>
        </is>
      </c>
      <c r="K2857" t="inlineStr">
        <is>
          <t>Apoio</t>
        </is>
      </c>
      <c r="L2857" t="inlineStr">
        <is>
          <t>PDS-Junho.docx</t>
        </is>
      </c>
      <c r="M2857">
        <f>IF($A2857="","",TEXT($A2857,"mmmm/yyyy"))</f>
        <v/>
      </c>
      <c r="P2857">
        <f>IFERROR(XLOOKUP($N2857,Base_Enderecos!$A:$A,Base_Enderecos!$B:$B,""),"")</f>
        <v/>
      </c>
      <c r="Q2857">
        <f>IFERROR(XLOOKUP($N2857,Base_Enderecos!$A:$A,Base_Enderecos!$C:$C,""),"")</f>
        <v/>
      </c>
      <c r="R2857">
        <f>IF(ISNUMBER(SEARCH("HDD",$F2857)),"HDD",IF(ISNUMBER(SEARCH("VCA",$F2857)),"VCA","MND"))</f>
        <v/>
      </c>
      <c r="T2857">
        <f>TEXT($A2857,"yyyy-mm")&amp;"|"&amp;$C2857&amp;"|"&amp;$I2857</f>
        <v/>
      </c>
    </row>
    <row r="2858">
      <c r="A2858" s="36" t="n">
        <v>46182</v>
      </c>
      <c r="B2858" t="inlineStr">
        <is>
          <t>Terça</t>
        </is>
      </c>
      <c r="C2858" t="inlineStr">
        <is>
          <t>João Canzi</t>
        </is>
      </c>
      <c r="D2858" t="inlineStr"/>
      <c r="E2858" t="inlineStr">
        <is>
          <t>Vacal</t>
        </is>
      </c>
      <c r="F2858" t="inlineStr">
        <is>
          <t>João Canzi – Renasce</t>
        </is>
      </c>
      <c r="G2858" t="inlineStr"/>
      <c r="H2858" t="inlineStr"/>
      <c r="I2858" t="inlineStr"/>
      <c r="J2858" t="inlineStr">
        <is>
          <t>Atividade</t>
        </is>
      </c>
      <c r="K2858" t="inlineStr">
        <is>
          <t>Apoio</t>
        </is>
      </c>
      <c r="L2858" t="inlineStr">
        <is>
          <t>PDS-Junho.docx</t>
        </is>
      </c>
      <c r="M2858">
        <f>IF($A2858="","",TEXT($A2858,"mmmm/yyyy"))</f>
        <v/>
      </c>
      <c r="P2858">
        <f>IFERROR(XLOOKUP($N2858,Base_Enderecos!$A:$A,Base_Enderecos!$B:$B,""),"")</f>
        <v/>
      </c>
      <c r="Q2858">
        <f>IFERROR(XLOOKUP($N2858,Base_Enderecos!$A:$A,Base_Enderecos!$C:$C,""),"")</f>
        <v/>
      </c>
      <c r="R2858">
        <f>IF(ISNUMBER(SEARCH("HDD",$F2858)),"HDD",IF(ISNUMBER(SEARCH("VCA",$F2858)),"VCA","MND"))</f>
        <v/>
      </c>
      <c r="T2858">
        <f>TEXT($A2858,"yyyy-mm")&amp;"|"&amp;$C2858&amp;"|"&amp;$I2858</f>
        <v/>
      </c>
    </row>
    <row r="2859">
      <c r="A2859" s="36" t="n">
        <v>46182</v>
      </c>
      <c r="B2859" t="inlineStr">
        <is>
          <t>Terça</t>
        </is>
      </c>
      <c r="C2859" t="inlineStr">
        <is>
          <t>Iti 15</t>
        </is>
      </c>
      <c r="D2859" t="inlineStr"/>
      <c r="E2859" t="inlineStr">
        <is>
          <t>Vacal</t>
        </is>
      </c>
      <c r="F2859" t="inlineStr">
        <is>
          <t>ITI 15 – Henko (Osmar)</t>
        </is>
      </c>
      <c r="G2859" t="inlineStr"/>
      <c r="H2859" t="inlineStr"/>
      <c r="I2859" t="inlineStr"/>
      <c r="J2859" t="inlineStr">
        <is>
          <t>Atividade</t>
        </is>
      </c>
      <c r="K2859" t="inlineStr">
        <is>
          <t>Apoio</t>
        </is>
      </c>
      <c r="L2859" t="inlineStr">
        <is>
          <t>PDS-Junho.docx</t>
        </is>
      </c>
      <c r="M2859">
        <f>IF($A2859="","",TEXT($A2859,"mmmm/yyyy"))</f>
        <v/>
      </c>
      <c r="P2859">
        <f>IFERROR(XLOOKUP($N2859,Base_Enderecos!$A:$A,Base_Enderecos!$B:$B,""),"")</f>
        <v/>
      </c>
      <c r="Q2859">
        <f>IFERROR(XLOOKUP($N2859,Base_Enderecos!$A:$A,Base_Enderecos!$C:$C,""),"")</f>
        <v/>
      </c>
      <c r="R2859">
        <f>IF(ISNUMBER(SEARCH("HDD",$F2859)),"HDD",IF(ISNUMBER(SEARCH("VCA",$F2859)),"VCA","MND"))</f>
        <v/>
      </c>
      <c r="T2859">
        <f>TEXT($A2859,"yyyy-mm")&amp;"|"&amp;$C2859&amp;"|"&amp;$I2859</f>
        <v/>
      </c>
    </row>
    <row r="2860">
      <c r="A2860" s="36" t="n">
        <v>46182</v>
      </c>
      <c r="B2860" t="inlineStr">
        <is>
          <t>Terça</t>
        </is>
      </c>
      <c r="C2860" t="inlineStr">
        <is>
          <t>Guindauto</t>
        </is>
      </c>
      <c r="D2860" t="inlineStr"/>
      <c r="E2860" t="inlineStr">
        <is>
          <t>Guindauto</t>
        </is>
      </c>
      <c r="F2860" t="inlineStr">
        <is>
          <t>Marcio - Apoio as equipes</t>
        </is>
      </c>
      <c r="G2860" t="inlineStr"/>
      <c r="H2860" t="inlineStr"/>
      <c r="I2860" t="inlineStr"/>
      <c r="J2860" t="inlineStr">
        <is>
          <t>Atividade</t>
        </is>
      </c>
      <c r="K2860" t="inlineStr">
        <is>
          <t>Apoio</t>
        </is>
      </c>
      <c r="L2860" t="inlineStr">
        <is>
          <t>PDS-Junho.docx</t>
        </is>
      </c>
      <c r="M2860">
        <f>IF($A2860="","",TEXT($A2860,"mmmm/yyyy"))</f>
        <v/>
      </c>
      <c r="P2860">
        <f>IFERROR(XLOOKUP($N2860,Base_Enderecos!$A:$A,Base_Enderecos!$B:$B,""),"")</f>
        <v/>
      </c>
      <c r="Q2860">
        <f>IFERROR(XLOOKUP($N2860,Base_Enderecos!$A:$A,Base_Enderecos!$C:$C,""),"")</f>
        <v/>
      </c>
      <c r="R2860">
        <f>IF(ISNUMBER(SEARCH("HDD",$F2860)),"HDD",IF(ISNUMBER(SEARCH("VCA",$F2860)),"VCA","MND"))</f>
        <v/>
      </c>
      <c r="T2860">
        <f>TEXT($A2860,"yyyy-mm")&amp;"|"&amp;$C2860&amp;"|"&amp;$I2860</f>
        <v/>
      </c>
    </row>
    <row r="2861">
      <c r="A2861" s="36" t="n">
        <v>46182</v>
      </c>
      <c r="B2861" t="inlineStr">
        <is>
          <t>Terça</t>
        </is>
      </c>
      <c r="C2861" t="inlineStr">
        <is>
          <t>Guindauto</t>
        </is>
      </c>
      <c r="D2861" t="inlineStr"/>
      <c r="E2861" t="inlineStr">
        <is>
          <t>Guindauto</t>
        </is>
      </c>
      <c r="F2861" t="inlineStr">
        <is>
          <t>Luiz - Apoio as equipes</t>
        </is>
      </c>
      <c r="G2861" t="inlineStr"/>
      <c r="H2861" t="inlineStr"/>
      <c r="I2861" t="inlineStr"/>
      <c r="J2861" t="inlineStr">
        <is>
          <t>Atividade</t>
        </is>
      </c>
      <c r="K2861" t="inlineStr">
        <is>
          <t>Apoio</t>
        </is>
      </c>
      <c r="L2861" t="inlineStr">
        <is>
          <t>PDS-Junho.docx</t>
        </is>
      </c>
      <c r="M2861">
        <f>IF($A2861="","",TEXT($A2861,"mmmm/yyyy"))</f>
        <v/>
      </c>
      <c r="P2861">
        <f>IFERROR(XLOOKUP($N2861,Base_Enderecos!$A:$A,Base_Enderecos!$B:$B,""),"")</f>
        <v/>
      </c>
      <c r="Q2861">
        <f>IFERROR(XLOOKUP($N2861,Base_Enderecos!$A:$A,Base_Enderecos!$C:$C,""),"")</f>
        <v/>
      </c>
      <c r="R2861">
        <f>IF(ISNUMBER(SEARCH("HDD",$F2861)),"HDD",IF(ISNUMBER(SEARCH("VCA",$F2861)),"VCA","MND"))</f>
        <v/>
      </c>
      <c r="T2861">
        <f>TEXT($A2861,"yyyy-mm")&amp;"|"&amp;$C2861&amp;"|"&amp;$I2861</f>
        <v/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2026-05-04T14:30:36Z</dcterms:created>
  <dcterms:modified xsi:type="dcterms:W3CDTF">2026-06-09T16:19:00Z</dcterms:modified>
  <cp:lastModifiedBy>Cleulton Marcio Goncalves Freire</cp:lastModifiedBy>
</cp:coreProperties>
</file>