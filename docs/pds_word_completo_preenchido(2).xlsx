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PDS_Lancamentos" sheetId="1" state="visible" r:id="rId1"/>
    <sheet name="Resumo" sheetId="2" state="visible" r:id="rId2"/>
    <sheet name="Base_Enderecos" sheetId="3" state="visible" r:id="rId3"/>
    <sheet name="Parametros_Relatorio" sheetId="4" state="visible" r:id="rId4"/>
    <sheet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851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/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46170</v>
      </c>
      <c r="B2625" t="inlineStr">
        <is>
          <t>Quinta</t>
        </is>
      </c>
      <c r="C2625" t="inlineStr">
        <is>
          <t>CT Joo Canzi Valmir</t>
        </is>
      </c>
      <c r="E2625" t="inlineStr">
        <is>
          <t>Goinia Drill</t>
        </is>
      </c>
      <c r="F2625" t="inlineStr">
        <is>
          <t>Furo piloto e puxe do PV-15 ao PV-16</t>
        </is>
      </c>
      <c r="G2625" t="inlineStr">
        <is>
          <t>15</t>
        </is>
      </c>
      <c r="H2625" t="inlineStr">
        <is>
          <t>16</t>
        </is>
      </c>
      <c r="I2625" t="inlineStr">
        <is>
          <t>15 ao 16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PDS_chat_2026-05-29</t>
        </is>
      </c>
      <c r="M2625">
        <f>IF($A2625="","",TEXT($A2625,"mmmm/yyyy"))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46170</v>
      </c>
      <c r="B2626" t="inlineStr">
        <is>
          <t>Quinta</t>
        </is>
      </c>
      <c r="C2626" t="inlineStr">
        <is>
          <t>CT Joo Canzi Valmir</t>
        </is>
      </c>
      <c r="E2626" t="inlineStr">
        <is>
          <t>Bruno</t>
        </is>
      </c>
      <c r="F2626" t="inlineStr">
        <is>
          <t>Apoio ao HDD</t>
        </is>
      </c>
      <c r="J2626" t="inlineStr">
        <is>
          <t>HDD</t>
        </is>
      </c>
      <c r="K2626" t="inlineStr">
        <is>
          <t>Planejamento</t>
        </is>
      </c>
      <c r="L2626" t="inlineStr">
        <is>
          <t>PDS_chat_2026-05-29</t>
        </is>
      </c>
      <c r="M2626">
        <f>IF($A2626="","",TEXT($A2626,"mmmm/yyyy"))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46170</v>
      </c>
      <c r="B2627" t="inlineStr">
        <is>
          <t>Quinta</t>
        </is>
      </c>
      <c r="C2627" t="inlineStr">
        <is>
          <t>CT Joo Canzi Valmir</t>
        </is>
      </c>
      <c r="E2627" t="inlineStr">
        <is>
          <t>Mrcio</t>
        </is>
      </c>
      <c r="F2627" t="inlineStr">
        <is>
          <t>Transformao PV 14</t>
        </is>
      </c>
      <c r="G2627" t="inlineStr">
        <is>
          <t>14</t>
        </is>
      </c>
      <c r="I2627" t="inlineStr">
        <is>
          <t>14</t>
        </is>
      </c>
      <c r="J2627" t="inlineStr">
        <is>
          <t>Transforma??o</t>
        </is>
      </c>
      <c r="K2627" t="inlineStr">
        <is>
          <t>Planejamento</t>
        </is>
      </c>
      <c r="L2627" t="inlineStr">
        <is>
          <t>PDS_chat_2026-05-29</t>
        </is>
      </c>
      <c r="M2627">
        <f>IF($A2627="","",TEXT($A2627,"mmmm/yyyy"))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46170</v>
      </c>
      <c r="B2628" t="inlineStr">
        <is>
          <t>Quinta</t>
        </is>
      </c>
      <c r="C2628" t="inlineStr">
        <is>
          <t>CT Joo Canzi Valmir</t>
        </is>
      </c>
      <c r="E2628" t="inlineStr">
        <is>
          <t>Marcelo</t>
        </is>
      </c>
      <c r="F2628" t="inlineStr">
        <is>
          <t>Shaft PV 09</t>
        </is>
      </c>
      <c r="G2628" t="inlineStr">
        <is>
          <t>09</t>
        </is>
      </c>
      <c r="I2628" t="inlineStr">
        <is>
          <t>09</t>
        </is>
      </c>
      <c r="J2628" t="inlineStr">
        <is>
          <t>Shaft</t>
        </is>
      </c>
      <c r="K2628" t="inlineStr">
        <is>
          <t>Planejamento</t>
        </is>
      </c>
      <c r="L2628" t="inlineStr">
        <is>
          <t>PDS_chat_2026-05-29</t>
        </is>
      </c>
      <c r="M2628">
        <f>IF($A2628="","",TEXT($A2628,"mmmm/yyyy"))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46170</v>
      </c>
      <c r="B2629" t="inlineStr">
        <is>
          <t>Quinta</t>
        </is>
      </c>
      <c r="C2629" t="inlineStr">
        <is>
          <t>RCE Elvira / CT Joo Canzi Valmir</t>
        </is>
      </c>
      <c r="E2629" t="inlineStr">
        <is>
          <t>Valter</t>
        </is>
      </c>
      <c r="F2629" t="inlineStr">
        <is>
          <t>Rede secundria e ligaes PI 1.1</t>
        </is>
      </c>
      <c r="G2629" t="inlineStr">
        <is>
          <t>1.1</t>
        </is>
      </c>
      <c r="I2629" t="inlineStr">
        <is>
          <t>1.1</t>
        </is>
      </c>
      <c r="J2629" t="inlineStr">
        <is>
          <t>Atividade</t>
        </is>
      </c>
      <c r="K2629" t="inlineStr">
        <is>
          <t>Planejamento</t>
        </is>
      </c>
      <c r="L2629" t="inlineStr">
        <is>
          <t>PDS_chat_2026-05-29</t>
        </is>
      </c>
      <c r="M2629">
        <f>IF($A2629="","",TEXT($A2629,"mmmm/yyyy"))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46170</v>
      </c>
      <c r="B2630" t="inlineStr">
        <is>
          <t>Quinta</t>
        </is>
      </c>
      <c r="C2630" t="inlineStr">
        <is>
          <t>RCE Elias Sleiman / CT Joo Canzi Silvestre</t>
        </is>
      </c>
      <c r="E2630" t="inlineStr">
        <is>
          <t>Cesar</t>
        </is>
      </c>
      <c r="F2630" t="inlineStr">
        <is>
          <t>VCA + interl PV 17 ao PV 22</t>
        </is>
      </c>
      <c r="G2630" t="inlineStr">
        <is>
          <t>17</t>
        </is>
      </c>
      <c r="H2630" t="inlineStr">
        <is>
          <t>22</t>
        </is>
      </c>
      <c r="I2630" t="inlineStr">
        <is>
          <t>17 ao 22</t>
        </is>
      </c>
      <c r="J2630" t="inlineStr">
        <is>
          <t>VCA</t>
        </is>
      </c>
      <c r="K2630" t="inlineStr">
        <is>
          <t>Planejamento</t>
        </is>
      </c>
      <c r="L2630" t="inlineStr">
        <is>
          <t>PDS_chat_2026-05-29</t>
        </is>
      </c>
      <c r="M2630">
        <f>IF($A2630="","",TEXT($A2630,"mmmm/yyyy"))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46170</v>
      </c>
      <c r="B2631" t="inlineStr">
        <is>
          <t>Quinta</t>
        </is>
      </c>
      <c r="C2631" t="inlineStr">
        <is>
          <t>RCE Conj. Unio Silvestre</t>
        </is>
      </c>
      <c r="E2631" t="inlineStr">
        <is>
          <t>Jonathan</t>
        </is>
      </c>
      <c r="F2631" t="inlineStr">
        <is>
          <t>Shaft PV 40.1</t>
        </is>
      </c>
      <c r="G2631" t="inlineStr">
        <is>
          <t>40.1</t>
        </is>
      </c>
      <c r="I2631" t="inlineStr">
        <is>
          <t>40.1</t>
        </is>
      </c>
      <c r="J2631" t="inlineStr">
        <is>
          <t>Shaft</t>
        </is>
      </c>
      <c r="K2631" t="inlineStr">
        <is>
          <t>Planejamento</t>
        </is>
      </c>
      <c r="L2631" t="inlineStr">
        <is>
          <t>PDS_chat_2026-05-29</t>
        </is>
      </c>
      <c r="M2631">
        <f>IF($A2631="","",TEXT($A2631,"mmmm/yyyy"))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46170</v>
      </c>
      <c r="B2632" t="inlineStr">
        <is>
          <t>Quinta</t>
        </is>
      </c>
      <c r="C2632" t="inlineStr">
        <is>
          <t>CTS Agua Boa Caroline</t>
        </is>
      </c>
      <c r="E2632" t="inlineStr">
        <is>
          <t>Cido</t>
        </is>
      </c>
      <c r="F2632" t="inlineStr">
        <is>
          <t>Implantao TLs Se Liga na Rede</t>
        </is>
      </c>
      <c r="J2632" t="inlineStr">
        <is>
          <t>Atividade</t>
        </is>
      </c>
      <c r="K2632" t="inlineStr">
        <is>
          <t>Planejamento</t>
        </is>
      </c>
      <c r="L2632" t="inlineStr">
        <is>
          <t>PDS_chat_2026-05-29</t>
        </is>
      </c>
      <c r="M2632">
        <f>IF($A2632="","",TEXT($A2632,"mmmm/yyyy"))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46170</v>
      </c>
      <c r="B2633" t="inlineStr">
        <is>
          <t>Quinta</t>
        </is>
      </c>
      <c r="C2633" t="inlineStr">
        <is>
          <t>RCE So Lucas Fbio</t>
        </is>
      </c>
      <c r="E2633" t="inlineStr">
        <is>
          <t>Ricardo (PI 04 Ao PI 06)</t>
        </is>
      </c>
      <c r="F2633" t="inlineStr">
        <is>
          <t>VCA, PVs e Ligaes</t>
        </is>
      </c>
      <c r="G2633" t="inlineStr">
        <is>
          <t>04</t>
        </is>
      </c>
      <c r="H2633" t="inlineStr">
        <is>
          <t>06</t>
        </is>
      </c>
      <c r="I2633" t="inlineStr">
        <is>
          <t>04 ao 06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PDS_chat_2026-05-29</t>
        </is>
      </c>
      <c r="M2633">
        <f>IF($A2633="","",TEXT($A2633,"mmmm/yyyy"))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46170</v>
      </c>
      <c r="B2634" t="inlineStr">
        <is>
          <t>Quinta</t>
        </is>
      </c>
      <c r="C2634" t="inlineStr">
        <is>
          <t>RCE So Lucas Fbio</t>
        </is>
      </c>
      <c r="E2634" t="inlineStr">
        <is>
          <t>Claudinei (PI 37 Ao PI 38)</t>
        </is>
      </c>
      <c r="F2634" t="inlineStr">
        <is>
          <t>VCA, PVs e Ligaes</t>
        </is>
      </c>
      <c r="G2634" t="inlineStr">
        <is>
          <t>37</t>
        </is>
      </c>
      <c r="H2634" t="inlineStr">
        <is>
          <t>38</t>
        </is>
      </c>
      <c r="I2634" t="inlineStr">
        <is>
          <t>37 ao 38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PDS_chat_2026-05-29</t>
        </is>
      </c>
      <c r="M2634">
        <f>IF($A2634="","",TEXT($A2634,"mmmm/yyyy"))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46170</v>
      </c>
      <c r="B2635" t="inlineStr">
        <is>
          <t>Quinta</t>
        </is>
      </c>
      <c r="C2635" t="inlineStr">
        <is>
          <t>RCE So Lucas Fbio</t>
        </is>
      </c>
      <c r="E2635" t="inlineStr">
        <is>
          <t>Emanuel GO-01</t>
        </is>
      </c>
      <c r="F2635" t="inlineStr">
        <is>
          <t>VCA, PVs e Ligaes;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PDS_chat_2026-05-29</t>
        </is>
      </c>
      <c r="M2635">
        <f>IF($A2635="","",TEXT($A2635,"mmmm/yyyy"))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46170</v>
      </c>
      <c r="B2636" t="inlineStr">
        <is>
          <t>Quinta</t>
        </is>
      </c>
      <c r="C2636" t="inlineStr">
        <is>
          <t>RCE So Lucas Fbio</t>
        </is>
      </c>
      <c r="E2636" t="inlineStr">
        <is>
          <t>Miro GO-02</t>
        </is>
      </c>
      <c r="F2636" t="inlineStr">
        <is>
          <t>VCA, PVs e Ligaes;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PDS_chat_2026-05-29</t>
        </is>
      </c>
      <c r="M2636">
        <f>IF($A2636="","",TEXT($A2636,"mmmm/yyyy"))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46170</v>
      </c>
      <c r="B2637" t="inlineStr">
        <is>
          <t>Quinta</t>
        </is>
      </c>
      <c r="C2637" t="inlineStr">
        <is>
          <t>RCE Rua So Joo Fbio</t>
        </is>
      </c>
      <c r="E2637" t="inlineStr">
        <is>
          <t>Antonio (PI 01 Ao PI 02)*</t>
        </is>
      </c>
      <c r="F2637" t="inlineStr">
        <is>
          <t>VCA, PVs e Ligaes</t>
        </is>
      </c>
      <c r="G2637" t="inlineStr">
        <is>
          <t>01</t>
        </is>
      </c>
      <c r="H2637" t="inlineStr">
        <is>
          <t>02</t>
        </is>
      </c>
      <c r="I2637" t="inlineStr">
        <is>
          <t>01 ao 02</t>
        </is>
      </c>
      <c r="J2637" t="inlineStr">
        <is>
          <t>VCA</t>
        </is>
      </c>
      <c r="K2637" t="inlineStr">
        <is>
          <t>Planejamento</t>
        </is>
      </c>
      <c r="L2637" t="inlineStr">
        <is>
          <t>PDS_chat_2026-05-29</t>
        </is>
      </c>
      <c r="M2637">
        <f>IF($A2637="","",TEXT($A2637,"mmmm/yyyy"))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46170</v>
      </c>
      <c r="B2638" t="inlineStr">
        <is>
          <t>Quinta</t>
        </is>
      </c>
      <c r="C2638" t="inlineStr">
        <is>
          <t>CTS Lourdes Complementar Robson</t>
        </is>
      </c>
      <c r="E2638" t="inlineStr">
        <is>
          <t>Gr Drill</t>
        </is>
      </c>
      <c r="F2638" t="inlineStr">
        <is>
          <t>Furo Piloto e puxe PV 03 ao PV 05</t>
        </is>
      </c>
      <c r="G2638" t="inlineStr">
        <is>
          <t>03</t>
        </is>
      </c>
      <c r="H2638" t="inlineStr">
        <is>
          <t>05</t>
        </is>
      </c>
      <c r="I2638" t="inlineStr">
        <is>
          <t>03 ao 05</t>
        </is>
      </c>
      <c r="J2638" t="inlineStr">
        <is>
          <t>HDD</t>
        </is>
      </c>
      <c r="K2638" t="inlineStr">
        <is>
          <t>Planejamento</t>
        </is>
      </c>
      <c r="L2638" t="inlineStr">
        <is>
          <t>PDS_chat_2026-05-29</t>
        </is>
      </c>
      <c r="M2638">
        <f>IF($A2638="","",TEXT($A2638,"mmmm/yyyy"))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46170</v>
      </c>
      <c r="B2639" t="inlineStr">
        <is>
          <t>Quinta</t>
        </is>
      </c>
      <c r="C2639" t="inlineStr">
        <is>
          <t>CTS Lourdes Complementar Robson</t>
        </is>
      </c>
      <c r="E2639" t="inlineStr">
        <is>
          <t>Medeiros</t>
        </is>
      </c>
      <c r="F2639" t="inlineStr">
        <is>
          <t>Apoio HDD</t>
        </is>
      </c>
      <c r="J2639" t="inlineStr">
        <is>
          <t>HDD</t>
        </is>
      </c>
      <c r="K2639" t="inlineStr">
        <is>
          <t>Planejamento</t>
        </is>
      </c>
      <c r="L2639" t="inlineStr">
        <is>
          <t>PDS_chat_2026-05-29</t>
        </is>
      </c>
      <c r="M2639">
        <f>IF($A2639="","",TEXT($A2639,"mmmm/yyyy"))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46170</v>
      </c>
      <c r="B2640" t="inlineStr">
        <is>
          <t>Quinta</t>
        </is>
      </c>
      <c r="C2640" t="inlineStr">
        <is>
          <t>CTS Lourdes Complementar Robson</t>
        </is>
      </c>
      <c r="E2640" t="inlineStr">
        <is>
          <t>Edvando</t>
        </is>
      </c>
      <c r="F2640" t="inlineStr">
        <is>
          <t>Transformao PV 02</t>
        </is>
      </c>
      <c r="G2640" t="inlineStr">
        <is>
          <t>02</t>
        </is>
      </c>
      <c r="I2640" t="inlineStr">
        <is>
          <t>02</t>
        </is>
      </c>
      <c r="J2640" t="inlineStr">
        <is>
          <t>Transforma??o</t>
        </is>
      </c>
      <c r="K2640" t="inlineStr">
        <is>
          <t>Planejamento</t>
        </is>
      </c>
      <c r="L2640" t="inlineStr">
        <is>
          <t>PDS_chat_2026-05-29</t>
        </is>
      </c>
      <c r="M2640">
        <f>IF($A2640="","",TEXT($A2640,"mmmm/yyyy"))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46170</v>
      </c>
      <c r="B2641" t="inlineStr">
        <is>
          <t>Quinta</t>
        </is>
      </c>
      <c r="C2641" t="inlineStr">
        <is>
          <t>CTS Lourdes Complementar Robson</t>
        </is>
      </c>
      <c r="E2641" t="inlineStr">
        <is>
          <t>Edvando</t>
        </is>
      </c>
      <c r="F2641" t="inlineStr">
        <is>
          <t>SERVIOS REPOSIO LEANDRO</t>
        </is>
      </c>
      <c r="J2641" t="inlineStr">
        <is>
          <t>Atividade</t>
        </is>
      </c>
      <c r="K2641" t="inlineStr">
        <is>
          <t>Planejamento</t>
        </is>
      </c>
      <c r="L2641" t="inlineStr">
        <is>
          <t>PDS_chat_2026-05-29</t>
        </is>
      </c>
      <c r="M2641">
        <f>IF($A2641="","",TEXT($A2641,"mmmm/yyyy"))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46170</v>
      </c>
      <c r="B2642" t="inlineStr">
        <is>
          <t>Quinta</t>
        </is>
      </c>
      <c r="C2642" t="inlineStr">
        <is>
          <t>CTS Lourdes Complementar Robson</t>
        </is>
      </c>
      <c r="E2642" t="inlineStr">
        <is>
          <t>Edvando</t>
        </is>
      </c>
      <c r="F2642" t="inlineStr">
        <is>
          <t>Reparos Gerais</t>
        </is>
      </c>
      <c r="J2642" t="inlineStr">
        <is>
          <t>Reposi??o</t>
        </is>
      </c>
      <c r="K2642" t="inlineStr">
        <is>
          <t>Planejamento</t>
        </is>
      </c>
      <c r="L2642" t="inlineStr">
        <is>
          <t>PDS_chat_2026-05-29</t>
        </is>
      </c>
      <c r="M2642">
        <f>IF($A2642="","",TEXT($A2642,"mmmm/yyyy"))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46170</v>
      </c>
      <c r="B2643" t="inlineStr">
        <is>
          <t>Quinta</t>
        </is>
      </c>
      <c r="C2643" t="inlineStr">
        <is>
          <t>Servi?os Reposi??o</t>
        </is>
      </c>
      <c r="D2643" t="inlineStr">
        <is>
          <t>Leandro</t>
        </is>
      </c>
      <c r="E2643" t="inlineStr">
        <is>
          <t>Vacal</t>
        </is>
      </c>
      <c r="F2643" t="inlineStr">
        <is>
          <t>Joo Canzi Renasce</t>
        </is>
      </c>
      <c r="J2643" t="inlineStr">
        <is>
          <t>Atividade</t>
        </is>
      </c>
      <c r="K2643" t="inlineStr">
        <is>
          <t>Planejamento</t>
        </is>
      </c>
      <c r="L2643" t="inlineStr">
        <is>
          <t>PDS_chat_2026-05-29</t>
        </is>
      </c>
      <c r="M2643">
        <f>IF($A2643="","",TEXT($A2643,"mmmm/yyyy"))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46170</v>
      </c>
      <c r="B2644" t="inlineStr">
        <is>
          <t>Quinta</t>
        </is>
      </c>
      <c r="C2644" t="inlineStr">
        <is>
          <t>Servi?os Reposi??o</t>
        </is>
      </c>
      <c r="D2644" t="inlineStr">
        <is>
          <t>Leandro</t>
        </is>
      </c>
      <c r="E2644" t="inlineStr">
        <is>
          <t>Vacal</t>
        </is>
      </c>
      <c r="F2644" t="inlineStr">
        <is>
          <t>Joo Canzi Henko</t>
        </is>
      </c>
      <c r="J2644" t="inlineStr">
        <is>
          <t>Atividade</t>
        </is>
      </c>
      <c r="K2644" t="inlineStr">
        <is>
          <t>Planejamento</t>
        </is>
      </c>
      <c r="L2644" t="inlineStr">
        <is>
          <t>PDS_chat_2026-05-29</t>
        </is>
      </c>
      <c r="M2644">
        <f>IF($A2644="","",TEXT($A2644,"mmmm/yyyy"))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46170</v>
      </c>
      <c r="B2645" t="inlineStr">
        <is>
          <t>Quinta</t>
        </is>
      </c>
      <c r="C2645" t="inlineStr">
        <is>
          <t>Servi?os Reposi??o</t>
        </is>
      </c>
      <c r="D2645" t="inlineStr">
        <is>
          <t>Leandro</t>
        </is>
      </c>
      <c r="E2645" t="inlineStr">
        <is>
          <t>Vacal</t>
        </is>
      </c>
      <c r="F2645" t="inlineStr">
        <is>
          <t>Lourdes Hidrosol</t>
        </is>
      </c>
      <c r="J2645" t="inlineStr">
        <is>
          <t>Atividade</t>
        </is>
      </c>
      <c r="K2645" t="inlineStr">
        <is>
          <t>Planejamento</t>
        </is>
      </c>
      <c r="L2645" t="inlineStr">
        <is>
          <t>PDS_chat_2026-05-29</t>
        </is>
      </c>
      <c r="M2645">
        <f>IF($A2645="","",TEXT($A2645,"mmmm/yyyy"))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46170</v>
      </c>
      <c r="B2646" t="inlineStr">
        <is>
          <t>Quinta</t>
        </is>
      </c>
      <c r="C2646" t="inlineStr">
        <is>
          <t>Servi?os Reposi??o</t>
        </is>
      </c>
      <c r="D2646" t="inlineStr">
        <is>
          <t>Leandro</t>
        </is>
      </c>
      <c r="E2646" t="inlineStr">
        <is>
          <t>Vacal</t>
        </is>
      </c>
      <c r="F2646" t="inlineStr">
        <is>
          <t>Lourdes Henko</t>
        </is>
      </c>
      <c r="J2646" t="inlineStr">
        <is>
          <t>Atividade</t>
        </is>
      </c>
      <c r="K2646" t="inlineStr">
        <is>
          <t>Planejamento</t>
        </is>
      </c>
      <c r="L2646" t="inlineStr">
        <is>
          <t>PDS_chat_2026-05-29</t>
        </is>
      </c>
      <c r="M2646">
        <f>IF($A2646="","",TEXT($A2646,"mmmm/yyyy"))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46170</v>
      </c>
      <c r="B2647" t="inlineStr">
        <is>
          <t>Quinta</t>
        </is>
      </c>
      <c r="C2647" t="inlineStr">
        <is>
          <t>Servi?os Reposi??o</t>
        </is>
      </c>
      <c r="D2647" t="inlineStr">
        <is>
          <t>Leandro</t>
        </is>
      </c>
      <c r="E2647" t="inlineStr">
        <is>
          <t>Vacal</t>
        </is>
      </c>
      <c r="F2647" t="inlineStr">
        <is>
          <t>Lourdes Henko</t>
        </is>
      </c>
      <c r="J2647" t="inlineStr">
        <is>
          <t>Atividade</t>
        </is>
      </c>
      <c r="K2647" t="inlineStr">
        <is>
          <t>Planejamento</t>
        </is>
      </c>
      <c r="L2647" t="inlineStr">
        <is>
          <t>PDS_chat_2026-05-29</t>
        </is>
      </c>
      <c r="M2647">
        <f>IF($A2647="","",TEXT($A2647,"mmmm/yyyy"))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46170</v>
      </c>
      <c r="B2648" t="inlineStr">
        <is>
          <t>Quinta</t>
        </is>
      </c>
      <c r="C2648" t="inlineStr">
        <is>
          <t>Servi?os Reposi??o</t>
        </is>
      </c>
      <c r="D2648" t="inlineStr">
        <is>
          <t>Leandro</t>
        </is>
      </c>
      <c r="E2648" t="inlineStr">
        <is>
          <t>Guindauto: Marcio</t>
        </is>
      </c>
      <c r="F2648" t="inlineStr">
        <is>
          <t>Marcio - Apoio as equipes</t>
        </is>
      </c>
      <c r="J2648" t="inlineStr">
        <is>
          <t>Atividade</t>
        </is>
      </c>
      <c r="K2648" t="inlineStr">
        <is>
          <t>Planejamento</t>
        </is>
      </c>
      <c r="L2648" t="inlineStr">
        <is>
          <t>PDS_chat_2026-05-29</t>
        </is>
      </c>
      <c r="M2648">
        <f>IF($A2648="","",TEXT($A2648,"mmmm/yyyy"))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  <row r="2649">
      <c r="A2649" s="36" t="n">
        <v>46170</v>
      </c>
      <c r="B2649" t="inlineStr">
        <is>
          <t>Quinta</t>
        </is>
      </c>
      <c r="C2649" t="inlineStr">
        <is>
          <t>Servi?os Reposi??o</t>
        </is>
      </c>
      <c r="D2649" t="inlineStr">
        <is>
          <t>Leandro</t>
        </is>
      </c>
      <c r="E2649" t="inlineStr">
        <is>
          <t>Guindauto: Luiz Carlos</t>
        </is>
      </c>
      <c r="F2649" t="inlineStr">
        <is>
          <t>Luiz Carlos - Apoio as equipes</t>
        </is>
      </c>
      <c r="J2649" t="inlineStr">
        <is>
          <t>Atividade</t>
        </is>
      </c>
      <c r="K2649" t="inlineStr">
        <is>
          <t>Planejamento</t>
        </is>
      </c>
      <c r="L2649" t="inlineStr">
        <is>
          <t>PDS_chat_2026-05-29</t>
        </is>
      </c>
      <c r="M2649">
        <f>IF($A2649="","",TEXT($A2649,"mmmm/yyyy"))</f>
        <v/>
      </c>
      <c r="R2649">
        <f>IF(ISNUMBER(SEARCH("HDD",$F2649)),"HDD",IF(ISNUMBER(SEARCH("VCA",$F2649)),"VCA","MND"))</f>
        <v/>
      </c>
      <c r="T2649">
        <f>TEXT($A2649,"yyyy-mm")&amp;"|"&amp;$C2649&amp;"|"&amp;$I2649</f>
        <v/>
      </c>
    </row>
    <row r="2650">
      <c r="A2650" s="36" t="n">
        <v>46171</v>
      </c>
      <c r="B2650" t="inlineStr">
        <is>
          <t>Sexta</t>
        </is>
      </c>
      <c r="C2650" t="inlineStr">
        <is>
          <t>CT Joo Canzi Valmir</t>
        </is>
      </c>
      <c r="E2650" t="inlineStr">
        <is>
          <t>Goinia Drill</t>
        </is>
      </c>
      <c r="F2650" t="inlineStr">
        <is>
          <t>Furo piloto e puxe do PV-10 ao PV-11</t>
        </is>
      </c>
      <c r="G2650" t="inlineStr">
        <is>
          <t>10</t>
        </is>
      </c>
      <c r="H2650" t="inlineStr">
        <is>
          <t>11</t>
        </is>
      </c>
      <c r="I2650" t="inlineStr">
        <is>
          <t>10 ao 11</t>
        </is>
      </c>
      <c r="J2650" t="inlineStr">
        <is>
          <t>HDD</t>
        </is>
      </c>
      <c r="K2650" t="inlineStr">
        <is>
          <t>Planejamento</t>
        </is>
      </c>
      <c r="L2650" t="inlineStr">
        <is>
          <t>PDS_chat_2026-05-29</t>
        </is>
      </c>
      <c r="M2650">
        <f>IF($A2650="","",TEXT($A2650,"mmmm/yyyy"))</f>
        <v/>
      </c>
      <c r="R2650">
        <f>IF(ISNUMBER(SEARCH("HDD",$F2650)),"HDD",IF(ISNUMBER(SEARCH("VCA",$F2650)),"VCA","MND"))</f>
        <v/>
      </c>
      <c r="T2650">
        <f>TEXT($A2650,"yyyy-mm")&amp;"|"&amp;$C2650&amp;"|"&amp;$I2650</f>
        <v/>
      </c>
    </row>
    <row r="2651">
      <c r="A2651" s="36" t="n">
        <v>46171</v>
      </c>
      <c r="B2651" t="inlineStr">
        <is>
          <t>Sexta</t>
        </is>
      </c>
      <c r="C2651" t="inlineStr">
        <is>
          <t>CT Joo Canzi Valmir</t>
        </is>
      </c>
      <c r="E2651" t="inlineStr">
        <is>
          <t>Bruno</t>
        </is>
      </c>
      <c r="F2651" t="inlineStr">
        <is>
          <t>Apoio ao HDD</t>
        </is>
      </c>
      <c r="J2651" t="inlineStr">
        <is>
          <t>HDD</t>
        </is>
      </c>
      <c r="K2651" t="inlineStr">
        <is>
          <t>Planejamento</t>
        </is>
      </c>
      <c r="L2651" t="inlineStr">
        <is>
          <t>PDS_chat_2026-05-29</t>
        </is>
      </c>
      <c r="M2651">
        <f>IF($A2651="","",TEXT($A2651,"mmmm/yyyy"))</f>
        <v/>
      </c>
      <c r="R2651">
        <f>IF(ISNUMBER(SEARCH("HDD",$F2651)),"HDD",IF(ISNUMBER(SEARCH("VCA",$F2651)),"VCA","MND"))</f>
        <v/>
      </c>
      <c r="T2651">
        <f>TEXT($A2651,"yyyy-mm")&amp;"|"&amp;$C2651&amp;"|"&amp;$I2651</f>
        <v/>
      </c>
    </row>
    <row r="2652">
      <c r="A2652" s="36" t="n">
        <v>46171</v>
      </c>
      <c r="B2652" t="inlineStr">
        <is>
          <t>Sexta</t>
        </is>
      </c>
      <c r="C2652" t="inlineStr">
        <is>
          <t>CT Joo Canzi Valmir</t>
        </is>
      </c>
      <c r="E2652" t="inlineStr">
        <is>
          <t>Mrcio</t>
        </is>
      </c>
      <c r="F2652" t="inlineStr">
        <is>
          <t>Transformao PV 14</t>
        </is>
      </c>
      <c r="G2652" t="inlineStr">
        <is>
          <t>14</t>
        </is>
      </c>
      <c r="I2652" t="inlineStr">
        <is>
          <t>14</t>
        </is>
      </c>
      <c r="J2652" t="inlineStr">
        <is>
          <t>Transforma??o</t>
        </is>
      </c>
      <c r="K2652" t="inlineStr">
        <is>
          <t>Planejamento</t>
        </is>
      </c>
      <c r="L2652" t="inlineStr">
        <is>
          <t>PDS_chat_2026-05-29</t>
        </is>
      </c>
      <c r="M2652">
        <f>IF($A2652="","",TEXT($A2652,"mmmm/yyyy"))</f>
        <v/>
      </c>
      <c r="R2652">
        <f>IF(ISNUMBER(SEARCH("HDD",$F2652)),"HDD",IF(ISNUMBER(SEARCH("VCA",$F2652)),"VCA","MND"))</f>
        <v/>
      </c>
      <c r="T2652">
        <f>TEXT($A2652,"yyyy-mm")&amp;"|"&amp;$C2652&amp;"|"&amp;$I2652</f>
        <v/>
      </c>
    </row>
    <row r="2653">
      <c r="A2653" s="36" t="n">
        <v>46171</v>
      </c>
      <c r="B2653" t="inlineStr">
        <is>
          <t>Sexta</t>
        </is>
      </c>
      <c r="C2653" t="inlineStr">
        <is>
          <t>CT Joo Canzi Valmir</t>
        </is>
      </c>
      <c r="E2653" t="inlineStr">
        <is>
          <t>Marcelo</t>
        </is>
      </c>
      <c r="F2653" t="inlineStr">
        <is>
          <t>Shaft PV 09</t>
        </is>
      </c>
      <c r="G2653" t="inlineStr">
        <is>
          <t>09</t>
        </is>
      </c>
      <c r="I2653" t="inlineStr">
        <is>
          <t>09</t>
        </is>
      </c>
      <c r="J2653" t="inlineStr">
        <is>
          <t>Shaft</t>
        </is>
      </c>
      <c r="K2653" t="inlineStr">
        <is>
          <t>Planejamento</t>
        </is>
      </c>
      <c r="L2653" t="inlineStr">
        <is>
          <t>PDS_chat_2026-05-29</t>
        </is>
      </c>
      <c r="M2653">
        <f>IF($A2653="","",TEXT($A2653,"mmmm/yyyy"))</f>
        <v/>
      </c>
      <c r="R2653">
        <f>IF(ISNUMBER(SEARCH("HDD",$F2653)),"HDD",IF(ISNUMBER(SEARCH("VCA",$F2653)),"VCA","MND"))</f>
        <v/>
      </c>
      <c r="T2653">
        <f>TEXT($A2653,"yyyy-mm")&amp;"|"&amp;$C2653&amp;"|"&amp;$I2653</f>
        <v/>
      </c>
    </row>
    <row r="2654">
      <c r="A2654" s="36" t="n">
        <v>46171</v>
      </c>
      <c r="B2654" t="inlineStr">
        <is>
          <t>Sexta</t>
        </is>
      </c>
      <c r="C2654" t="inlineStr">
        <is>
          <t>CT Joo Canzi Valmir</t>
        </is>
      </c>
      <c r="E2654" t="inlineStr">
        <is>
          <t>Valter</t>
        </is>
      </c>
      <c r="F2654" t="inlineStr">
        <is>
          <t>Shaft PV 11</t>
        </is>
      </c>
      <c r="G2654" t="inlineStr">
        <is>
          <t>11</t>
        </is>
      </c>
      <c r="I2654" t="inlineStr">
        <is>
          <t>11</t>
        </is>
      </c>
      <c r="J2654" t="inlineStr">
        <is>
          <t>Shaft</t>
        </is>
      </c>
      <c r="K2654" t="inlineStr">
        <is>
          <t>Planejamento</t>
        </is>
      </c>
      <c r="L2654" t="inlineStr">
        <is>
          <t>PDS_chat_2026-05-29</t>
        </is>
      </c>
      <c r="M2654">
        <f>IF($A2654="","",TEXT($A2654,"mmmm/yyyy"))</f>
        <v/>
      </c>
      <c r="R2654">
        <f>IF(ISNUMBER(SEARCH("HDD",$F2654)),"HDD",IF(ISNUMBER(SEARCH("VCA",$F2654)),"VCA","MND"))</f>
        <v/>
      </c>
      <c r="T2654">
        <f>TEXT($A2654,"yyyy-mm")&amp;"|"&amp;$C2654&amp;"|"&amp;$I2654</f>
        <v/>
      </c>
    </row>
    <row r="2655">
      <c r="A2655" s="36" t="n">
        <v>46171</v>
      </c>
      <c r="B2655" t="inlineStr">
        <is>
          <t>Sexta</t>
        </is>
      </c>
      <c r="C2655" t="inlineStr">
        <is>
          <t>RCE Conj. Unio Caroline E Silvestre</t>
        </is>
      </c>
      <c r="E2655" t="inlineStr">
        <is>
          <t>Jonathan</t>
        </is>
      </c>
      <c r="F2655" t="inlineStr">
        <is>
          <t>Shaft PV 40.1</t>
        </is>
      </c>
      <c r="G2655" t="inlineStr">
        <is>
          <t>40.1</t>
        </is>
      </c>
      <c r="I2655" t="inlineStr">
        <is>
          <t>40.1</t>
        </is>
      </c>
      <c r="J2655" t="inlineStr">
        <is>
          <t>Shaft</t>
        </is>
      </c>
      <c r="K2655" t="inlineStr">
        <is>
          <t>Planejamento</t>
        </is>
      </c>
      <c r="L2655" t="inlineStr">
        <is>
          <t>PDS_chat_2026-05-29</t>
        </is>
      </c>
      <c r="M2655">
        <f>IF($A2655="","",TEXT($A2655,"mmmm/yyyy"))</f>
        <v/>
      </c>
      <c r="R2655">
        <f>IF(ISNUMBER(SEARCH("HDD",$F2655)),"HDD",IF(ISNUMBER(SEARCH("VCA",$F2655)),"VCA","MND"))</f>
        <v/>
      </c>
      <c r="T2655">
        <f>TEXT($A2655,"yyyy-mm")&amp;"|"&amp;$C2655&amp;"|"&amp;$I2655</f>
        <v/>
      </c>
    </row>
    <row r="2656">
      <c r="A2656" s="36" t="n">
        <v>46171</v>
      </c>
      <c r="B2656" t="inlineStr">
        <is>
          <t>Sexta</t>
        </is>
      </c>
      <c r="C2656" t="inlineStr">
        <is>
          <t>RCE So Lucas Fbio</t>
        </is>
      </c>
      <c r="E2656" t="inlineStr">
        <is>
          <t>Ricardo (PI 04 Ao PI 06)</t>
        </is>
      </c>
      <c r="F2656" t="inlineStr">
        <is>
          <t>VCA, PVs e Ligaes</t>
        </is>
      </c>
      <c r="G2656" t="inlineStr">
        <is>
          <t>04</t>
        </is>
      </c>
      <c r="H2656" t="inlineStr">
        <is>
          <t>06</t>
        </is>
      </c>
      <c r="I2656" t="inlineStr">
        <is>
          <t>04 ao 06</t>
        </is>
      </c>
      <c r="J2656" t="inlineStr">
        <is>
          <t>VCA</t>
        </is>
      </c>
      <c r="K2656" t="inlineStr">
        <is>
          <t>Planejamento</t>
        </is>
      </c>
      <c r="L2656" t="inlineStr">
        <is>
          <t>PDS_chat_2026-05-29</t>
        </is>
      </c>
      <c r="M2656">
        <f>IF($A2656="","",TEXT($A2656,"mmmm/yyyy"))</f>
        <v/>
      </c>
      <c r="R2656">
        <f>IF(ISNUMBER(SEARCH("HDD",$F2656)),"HDD",IF(ISNUMBER(SEARCH("VCA",$F2656)),"VCA","MND"))</f>
        <v/>
      </c>
      <c r="T2656">
        <f>TEXT($A2656,"yyyy-mm")&amp;"|"&amp;$C2656&amp;"|"&amp;$I2656</f>
        <v/>
      </c>
    </row>
    <row r="2657">
      <c r="A2657" s="36" t="n">
        <v>46171</v>
      </c>
      <c r="B2657" t="inlineStr">
        <is>
          <t>Sexta</t>
        </is>
      </c>
      <c r="C2657" t="inlineStr">
        <is>
          <t>RCE So Lucas Fbio</t>
        </is>
      </c>
      <c r="E2657" t="inlineStr">
        <is>
          <t>Claudinei (PI 37 Ao PI 38)</t>
        </is>
      </c>
      <c r="F2657" t="inlineStr">
        <is>
          <t>VCA, PVs e Ligaes</t>
        </is>
      </c>
      <c r="G2657" t="inlineStr">
        <is>
          <t>37</t>
        </is>
      </c>
      <c r="H2657" t="inlineStr">
        <is>
          <t>38</t>
        </is>
      </c>
      <c r="I2657" t="inlineStr">
        <is>
          <t>37 ao 38</t>
        </is>
      </c>
      <c r="J2657" t="inlineStr">
        <is>
          <t>VCA</t>
        </is>
      </c>
      <c r="K2657" t="inlineStr">
        <is>
          <t>Planejamento</t>
        </is>
      </c>
      <c r="L2657" t="inlineStr">
        <is>
          <t>PDS_chat_2026-05-29</t>
        </is>
      </c>
      <c r="M2657">
        <f>IF($A2657="","",TEXT($A2657,"mmmm/yyyy"))</f>
        <v/>
      </c>
      <c r="R2657">
        <f>IF(ISNUMBER(SEARCH("HDD",$F2657)),"HDD",IF(ISNUMBER(SEARCH("VCA",$F2657)),"VCA","MND"))</f>
        <v/>
      </c>
      <c r="T2657">
        <f>TEXT($A2657,"yyyy-mm")&amp;"|"&amp;$C2657&amp;"|"&amp;$I2657</f>
        <v/>
      </c>
    </row>
    <row r="2658">
      <c r="A2658" s="36" t="n">
        <v>46171</v>
      </c>
      <c r="B2658" t="inlineStr">
        <is>
          <t>Sexta</t>
        </is>
      </c>
      <c r="C2658" t="inlineStr">
        <is>
          <t>RCE So Lucas Fbio</t>
        </is>
      </c>
      <c r="E2658" t="inlineStr">
        <is>
          <t>Emanuel GO-01</t>
        </is>
      </c>
      <c r="F2658" t="inlineStr">
        <is>
          <t>VCA, PVs e Ligaes; (PI 33 ao PI 34)</t>
        </is>
      </c>
      <c r="G2658" t="inlineStr">
        <is>
          <t>33</t>
        </is>
      </c>
      <c r="H2658" t="inlineStr">
        <is>
          <t>34</t>
        </is>
      </c>
      <c r="I2658" t="inlineStr">
        <is>
          <t>33 ao 34</t>
        </is>
      </c>
      <c r="J2658" t="inlineStr">
        <is>
          <t>VCA</t>
        </is>
      </c>
      <c r="K2658" t="inlineStr">
        <is>
          <t>Planejamento</t>
        </is>
      </c>
      <c r="L2658" t="inlineStr">
        <is>
          <t>PDS_chat_2026-05-29</t>
        </is>
      </c>
      <c r="M2658">
        <f>IF($A2658="","",TEXT($A2658,"mmmm/yyyy"))</f>
        <v/>
      </c>
      <c r="R2658">
        <f>IF(ISNUMBER(SEARCH("HDD",$F2658)),"HDD",IF(ISNUMBER(SEARCH("VCA",$F2658)),"VCA","MND"))</f>
        <v/>
      </c>
      <c r="T2658">
        <f>TEXT($A2658,"yyyy-mm")&amp;"|"&amp;$C2658&amp;"|"&amp;$I2658</f>
        <v/>
      </c>
    </row>
    <row r="2659">
      <c r="A2659" s="36" t="n">
        <v>46171</v>
      </c>
      <c r="B2659" t="inlineStr">
        <is>
          <t>Sexta</t>
        </is>
      </c>
      <c r="C2659" t="inlineStr">
        <is>
          <t>RCE So Lucas Fbio</t>
        </is>
      </c>
      <c r="E2659" t="inlineStr">
        <is>
          <t>Miro GO-02</t>
        </is>
      </c>
      <c r="F2659" t="inlineStr">
        <is>
          <t>VCA, PVs e Ligaes; (PI 33 ao PI 34)</t>
        </is>
      </c>
      <c r="G2659" t="inlineStr">
        <is>
          <t>33</t>
        </is>
      </c>
      <c r="H2659" t="inlineStr">
        <is>
          <t>34</t>
        </is>
      </c>
      <c r="I2659" t="inlineStr">
        <is>
          <t>33 ao 34</t>
        </is>
      </c>
      <c r="J2659" t="inlineStr">
        <is>
          <t>VCA</t>
        </is>
      </c>
      <c r="K2659" t="inlineStr">
        <is>
          <t>Planejamento</t>
        </is>
      </c>
      <c r="L2659" t="inlineStr">
        <is>
          <t>PDS_chat_2026-05-29</t>
        </is>
      </c>
      <c r="M2659">
        <f>IF($A2659="","",TEXT($A2659,"mmmm/yyyy"))</f>
        <v/>
      </c>
      <c r="R2659">
        <f>IF(ISNUMBER(SEARCH("HDD",$F2659)),"HDD",IF(ISNUMBER(SEARCH("VCA",$F2659)),"VCA","MND"))</f>
        <v/>
      </c>
      <c r="T2659">
        <f>TEXT($A2659,"yyyy-mm")&amp;"|"&amp;$C2659&amp;"|"&amp;$I2659</f>
        <v/>
      </c>
    </row>
    <row r="2660">
      <c r="A2660" s="36" t="n">
        <v>46171</v>
      </c>
      <c r="B2660" t="inlineStr">
        <is>
          <t>Sexta</t>
        </is>
      </c>
      <c r="C2660" t="inlineStr">
        <is>
          <t>RCE Rua So Joo Fbio</t>
        </is>
      </c>
      <c r="E2660" t="inlineStr">
        <is>
          <t>Antonio (PI 01 Ao PI 02)*</t>
        </is>
      </c>
      <c r="F2660" t="inlineStr">
        <is>
          <t>VCA, PVs e Ligaes</t>
        </is>
      </c>
      <c r="G2660" t="inlineStr">
        <is>
          <t>01</t>
        </is>
      </c>
      <c r="H2660" t="inlineStr">
        <is>
          <t>02</t>
        </is>
      </c>
      <c r="I2660" t="inlineStr">
        <is>
          <t>01 ao 02</t>
        </is>
      </c>
      <c r="J2660" t="inlineStr">
        <is>
          <t>VCA</t>
        </is>
      </c>
      <c r="K2660" t="inlineStr">
        <is>
          <t>Planejamento</t>
        </is>
      </c>
      <c r="L2660" t="inlineStr">
        <is>
          <t>PDS_chat_2026-05-29</t>
        </is>
      </c>
      <c r="M2660">
        <f>IF($A2660="","",TEXT($A2660,"mmmm/yyyy"))</f>
        <v/>
      </c>
      <c r="R2660">
        <f>IF(ISNUMBER(SEARCH("HDD",$F2660)),"HDD",IF(ISNUMBER(SEARCH("VCA",$F2660)),"VCA","MND"))</f>
        <v/>
      </c>
      <c r="T2660">
        <f>TEXT($A2660,"yyyy-mm")&amp;"|"&amp;$C2660&amp;"|"&amp;$I2660</f>
        <v/>
      </c>
    </row>
    <row r="2661">
      <c r="A2661" s="36" t="n">
        <v>46171</v>
      </c>
      <c r="B2661" t="inlineStr">
        <is>
          <t>Sexta</t>
        </is>
      </c>
      <c r="C2661" t="inlineStr">
        <is>
          <t>CTS Lourdes Complementar Caroline E Silvestre</t>
        </is>
      </c>
      <c r="E2661" t="inlineStr">
        <is>
          <t>Cesar</t>
        </is>
      </c>
      <c r="F2661" t="inlineStr">
        <is>
          <t>Corte cabea puxe PV 03</t>
        </is>
      </c>
      <c r="G2661" t="inlineStr">
        <is>
          <t>03</t>
        </is>
      </c>
      <c r="I2661" t="inlineStr">
        <is>
          <t>03</t>
        </is>
      </c>
      <c r="J2661" t="inlineStr">
        <is>
          <t>HDD</t>
        </is>
      </c>
      <c r="K2661" t="inlineStr">
        <is>
          <t>Planejamento</t>
        </is>
      </c>
      <c r="L2661" t="inlineStr">
        <is>
          <t>PDS_chat_2026-05-29</t>
        </is>
      </c>
      <c r="M2661">
        <f>IF($A2661="","",TEXT($A2661,"mmmm/yyyy"))</f>
        <v/>
      </c>
      <c r="R2661">
        <f>IF(ISNUMBER(SEARCH("HDD",$F2661)),"HDD",IF(ISNUMBER(SEARCH("VCA",$F2661)),"VCA","MND"))</f>
        <v/>
      </c>
      <c r="T2661">
        <f>TEXT($A2661,"yyyy-mm")&amp;"|"&amp;$C2661&amp;"|"&amp;$I2661</f>
        <v/>
      </c>
    </row>
    <row r="2662">
      <c r="A2662" s="36" t="n">
        <v>46171</v>
      </c>
      <c r="B2662" t="inlineStr">
        <is>
          <t>Sexta</t>
        </is>
      </c>
      <c r="C2662" t="inlineStr">
        <is>
          <t>CTS Lourdes Complementar Caroline E Silvestre</t>
        </is>
      </c>
      <c r="E2662" t="inlineStr">
        <is>
          <t>Edvando</t>
        </is>
      </c>
      <c r="F2662" t="inlineStr">
        <is>
          <t>Transformao PV 02</t>
        </is>
      </c>
      <c r="G2662" t="inlineStr">
        <is>
          <t>02</t>
        </is>
      </c>
      <c r="I2662" t="inlineStr">
        <is>
          <t>02</t>
        </is>
      </c>
      <c r="J2662" t="inlineStr">
        <is>
          <t>Transforma??o</t>
        </is>
      </c>
      <c r="K2662" t="inlineStr">
        <is>
          <t>Planejamento</t>
        </is>
      </c>
      <c r="L2662" t="inlineStr">
        <is>
          <t>PDS_chat_2026-05-29</t>
        </is>
      </c>
      <c r="M2662">
        <f>IF($A2662="","",TEXT($A2662,"mmmm/yyyy"))</f>
        <v/>
      </c>
      <c r="R2662">
        <f>IF(ISNUMBER(SEARCH("HDD",$F2662)),"HDD",IF(ISNUMBER(SEARCH("VCA",$F2662)),"VCA","MND"))</f>
        <v/>
      </c>
      <c r="T2662">
        <f>TEXT($A2662,"yyyy-mm")&amp;"|"&amp;$C2662&amp;"|"&amp;$I2662</f>
        <v/>
      </c>
    </row>
    <row r="2663">
      <c r="A2663" s="36" t="n">
        <v>46171</v>
      </c>
      <c r="B2663" t="inlineStr">
        <is>
          <t>Sexta</t>
        </is>
      </c>
      <c r="C2663" t="inlineStr">
        <is>
          <t>CTS Lourdes Complementar Caroline E Silvestre</t>
        </is>
      </c>
      <c r="E2663" t="inlineStr">
        <is>
          <t>Cido</t>
        </is>
      </c>
      <c r="F2663" t="inlineStr">
        <is>
          <t>Transformao PV 04</t>
        </is>
      </c>
      <c r="G2663" t="inlineStr">
        <is>
          <t>04</t>
        </is>
      </c>
      <c r="I2663" t="inlineStr">
        <is>
          <t>04</t>
        </is>
      </c>
      <c r="J2663" t="inlineStr">
        <is>
          <t>Transforma??o</t>
        </is>
      </c>
      <c r="K2663" t="inlineStr">
        <is>
          <t>Planejamento</t>
        </is>
      </c>
      <c r="L2663" t="inlineStr">
        <is>
          <t>PDS_chat_2026-05-29</t>
        </is>
      </c>
      <c r="M2663">
        <f>IF($A2663="","",TEXT($A2663,"mmmm/yyyy"))</f>
        <v/>
      </c>
      <c r="R2663">
        <f>IF(ISNUMBER(SEARCH("HDD",$F2663)),"HDD",IF(ISNUMBER(SEARCH("VCA",$F2663)),"VCA","MND"))</f>
        <v/>
      </c>
      <c r="T2663">
        <f>TEXT($A2663,"yyyy-mm")&amp;"|"&amp;$C2663&amp;"|"&amp;$I2663</f>
        <v/>
      </c>
    </row>
    <row r="2664">
      <c r="A2664" s="36" t="n">
        <v>46171</v>
      </c>
      <c r="B2664" t="inlineStr">
        <is>
          <t>Sexta</t>
        </is>
      </c>
      <c r="C2664" t="inlineStr">
        <is>
          <t>CTS Lourdes Complementar Caroline E Silvestre</t>
        </is>
      </c>
      <c r="E2664" t="inlineStr">
        <is>
          <t>Cido</t>
        </is>
      </c>
      <c r="F2664" t="inlineStr">
        <is>
          <t>SERVIOS REPOSIO LEANDRO</t>
        </is>
      </c>
      <c r="J2664" t="inlineStr">
        <is>
          <t>Atividade</t>
        </is>
      </c>
      <c r="K2664" t="inlineStr">
        <is>
          <t>Planejamento</t>
        </is>
      </c>
      <c r="L2664" t="inlineStr">
        <is>
          <t>PDS_chat_2026-05-29</t>
        </is>
      </c>
      <c r="M2664">
        <f>IF($A2664="","",TEXT($A2664,"mmmm/yyyy"))</f>
        <v/>
      </c>
      <c r="R2664">
        <f>IF(ISNUMBER(SEARCH("HDD",$F2664)),"HDD",IF(ISNUMBER(SEARCH("VCA",$F2664)),"VCA","MND"))</f>
        <v/>
      </c>
      <c r="T2664">
        <f>TEXT($A2664,"yyyy-mm")&amp;"|"&amp;$C2664&amp;"|"&amp;$I2664</f>
        <v/>
      </c>
    </row>
    <row r="2665">
      <c r="A2665" s="36" t="n">
        <v>46171</v>
      </c>
      <c r="B2665" t="inlineStr">
        <is>
          <t>Sexta</t>
        </is>
      </c>
      <c r="C2665" t="inlineStr">
        <is>
          <t>CTS Lourdes Complementar Caroline E Silvestre</t>
        </is>
      </c>
      <c r="E2665" t="inlineStr">
        <is>
          <t>Cido</t>
        </is>
      </c>
      <c r="F2665" t="inlineStr">
        <is>
          <t>Reparos Gerais</t>
        </is>
      </c>
      <c r="J2665" t="inlineStr">
        <is>
          <t>Reposi??o</t>
        </is>
      </c>
      <c r="K2665" t="inlineStr">
        <is>
          <t>Planejamento</t>
        </is>
      </c>
      <c r="L2665" t="inlineStr">
        <is>
          <t>PDS_chat_2026-05-29</t>
        </is>
      </c>
      <c r="M2665">
        <f>IF($A2665="","",TEXT($A2665,"mmmm/yyyy"))</f>
        <v/>
      </c>
      <c r="R2665">
        <f>IF(ISNUMBER(SEARCH("HDD",$F2665)),"HDD",IF(ISNUMBER(SEARCH("VCA",$F2665)),"VCA","MND"))</f>
        <v/>
      </c>
      <c r="T2665">
        <f>TEXT($A2665,"yyyy-mm")&amp;"|"&amp;$C2665&amp;"|"&amp;$I2665</f>
        <v/>
      </c>
    </row>
    <row r="2666">
      <c r="A2666" s="36" t="n">
        <v>46171</v>
      </c>
      <c r="B2666" t="inlineStr">
        <is>
          <t>Sexta</t>
        </is>
      </c>
      <c r="C2666" t="inlineStr">
        <is>
          <t>Servi?os Reposi??o</t>
        </is>
      </c>
      <c r="D2666" t="inlineStr">
        <is>
          <t>Leandro</t>
        </is>
      </c>
      <c r="E2666" t="inlineStr">
        <is>
          <t>Vacal</t>
        </is>
      </c>
      <c r="F2666" t="inlineStr">
        <is>
          <t>Joo Canzi Renasce</t>
        </is>
      </c>
      <c r="J2666" t="inlineStr">
        <is>
          <t>Atividade</t>
        </is>
      </c>
      <c r="K2666" t="inlineStr">
        <is>
          <t>Planejamento</t>
        </is>
      </c>
      <c r="L2666" t="inlineStr">
        <is>
          <t>PDS_chat_2026-05-29</t>
        </is>
      </c>
      <c r="M2666">
        <f>IF($A2666="","",TEXT($A2666,"mmmm/yyyy"))</f>
        <v/>
      </c>
      <c r="R2666">
        <f>IF(ISNUMBER(SEARCH("HDD",$F2666)),"HDD",IF(ISNUMBER(SEARCH("VCA",$F2666)),"VCA","MND"))</f>
        <v/>
      </c>
      <c r="T2666">
        <f>TEXT($A2666,"yyyy-mm")&amp;"|"&amp;$C2666&amp;"|"&amp;$I2666</f>
        <v/>
      </c>
    </row>
    <row r="2667">
      <c r="A2667" s="36" t="n">
        <v>46171</v>
      </c>
      <c r="B2667" t="inlineStr">
        <is>
          <t>Sexta</t>
        </is>
      </c>
      <c r="C2667" t="inlineStr">
        <is>
          <t>Servi?os Reposi??o</t>
        </is>
      </c>
      <c r="D2667" t="inlineStr">
        <is>
          <t>Leandro</t>
        </is>
      </c>
      <c r="E2667" t="inlineStr">
        <is>
          <t>Vacal</t>
        </is>
      </c>
      <c r="F2667" t="inlineStr">
        <is>
          <t>Joo Canzi Renasce</t>
        </is>
      </c>
      <c r="J2667" t="inlineStr">
        <is>
          <t>Atividade</t>
        </is>
      </c>
      <c r="K2667" t="inlineStr">
        <is>
          <t>Planejamento</t>
        </is>
      </c>
      <c r="L2667" t="inlineStr">
        <is>
          <t>PDS_chat_2026-05-29</t>
        </is>
      </c>
      <c r="M2667">
        <f>IF($A2667="","",TEXT($A2667,"mmmm/yyyy"))</f>
        <v/>
      </c>
      <c r="R2667">
        <f>IF(ISNUMBER(SEARCH("HDD",$F2667)),"HDD",IF(ISNUMBER(SEARCH("VCA",$F2667)),"VCA","MND"))</f>
        <v/>
      </c>
      <c r="T2667">
        <f>TEXT($A2667,"yyyy-mm")&amp;"|"&amp;$C2667&amp;"|"&amp;$I2667</f>
        <v/>
      </c>
    </row>
    <row r="2668">
      <c r="A2668" s="36" t="n">
        <v>46171</v>
      </c>
      <c r="B2668" t="inlineStr">
        <is>
          <t>Sexta</t>
        </is>
      </c>
      <c r="C2668" t="inlineStr">
        <is>
          <t>Servi?os Reposi??o</t>
        </is>
      </c>
      <c r="D2668" t="inlineStr">
        <is>
          <t>Leandro</t>
        </is>
      </c>
      <c r="E2668" t="inlineStr">
        <is>
          <t>Vacal</t>
        </is>
      </c>
      <c r="F2668" t="inlineStr">
        <is>
          <t>Joo Canzi Henko</t>
        </is>
      </c>
      <c r="J2668" t="inlineStr">
        <is>
          <t>Atividade</t>
        </is>
      </c>
      <c r="K2668" t="inlineStr">
        <is>
          <t>Planejamento</t>
        </is>
      </c>
      <c r="L2668" t="inlineStr">
        <is>
          <t>PDS_chat_2026-05-29</t>
        </is>
      </c>
      <c r="M2668">
        <f>IF($A2668="","",TEXT($A2668,"mmmm/yyyy"))</f>
        <v/>
      </c>
      <c r="R2668">
        <f>IF(ISNUMBER(SEARCH("HDD",$F2668)),"HDD",IF(ISNUMBER(SEARCH("VCA",$F2668)),"VCA","MND"))</f>
        <v/>
      </c>
      <c r="T2668">
        <f>TEXT($A2668,"yyyy-mm")&amp;"|"&amp;$C2668&amp;"|"&amp;$I2668</f>
        <v/>
      </c>
    </row>
    <row r="2669">
      <c r="A2669" s="36" t="n">
        <v>46171</v>
      </c>
      <c r="B2669" t="inlineStr">
        <is>
          <t>Sexta</t>
        </is>
      </c>
      <c r="C2669" t="inlineStr">
        <is>
          <t>Servi?os Reposi??o</t>
        </is>
      </c>
      <c r="D2669" t="inlineStr">
        <is>
          <t>Leandro</t>
        </is>
      </c>
      <c r="E2669" t="inlineStr">
        <is>
          <t>Vacal</t>
        </is>
      </c>
      <c r="F2669" t="inlineStr">
        <is>
          <t>Lourdes - Hidrosol</t>
        </is>
      </c>
      <c r="J2669" t="inlineStr">
        <is>
          <t>Atividade</t>
        </is>
      </c>
      <c r="K2669" t="inlineStr">
        <is>
          <t>Planejamento</t>
        </is>
      </c>
      <c r="L2669" t="inlineStr">
        <is>
          <t>PDS_chat_2026-05-29</t>
        </is>
      </c>
      <c r="M2669">
        <f>IF($A2669="","",TEXT($A2669,"mmmm/yyyy"))</f>
        <v/>
      </c>
      <c r="R2669">
        <f>IF(ISNUMBER(SEARCH("HDD",$F2669)),"HDD",IF(ISNUMBER(SEARCH("VCA",$F2669)),"VCA","MND"))</f>
        <v/>
      </c>
      <c r="T2669">
        <f>TEXT($A2669,"yyyy-mm")&amp;"|"&amp;$C2669&amp;"|"&amp;$I2669</f>
        <v/>
      </c>
    </row>
    <row r="2670">
      <c r="A2670" s="36" t="n">
        <v>46171</v>
      </c>
      <c r="B2670" t="inlineStr">
        <is>
          <t>Sexta</t>
        </is>
      </c>
      <c r="C2670" t="inlineStr">
        <is>
          <t>Servi?os Reposi??o</t>
        </is>
      </c>
      <c r="D2670" t="inlineStr">
        <is>
          <t>Leandro</t>
        </is>
      </c>
      <c r="E2670" t="inlineStr">
        <is>
          <t>Vacal</t>
        </is>
      </c>
      <c r="F2670" t="inlineStr">
        <is>
          <t>Lourdes Henko</t>
        </is>
      </c>
      <c r="J2670" t="inlineStr">
        <is>
          <t>Atividade</t>
        </is>
      </c>
      <c r="K2670" t="inlineStr">
        <is>
          <t>Planejamento</t>
        </is>
      </c>
      <c r="L2670" t="inlineStr">
        <is>
          <t>PDS_chat_2026-05-29</t>
        </is>
      </c>
      <c r="M2670">
        <f>IF($A2670="","",TEXT($A2670,"mmmm/yyyy"))</f>
        <v/>
      </c>
      <c r="R2670">
        <f>IF(ISNUMBER(SEARCH("HDD",$F2670)),"HDD",IF(ISNUMBER(SEARCH("VCA",$F2670)),"VCA","MND"))</f>
        <v/>
      </c>
      <c r="T2670">
        <f>TEXT($A2670,"yyyy-mm")&amp;"|"&amp;$C2670&amp;"|"&amp;$I2670</f>
        <v/>
      </c>
    </row>
    <row r="2671">
      <c r="A2671" s="36" t="n">
        <v>46171</v>
      </c>
      <c r="B2671" t="inlineStr">
        <is>
          <t>Sexta</t>
        </is>
      </c>
      <c r="C2671" t="inlineStr">
        <is>
          <t>Servi?os Reposi??o</t>
        </is>
      </c>
      <c r="D2671" t="inlineStr">
        <is>
          <t>Leandro</t>
        </is>
      </c>
      <c r="E2671" t="inlineStr">
        <is>
          <t>Vacal</t>
        </is>
      </c>
      <c r="F2671" t="inlineStr">
        <is>
          <t>ITI 15 Henko</t>
        </is>
      </c>
      <c r="J2671" t="inlineStr">
        <is>
          <t>Atividade</t>
        </is>
      </c>
      <c r="K2671" t="inlineStr">
        <is>
          <t>Planejamento</t>
        </is>
      </c>
      <c r="L2671" t="inlineStr">
        <is>
          <t>PDS_chat_2026-05-29</t>
        </is>
      </c>
      <c r="M2671">
        <f>IF($A2671="","",TEXT($A2671,"mmmm/yyyy"))</f>
        <v/>
      </c>
      <c r="R2671">
        <f>IF(ISNUMBER(SEARCH("HDD",$F2671)),"HDD",IF(ISNUMBER(SEARCH("VCA",$F2671)),"VCA","MND"))</f>
        <v/>
      </c>
      <c r="T2671">
        <f>TEXT($A2671,"yyyy-mm")&amp;"|"&amp;$C2671&amp;"|"&amp;$I2671</f>
        <v/>
      </c>
    </row>
    <row r="2672">
      <c r="A2672" s="36" t="n">
        <v>46171</v>
      </c>
      <c r="B2672" t="inlineStr">
        <is>
          <t>Sexta</t>
        </is>
      </c>
      <c r="C2672" t="inlineStr">
        <is>
          <t>Servi?os Reposi??o</t>
        </is>
      </c>
      <c r="D2672" t="inlineStr">
        <is>
          <t>Leandro</t>
        </is>
      </c>
      <c r="E2672" t="inlineStr">
        <is>
          <t>Guindauto: Marcio</t>
        </is>
      </c>
      <c r="F2672" t="inlineStr">
        <is>
          <t>Marcio - Apoio as equipes</t>
        </is>
      </c>
      <c r="J2672" t="inlineStr">
        <is>
          <t>Atividade</t>
        </is>
      </c>
      <c r="K2672" t="inlineStr">
        <is>
          <t>Planejamento</t>
        </is>
      </c>
      <c r="L2672" t="inlineStr">
        <is>
          <t>PDS_chat_2026-05-29</t>
        </is>
      </c>
      <c r="M2672">
        <f>IF($A2672="","",TEXT($A2672,"mmmm/yyyy"))</f>
        <v/>
      </c>
      <c r="R2672">
        <f>IF(ISNUMBER(SEARCH("HDD",$F2672)),"HDD",IF(ISNUMBER(SEARCH("VCA",$F2672)),"VCA","MND"))</f>
        <v/>
      </c>
      <c r="T2672">
        <f>TEXT($A2672,"yyyy-mm")&amp;"|"&amp;$C2672&amp;"|"&amp;$I2672</f>
        <v/>
      </c>
    </row>
    <row r="2673">
      <c r="A2673" s="36" t="n">
        <v>46171</v>
      </c>
      <c r="B2673" t="inlineStr">
        <is>
          <t>Sexta</t>
        </is>
      </c>
      <c r="C2673" t="inlineStr">
        <is>
          <t>Servi?os Reposi??o</t>
        </is>
      </c>
      <c r="D2673" t="inlineStr">
        <is>
          <t>Leandro</t>
        </is>
      </c>
      <c r="E2673" t="inlineStr">
        <is>
          <t>Guindauto: Luiz Carlos</t>
        </is>
      </c>
      <c r="F2673" t="inlineStr">
        <is>
          <t>Luiz Carlos - Apoio as equipes</t>
        </is>
      </c>
      <c r="J2673" t="inlineStr">
        <is>
          <t>Atividade</t>
        </is>
      </c>
      <c r="K2673" t="inlineStr">
        <is>
          <t>Planejamento</t>
        </is>
      </c>
      <c r="L2673" t="inlineStr">
        <is>
          <t>PDS_chat_2026-05-29</t>
        </is>
      </c>
      <c r="M2673">
        <f>IF($A2673="","",TEXT($A2673,"mmmm/yyyy"))</f>
        <v/>
      </c>
      <c r="R2673">
        <f>IF(ISNUMBER(SEARCH("HDD",$F2673)),"HDD",IF(ISNUMBER(SEARCH("VCA",$F2673)),"VCA","MND"))</f>
        <v/>
      </c>
      <c r="T2673">
        <f>TEXT($A2673,"yyyy-mm")&amp;"|"&amp;$C2673&amp;"|"&amp;$I2673</f>
        <v/>
      </c>
    </row>
    <row r="2674">
      <c r="A2674" s="36" t="n">
        <v>46172</v>
      </c>
      <c r="B2674" t="inlineStr">
        <is>
          <t>Sábado</t>
        </is>
      </c>
      <c r="C2674" t="inlineStr">
        <is>
          <t>CT João Canzi</t>
        </is>
      </c>
      <c r="D2674" t="inlineStr">
        <is>
          <t>Valmir</t>
        </is>
      </c>
      <c r="E2674" t="inlineStr">
        <is>
          <t>Goiânia Drill</t>
        </is>
      </c>
      <c r="F2674" t="inlineStr">
        <is>
          <t>Furo piloto e puxe do PV-10 ao PV-11</t>
        </is>
      </c>
      <c r="G2674" t="inlineStr">
        <is>
          <t>10</t>
        </is>
      </c>
      <c r="H2674" t="inlineStr">
        <is>
          <t>11</t>
        </is>
      </c>
      <c r="I2674" t="inlineStr">
        <is>
          <t>10 ao 11</t>
        </is>
      </c>
      <c r="J2674" t="inlineStr">
        <is>
          <t>HDD</t>
        </is>
      </c>
      <c r="K2674" t="inlineStr">
        <is>
          <t>Planejamento</t>
        </is>
      </c>
      <c r="L2674" t="inlineStr">
        <is>
          <t>PDS_chat_2026-05-30_2026-06-01</t>
        </is>
      </c>
      <c r="M2674">
        <f>IF($A2674="","",TEXT($A2674,"mmmm/yyyy"))</f>
        <v/>
      </c>
      <c r="P2674">
        <f>IFERROR(XLOOKUP($N2674,Base_Enderecos!$A:$A,Base_Enderecos!$B:$B,""),"")</f>
        <v/>
      </c>
      <c r="Q2674">
        <f>IFERROR(XLOOKUP($N2674,Base_Enderecos!$A:$A,Base_Enderecos!$C:$C,""),"")</f>
        <v/>
      </c>
      <c r="R2674">
        <f>IF(OR(ISNUMBER(SEARCH("HDD",$F2674)),ISNUMBER(SEARCH("MND",$F2674)),ISNUMBER(SEARCH("PEAD",$F2674)),ISNUMBER(SEARCH("Puxe",$J2674)),ISNUMBER(SEARCH("Apoio HDD",$F2674))),"MND",IF(OR(ISNUMBER(SEARCH("VCA",$F2674)),ISNUMBER(SEARCH("PVC",$F2674)),ISNUMBER(SEARCH("vca",$J2674)),ISNUMBER(SEARCH("Transformação",$J2674))),"VCA",IF(OR(ISNUMBER(SEARCH("crava",$F2674)),ISNUMBER(SEARCH("tubo cravado",$F2674)),ISNUMBER(SEARCH("shaft",$J2674)),ISNUMBER(SEARCH("concreto",$F2674))),"TUBO CRAVADO","")))</f>
        <v/>
      </c>
      <c r="T2674">
        <f>TEXT($A2674,"yyyy-mm")&amp;"|"&amp;$C2674&amp;"|"&amp;$I2674</f>
        <v/>
      </c>
    </row>
    <row r="2675">
      <c r="A2675" s="36" t="n">
        <v>46172</v>
      </c>
      <c r="B2675" t="inlineStr">
        <is>
          <t>Sábado</t>
        </is>
      </c>
      <c r="C2675" t="inlineStr">
        <is>
          <t>CT João Canzi</t>
        </is>
      </c>
      <c r="D2675" t="inlineStr">
        <is>
          <t>Valmir</t>
        </is>
      </c>
      <c r="E2675" t="inlineStr">
        <is>
          <t>Bruno</t>
        </is>
      </c>
      <c r="F2675" t="inlineStr">
        <is>
          <t>Apoio ao HDD</t>
        </is>
      </c>
      <c r="J2675" t="inlineStr">
        <is>
          <t>HDD</t>
        </is>
      </c>
      <c r="K2675" t="inlineStr">
        <is>
          <t>Planejamento</t>
        </is>
      </c>
      <c r="L2675" t="inlineStr">
        <is>
          <t>PDS_chat_2026-05-30_2026-06-01</t>
        </is>
      </c>
      <c r="M2675">
        <f>IF($A2675="","",TEXT($A2675,"mmmm/yyyy"))</f>
        <v/>
      </c>
      <c r="P2675">
        <f>IFERROR(XLOOKUP($N2675,Base_Enderecos!$A:$A,Base_Enderecos!$B:$B,""),"")</f>
        <v/>
      </c>
      <c r="Q2675">
        <f>IFERROR(XLOOKUP($N2675,Base_Enderecos!$A:$A,Base_Enderecos!$C:$C,""),"")</f>
        <v/>
      </c>
      <c r="R2675">
        <f>IF(OR(ISNUMBER(SEARCH("HDD",$F2675)),ISNUMBER(SEARCH("MND",$F2675)),ISNUMBER(SEARCH("PEAD",$F2675)),ISNUMBER(SEARCH("Puxe",$J2675)),ISNUMBER(SEARCH("Apoio HDD",$F2675))),"MND",IF(OR(ISNUMBER(SEARCH("VCA",$F2675)),ISNUMBER(SEARCH("PVC",$F2675)),ISNUMBER(SEARCH("vca",$J2675)),ISNUMBER(SEARCH("Transformação",$J2675))),"VCA",IF(OR(ISNUMBER(SEARCH("crava",$F2675)),ISNUMBER(SEARCH("tubo cravado",$F2675)),ISNUMBER(SEARCH("shaft",$J2675)),ISNUMBER(SEARCH("concreto",$F2675))),"TUBO CRAVADO","")))</f>
        <v/>
      </c>
      <c r="T2675">
        <f>TEXT($A2675,"yyyy-mm")&amp;"|"&amp;$C2675&amp;"|"&amp;$I2675</f>
        <v/>
      </c>
    </row>
    <row r="2676">
      <c r="A2676" s="36" t="n">
        <v>46172</v>
      </c>
      <c r="B2676" t="inlineStr">
        <is>
          <t>Sábado</t>
        </is>
      </c>
      <c r="C2676" t="inlineStr">
        <is>
          <t>CT João Canzi</t>
        </is>
      </c>
      <c r="D2676" t="inlineStr">
        <is>
          <t>Valmir</t>
        </is>
      </c>
      <c r="E2676" t="inlineStr">
        <is>
          <t>Marcelo</t>
        </is>
      </c>
      <c r="F2676" t="inlineStr">
        <is>
          <t>Transformação PV 09</t>
        </is>
      </c>
      <c r="G2676" t="inlineStr">
        <is>
          <t>09</t>
        </is>
      </c>
      <c r="I2676" t="inlineStr">
        <is>
          <t>09</t>
        </is>
      </c>
      <c r="J2676" t="inlineStr">
        <is>
          <t>Transformação</t>
        </is>
      </c>
      <c r="K2676" t="inlineStr">
        <is>
          <t>Planejamento</t>
        </is>
      </c>
      <c r="L2676" t="inlineStr">
        <is>
          <t>PDS_chat_2026-05-30_2026-06-01</t>
        </is>
      </c>
      <c r="M2676">
        <f>IF($A2676="","",TEXT($A2676,"mmmm/yyyy"))</f>
        <v/>
      </c>
      <c r="P2676">
        <f>IFERROR(XLOOKUP($N2676,Base_Enderecos!$A:$A,Base_Enderecos!$B:$B,""),"")</f>
        <v/>
      </c>
      <c r="Q2676">
        <f>IFERROR(XLOOKUP($N2676,Base_Enderecos!$A:$A,Base_Enderecos!$C:$C,""),"")</f>
        <v/>
      </c>
      <c r="R2676">
        <f>IF(OR(ISNUMBER(SEARCH("HDD",$F2676)),ISNUMBER(SEARCH("MND",$F2676)),ISNUMBER(SEARCH("PEAD",$F2676)),ISNUMBER(SEARCH("Puxe",$J2676)),ISNUMBER(SEARCH("Apoio HDD",$F2676))),"MND",IF(OR(ISNUMBER(SEARCH("VCA",$F2676)),ISNUMBER(SEARCH("PVC",$F2676)),ISNUMBER(SEARCH("vca",$J2676)),ISNUMBER(SEARCH("Transformação",$J2676))),"VCA",IF(OR(ISNUMBER(SEARCH("crava",$F2676)),ISNUMBER(SEARCH("tubo cravado",$F2676)),ISNUMBER(SEARCH("shaft",$J2676)),ISNUMBER(SEARCH("concreto",$F2676))),"TUBO CRAVADO","")))</f>
        <v/>
      </c>
      <c r="T2676">
        <f>TEXT($A2676,"yyyy-mm")&amp;"|"&amp;$C2676&amp;"|"&amp;$I2676</f>
        <v/>
      </c>
    </row>
    <row r="2677">
      <c r="A2677" s="36" t="n">
        <v>46172</v>
      </c>
      <c r="B2677" t="inlineStr">
        <is>
          <t>Sábado</t>
        </is>
      </c>
      <c r="C2677" t="inlineStr">
        <is>
          <t>CT João Canzi</t>
        </is>
      </c>
      <c r="D2677" t="inlineStr">
        <is>
          <t>Valmir</t>
        </is>
      </c>
      <c r="E2677" t="inlineStr">
        <is>
          <t>Valter</t>
        </is>
      </c>
      <c r="F2677" t="inlineStr">
        <is>
          <t>Shaft PV 11</t>
        </is>
      </c>
      <c r="G2677" t="inlineStr">
        <is>
          <t>11</t>
        </is>
      </c>
      <c r="I2677" t="inlineStr">
        <is>
          <t>11</t>
        </is>
      </c>
      <c r="J2677" t="inlineStr">
        <is>
          <t>Shaft</t>
        </is>
      </c>
      <c r="K2677" t="inlineStr">
        <is>
          <t>Planejamento</t>
        </is>
      </c>
      <c r="L2677" t="inlineStr">
        <is>
          <t>PDS_chat_2026-05-30_2026-06-01</t>
        </is>
      </c>
      <c r="M2677">
        <f>IF($A2677="","",TEXT($A2677,"mmmm/yyyy"))</f>
        <v/>
      </c>
      <c r="P2677">
        <f>IFERROR(XLOOKUP($N2677,Base_Enderecos!$A:$A,Base_Enderecos!$B:$B,""),"")</f>
        <v/>
      </c>
      <c r="Q2677">
        <f>IFERROR(XLOOKUP($N2677,Base_Enderecos!$A:$A,Base_Enderecos!$C:$C,""),"")</f>
        <v/>
      </c>
      <c r="R2677">
        <f>IF(OR(ISNUMBER(SEARCH("HDD",$F2677)),ISNUMBER(SEARCH("MND",$F2677)),ISNUMBER(SEARCH("PEAD",$F2677)),ISNUMBER(SEARCH("Puxe",$J2677)),ISNUMBER(SEARCH("Apoio HDD",$F2677))),"MND",IF(OR(ISNUMBER(SEARCH("VCA",$F2677)),ISNUMBER(SEARCH("PVC",$F2677)),ISNUMBER(SEARCH("vca",$J2677)),ISNUMBER(SEARCH("Transformação",$J2677))),"VCA",IF(OR(ISNUMBER(SEARCH("crava",$F2677)),ISNUMBER(SEARCH("tubo cravado",$F2677)),ISNUMBER(SEARCH("shaft",$J2677)),ISNUMBER(SEARCH("concreto",$F2677))),"TUBO CRAVADO","")))</f>
        <v/>
      </c>
      <c r="T2677">
        <f>TEXT($A2677,"yyyy-mm")&amp;"|"&amp;$C2677&amp;"|"&amp;$I2677</f>
        <v/>
      </c>
    </row>
    <row r="2678">
      <c r="A2678" s="36" t="n">
        <v>46172</v>
      </c>
      <c r="B2678" t="inlineStr">
        <is>
          <t>Sábado</t>
        </is>
      </c>
      <c r="C2678" t="inlineStr">
        <is>
          <t>CT João Canzi</t>
        </is>
      </c>
      <c r="D2678" t="inlineStr">
        <is>
          <t>Valmir</t>
        </is>
      </c>
      <c r="E2678" t="inlineStr">
        <is>
          <t>Cidão</t>
        </is>
      </c>
      <c r="F2678" t="inlineStr">
        <is>
          <t>Transformação PV 15</t>
        </is>
      </c>
      <c r="G2678" t="inlineStr">
        <is>
          <t>15</t>
        </is>
      </c>
      <c r="I2678" t="inlineStr">
        <is>
          <t>15</t>
        </is>
      </c>
      <c r="J2678" t="inlineStr">
        <is>
          <t>Transformação</t>
        </is>
      </c>
      <c r="K2678" t="inlineStr">
        <is>
          <t>Planejamento</t>
        </is>
      </c>
      <c r="L2678" t="inlineStr">
        <is>
          <t>PDS_chat_2026-05-30_2026-06-01</t>
        </is>
      </c>
      <c r="M2678">
        <f>IF($A2678="","",TEXT($A2678,"mmmm/yyyy"))</f>
        <v/>
      </c>
      <c r="P2678">
        <f>IFERROR(XLOOKUP($N2678,Base_Enderecos!$A:$A,Base_Enderecos!$B:$B,""),"")</f>
        <v/>
      </c>
      <c r="Q2678">
        <f>IFERROR(XLOOKUP($N2678,Base_Enderecos!$A:$A,Base_Enderecos!$C:$C,""),"")</f>
        <v/>
      </c>
      <c r="R2678">
        <f>IF(OR(ISNUMBER(SEARCH("HDD",$F2678)),ISNUMBER(SEARCH("MND",$F2678)),ISNUMBER(SEARCH("PEAD",$F2678)),ISNUMBER(SEARCH("Puxe",$J2678)),ISNUMBER(SEARCH("Apoio HDD",$F2678))),"MND",IF(OR(ISNUMBER(SEARCH("VCA",$F2678)),ISNUMBER(SEARCH("PVC",$F2678)),ISNUMBER(SEARCH("vca",$J2678)),ISNUMBER(SEARCH("Transformação",$J2678))),"VCA",IF(OR(ISNUMBER(SEARCH("crava",$F2678)),ISNUMBER(SEARCH("tubo cravado",$F2678)),ISNUMBER(SEARCH("shaft",$J2678)),ISNUMBER(SEARCH("concreto",$F2678))),"TUBO CRAVADO","")))</f>
        <v/>
      </c>
      <c r="T2678">
        <f>TEXT($A2678,"yyyy-mm")&amp;"|"&amp;$C2678&amp;"|"&amp;$I2678</f>
        <v/>
      </c>
    </row>
    <row r="2679">
      <c r="A2679" s="36" t="n">
        <v>46172</v>
      </c>
      <c r="B2679" t="inlineStr">
        <is>
          <t>Sábado</t>
        </is>
      </c>
      <c r="C2679" t="inlineStr">
        <is>
          <t>RCE Conj. União</t>
        </is>
      </c>
      <c r="D2679" t="inlineStr">
        <is>
          <t>Caroline e Silvestre</t>
        </is>
      </c>
      <c r="E2679" t="inlineStr">
        <is>
          <t>Jonathan</t>
        </is>
      </c>
      <c r="F2679" t="inlineStr">
        <is>
          <t>Shaft PV 40.1</t>
        </is>
      </c>
      <c r="G2679" t="inlineStr">
        <is>
          <t>40.1</t>
        </is>
      </c>
      <c r="I2679" t="inlineStr">
        <is>
          <t>40.1</t>
        </is>
      </c>
      <c r="J2679" t="inlineStr">
        <is>
          <t>Shaft</t>
        </is>
      </c>
      <c r="K2679" t="inlineStr">
        <is>
          <t>Planejamento</t>
        </is>
      </c>
      <c r="L2679" t="inlineStr">
        <is>
          <t>PDS_chat_2026-05-30_2026-06-01</t>
        </is>
      </c>
      <c r="M2679">
        <f>IF($A2679="","",TEXT($A2679,"mmmm/yyyy"))</f>
        <v/>
      </c>
      <c r="P2679">
        <f>IFERROR(XLOOKUP($N2679,Base_Enderecos!$A:$A,Base_Enderecos!$B:$B,""),"")</f>
        <v/>
      </c>
      <c r="Q2679">
        <f>IFERROR(XLOOKUP($N2679,Base_Enderecos!$A:$A,Base_Enderecos!$C:$C,""),"")</f>
        <v/>
      </c>
      <c r="R2679">
        <f>IF(OR(ISNUMBER(SEARCH("HDD",$F2679)),ISNUMBER(SEARCH("MND",$F2679)),ISNUMBER(SEARCH("PEAD",$F2679)),ISNUMBER(SEARCH("Puxe",$J2679)),ISNUMBER(SEARCH("Apoio HDD",$F2679))),"MND",IF(OR(ISNUMBER(SEARCH("VCA",$F2679)),ISNUMBER(SEARCH("PVC",$F2679)),ISNUMBER(SEARCH("vca",$J2679)),ISNUMBER(SEARCH("Transformação",$J2679))),"VCA",IF(OR(ISNUMBER(SEARCH("crava",$F2679)),ISNUMBER(SEARCH("tubo cravado",$F2679)),ISNUMBER(SEARCH("shaft",$J2679)),ISNUMBER(SEARCH("concreto",$F2679))),"TUBO CRAVADO","")))</f>
        <v/>
      </c>
      <c r="T2679">
        <f>TEXT($A2679,"yyyy-mm")&amp;"|"&amp;$C2679&amp;"|"&amp;$I2679</f>
        <v/>
      </c>
    </row>
    <row r="2680">
      <c r="A2680" s="36" t="n">
        <v>46172</v>
      </c>
      <c r="B2680" t="inlineStr">
        <is>
          <t>Sábado</t>
        </is>
      </c>
      <c r="C2680" t="inlineStr">
        <is>
          <t>RCE São Lucas</t>
        </is>
      </c>
      <c r="D2680" t="inlineStr">
        <is>
          <t>Fábio</t>
        </is>
      </c>
      <c r="E2680" t="inlineStr">
        <is>
          <t>Ricardo</t>
        </is>
      </c>
      <c r="F2680" t="inlineStr">
        <is>
          <t>VCA, PVs e Ligações (PI 05 ao PI 06)</t>
        </is>
      </c>
      <c r="G2680" t="inlineStr">
        <is>
          <t>05</t>
        </is>
      </c>
      <c r="H2680" t="inlineStr">
        <is>
          <t>06</t>
        </is>
      </c>
      <c r="I2680" t="inlineStr">
        <is>
          <t>05 ao 06</t>
        </is>
      </c>
      <c r="J2680" t="inlineStr">
        <is>
          <t>VCA</t>
        </is>
      </c>
      <c r="K2680" t="inlineStr">
        <is>
          <t>Planejamento</t>
        </is>
      </c>
      <c r="L2680" t="inlineStr">
        <is>
          <t>PDS_chat_2026-05-30_2026-06-01</t>
        </is>
      </c>
      <c r="M2680">
        <f>IF($A2680="","",TEXT($A2680,"mmmm/yyyy"))</f>
        <v/>
      </c>
      <c r="P2680">
        <f>IFERROR(XLOOKUP($N2680,Base_Enderecos!$A:$A,Base_Enderecos!$B:$B,""),"")</f>
        <v/>
      </c>
      <c r="Q2680">
        <f>IFERROR(XLOOKUP($N2680,Base_Enderecos!$A:$A,Base_Enderecos!$C:$C,""),"")</f>
        <v/>
      </c>
      <c r="R2680">
        <f>IF(OR(ISNUMBER(SEARCH("HDD",$F2680)),ISNUMBER(SEARCH("MND",$F2680)),ISNUMBER(SEARCH("PEAD",$F2680)),ISNUMBER(SEARCH("Puxe",$J2680)),ISNUMBER(SEARCH("Apoio HDD",$F2680))),"MND",IF(OR(ISNUMBER(SEARCH("VCA",$F2680)),ISNUMBER(SEARCH("PVC",$F2680)),ISNUMBER(SEARCH("vca",$J2680)),ISNUMBER(SEARCH("Transformação",$J2680))),"VCA",IF(OR(ISNUMBER(SEARCH("crava",$F2680)),ISNUMBER(SEARCH("tubo cravado",$F2680)),ISNUMBER(SEARCH("shaft",$J2680)),ISNUMBER(SEARCH("concreto",$F2680))),"TUBO CRAVADO","")))</f>
        <v/>
      </c>
      <c r="T2680">
        <f>TEXT($A2680,"yyyy-mm")&amp;"|"&amp;$C2680&amp;"|"&amp;$I2680</f>
        <v/>
      </c>
    </row>
    <row r="2681">
      <c r="A2681" s="36" t="n">
        <v>46172</v>
      </c>
      <c r="B2681" t="inlineStr">
        <is>
          <t>Sábado</t>
        </is>
      </c>
      <c r="C2681" t="inlineStr">
        <is>
          <t>RCE São Lucas</t>
        </is>
      </c>
      <c r="D2681" t="inlineStr">
        <is>
          <t>Fábio</t>
        </is>
      </c>
      <c r="E2681" t="inlineStr">
        <is>
          <t>Claudinei</t>
        </is>
      </c>
      <c r="F2681" t="inlineStr">
        <is>
          <t>VCA, PVs e Ligações (PV 65)</t>
        </is>
      </c>
      <c r="G2681" t="inlineStr">
        <is>
          <t>65</t>
        </is>
      </c>
      <c r="I2681" t="inlineStr">
        <is>
          <t>65</t>
        </is>
      </c>
      <c r="J2681" t="inlineStr">
        <is>
          <t>VCA</t>
        </is>
      </c>
      <c r="K2681" t="inlineStr">
        <is>
          <t>Planejamento</t>
        </is>
      </c>
      <c r="L2681" t="inlineStr">
        <is>
          <t>PDS_chat_2026-05-30_2026-06-01</t>
        </is>
      </c>
      <c r="M2681">
        <f>IF($A2681="","",TEXT($A2681,"mmmm/yyyy"))</f>
        <v/>
      </c>
      <c r="P2681">
        <f>IFERROR(XLOOKUP($N2681,Base_Enderecos!$A:$A,Base_Enderecos!$B:$B,""),"")</f>
        <v/>
      </c>
      <c r="Q2681">
        <f>IFERROR(XLOOKUP($N2681,Base_Enderecos!$A:$A,Base_Enderecos!$C:$C,""),"")</f>
        <v/>
      </c>
      <c r="R2681">
        <f>IF(OR(ISNUMBER(SEARCH("HDD",$F2681)),ISNUMBER(SEARCH("MND",$F2681)),ISNUMBER(SEARCH("PEAD",$F2681)),ISNUMBER(SEARCH("Puxe",$J2681)),ISNUMBER(SEARCH("Apoio HDD",$F2681))),"MND",IF(OR(ISNUMBER(SEARCH("VCA",$F2681)),ISNUMBER(SEARCH("PVC",$F2681)),ISNUMBER(SEARCH("vca",$J2681)),ISNUMBER(SEARCH("Transformação",$J2681))),"VCA",IF(OR(ISNUMBER(SEARCH("crava",$F2681)),ISNUMBER(SEARCH("tubo cravado",$F2681)),ISNUMBER(SEARCH("shaft",$J2681)),ISNUMBER(SEARCH("concreto",$F2681))),"TUBO CRAVADO","")))</f>
        <v/>
      </c>
      <c r="T2681">
        <f>TEXT($A2681,"yyyy-mm")&amp;"|"&amp;$C2681&amp;"|"&amp;$I2681</f>
        <v/>
      </c>
    </row>
    <row r="2682">
      <c r="A2682" s="36" t="n">
        <v>46172</v>
      </c>
      <c r="B2682" t="inlineStr">
        <is>
          <t>Sábado</t>
        </is>
      </c>
      <c r="C2682" t="inlineStr">
        <is>
          <t>RCE Rua São João</t>
        </is>
      </c>
      <c r="D2682" t="inlineStr">
        <is>
          <t>Fábio</t>
        </is>
      </c>
      <c r="E2682" t="inlineStr">
        <is>
          <t>Antonio</t>
        </is>
      </c>
      <c r="F2682" t="inlineStr">
        <is>
          <t>VCA, PVs e Ligações (PV 02 ao PI 04)</t>
        </is>
      </c>
      <c r="G2682" t="inlineStr">
        <is>
          <t>02</t>
        </is>
      </c>
      <c r="H2682" t="inlineStr">
        <is>
          <t>04</t>
        </is>
      </c>
      <c r="I2682" t="inlineStr">
        <is>
          <t>02 ao 04</t>
        </is>
      </c>
      <c r="J2682" t="inlineStr">
        <is>
          <t>VCA</t>
        </is>
      </c>
      <c r="K2682" t="inlineStr">
        <is>
          <t>Planejamento</t>
        </is>
      </c>
      <c r="L2682" t="inlineStr">
        <is>
          <t>PDS_chat_2026-05-30_2026-06-01</t>
        </is>
      </c>
      <c r="M2682">
        <f>IF($A2682="","",TEXT($A2682,"mmmm/yyyy"))</f>
        <v/>
      </c>
      <c r="P2682">
        <f>IFERROR(XLOOKUP($N2682,Base_Enderecos!$A:$A,Base_Enderecos!$B:$B,""),"")</f>
        <v/>
      </c>
      <c r="Q2682">
        <f>IFERROR(XLOOKUP($N2682,Base_Enderecos!$A:$A,Base_Enderecos!$C:$C,""),"")</f>
        <v/>
      </c>
      <c r="R2682">
        <f>IF(OR(ISNUMBER(SEARCH("HDD",$F2682)),ISNUMBER(SEARCH("MND",$F2682)),ISNUMBER(SEARCH("PEAD",$F2682)),ISNUMBER(SEARCH("Puxe",$J2682)),ISNUMBER(SEARCH("Apoio HDD",$F2682))),"MND",IF(OR(ISNUMBER(SEARCH("VCA",$F2682)),ISNUMBER(SEARCH("PVC",$F2682)),ISNUMBER(SEARCH("vca",$J2682)),ISNUMBER(SEARCH("Transformação",$J2682))),"VCA",IF(OR(ISNUMBER(SEARCH("crava",$F2682)),ISNUMBER(SEARCH("tubo cravado",$F2682)),ISNUMBER(SEARCH("shaft",$J2682)),ISNUMBER(SEARCH("concreto",$F2682))),"TUBO CRAVADO","")))</f>
        <v/>
      </c>
      <c r="T2682">
        <f>TEXT($A2682,"yyyy-mm")&amp;"|"&amp;$C2682&amp;"|"&amp;$I2682</f>
        <v/>
      </c>
    </row>
    <row r="2683">
      <c r="A2683" s="36" t="n">
        <v>46172</v>
      </c>
      <c r="B2683" t="inlineStr">
        <is>
          <t>Sábado</t>
        </is>
      </c>
      <c r="C2683" t="inlineStr">
        <is>
          <t>CTS Lourdes Complementar</t>
        </is>
      </c>
      <c r="D2683" t="inlineStr">
        <is>
          <t>Caroline e Silvestre</t>
        </is>
      </c>
      <c r="E2683" t="inlineStr">
        <is>
          <t>Cesar</t>
        </is>
      </c>
      <c r="F2683" t="inlineStr">
        <is>
          <t>Corte cabeça puxe PV 03</t>
        </is>
      </c>
      <c r="G2683" t="inlineStr">
        <is>
          <t>03</t>
        </is>
      </c>
      <c r="I2683" t="inlineStr">
        <is>
          <t>03</t>
        </is>
      </c>
      <c r="J2683" t="inlineStr">
        <is>
          <t>HDD</t>
        </is>
      </c>
      <c r="K2683" t="inlineStr">
        <is>
          <t>Planejamento</t>
        </is>
      </c>
      <c r="L2683" t="inlineStr">
        <is>
          <t>PDS_chat_2026-05-30_2026-06-01</t>
        </is>
      </c>
      <c r="M2683">
        <f>IF($A2683="","",TEXT($A2683,"mmmm/yyyy"))</f>
        <v/>
      </c>
      <c r="P2683">
        <f>IFERROR(XLOOKUP($N2683,Base_Enderecos!$A:$A,Base_Enderecos!$B:$B,""),"")</f>
        <v/>
      </c>
      <c r="Q2683">
        <f>IFERROR(XLOOKUP($N2683,Base_Enderecos!$A:$A,Base_Enderecos!$C:$C,""),"")</f>
        <v/>
      </c>
      <c r="R2683">
        <f>IF(OR(ISNUMBER(SEARCH("HDD",$F2683)),ISNUMBER(SEARCH("MND",$F2683)),ISNUMBER(SEARCH("PEAD",$F2683)),ISNUMBER(SEARCH("Puxe",$J2683)),ISNUMBER(SEARCH("Apoio HDD",$F2683))),"MND",IF(OR(ISNUMBER(SEARCH("VCA",$F2683)),ISNUMBER(SEARCH("PVC",$F2683)),ISNUMBER(SEARCH("vca",$J2683)),ISNUMBER(SEARCH("Transformação",$J2683))),"VCA",IF(OR(ISNUMBER(SEARCH("crava",$F2683)),ISNUMBER(SEARCH("tubo cravado",$F2683)),ISNUMBER(SEARCH("shaft",$J2683)),ISNUMBER(SEARCH("concreto",$F2683))),"TUBO CRAVADO","")))</f>
        <v/>
      </c>
      <c r="T2683">
        <f>TEXT($A2683,"yyyy-mm")&amp;"|"&amp;$C2683&amp;"|"&amp;$I2683</f>
        <v/>
      </c>
    </row>
    <row r="2684">
      <c r="A2684" s="36" t="n">
        <v>46172</v>
      </c>
      <c r="B2684" t="inlineStr">
        <is>
          <t>Sábado</t>
        </is>
      </c>
      <c r="C2684" t="inlineStr">
        <is>
          <t>CTS Lourdes Complementar</t>
        </is>
      </c>
      <c r="D2684" t="inlineStr">
        <is>
          <t>Caroline e Silvestre</t>
        </is>
      </c>
      <c r="E2684" t="inlineStr">
        <is>
          <t>Edvando</t>
        </is>
      </c>
      <c r="F2684" t="inlineStr">
        <is>
          <t>Transformação PV 02</t>
        </is>
      </c>
      <c r="G2684" t="inlineStr">
        <is>
          <t>02</t>
        </is>
      </c>
      <c r="I2684" t="inlineStr">
        <is>
          <t>02</t>
        </is>
      </c>
      <c r="J2684" t="inlineStr">
        <is>
          <t>Transformação</t>
        </is>
      </c>
      <c r="K2684" t="inlineStr">
        <is>
          <t>Planejamento</t>
        </is>
      </c>
      <c r="L2684" t="inlineStr">
        <is>
          <t>PDS_chat_2026-05-30_2026-06-01</t>
        </is>
      </c>
      <c r="M2684">
        <f>IF($A2684="","",TEXT($A2684,"mmmm/yyyy"))</f>
        <v/>
      </c>
      <c r="P2684">
        <f>IFERROR(XLOOKUP($N2684,Base_Enderecos!$A:$A,Base_Enderecos!$B:$B,""),"")</f>
        <v/>
      </c>
      <c r="Q2684">
        <f>IFERROR(XLOOKUP($N2684,Base_Enderecos!$A:$A,Base_Enderecos!$C:$C,""),"")</f>
        <v/>
      </c>
      <c r="R2684">
        <f>IF(OR(ISNUMBER(SEARCH("HDD",$F2684)),ISNUMBER(SEARCH("MND",$F2684)),ISNUMBER(SEARCH("PEAD",$F2684)),ISNUMBER(SEARCH("Puxe",$J2684)),ISNUMBER(SEARCH("Apoio HDD",$F2684))),"MND",IF(OR(ISNUMBER(SEARCH("VCA",$F2684)),ISNUMBER(SEARCH("PVC",$F2684)),ISNUMBER(SEARCH("vca",$J2684)),ISNUMBER(SEARCH("Transformação",$J2684))),"VCA",IF(OR(ISNUMBER(SEARCH("crava",$F2684)),ISNUMBER(SEARCH("tubo cravado",$F2684)),ISNUMBER(SEARCH("shaft",$J2684)),ISNUMBER(SEARCH("concreto",$F2684))),"TUBO CRAVADO","")))</f>
        <v/>
      </c>
      <c r="T2684">
        <f>TEXT($A2684,"yyyy-mm")&amp;"|"&amp;$C2684&amp;"|"&amp;$I2684</f>
        <v/>
      </c>
    </row>
    <row r="2685">
      <c r="A2685" s="36" t="n">
        <v>46172</v>
      </c>
      <c r="B2685" t="inlineStr">
        <is>
          <t>Sábado</t>
        </is>
      </c>
      <c r="C2685" t="inlineStr">
        <is>
          <t>Vacal</t>
        </is>
      </c>
      <c r="E2685" t="inlineStr">
        <is>
          <t>João Canzi - Henko</t>
        </is>
      </c>
      <c r="F2685" t="inlineStr">
        <is>
          <t>Apoio Vacal</t>
        </is>
      </c>
      <c r="J2685" t="inlineStr">
        <is>
          <t>Vacal</t>
        </is>
      </c>
      <c r="K2685" t="inlineStr">
        <is>
          <t>Apoio</t>
        </is>
      </c>
      <c r="L2685" t="inlineStr">
        <is>
          <t>PDS_chat_2026-05-30_2026-06-01</t>
        </is>
      </c>
      <c r="M2685">
        <f>IF($A2685="","",TEXT($A2685,"mmmm/yyyy"))</f>
        <v/>
      </c>
      <c r="P2685">
        <f>IFERROR(XLOOKUP($N2685,Base_Enderecos!$A:$A,Base_Enderecos!$B:$B,""),"")</f>
        <v/>
      </c>
      <c r="Q2685">
        <f>IFERROR(XLOOKUP($N2685,Base_Enderecos!$A:$A,Base_Enderecos!$C:$C,""),"")</f>
        <v/>
      </c>
      <c r="R2685">
        <f>IF(OR(ISNUMBER(SEARCH("HDD",$F2685)),ISNUMBER(SEARCH("MND",$F2685)),ISNUMBER(SEARCH("PEAD",$F2685)),ISNUMBER(SEARCH("Puxe",$J2685)),ISNUMBER(SEARCH("Apoio HDD",$F2685))),"MND",IF(OR(ISNUMBER(SEARCH("VCA",$F2685)),ISNUMBER(SEARCH("PVC",$F2685)),ISNUMBER(SEARCH("vca",$J2685)),ISNUMBER(SEARCH("Transformação",$J2685))),"VCA",IF(OR(ISNUMBER(SEARCH("crava",$F2685)),ISNUMBER(SEARCH("tubo cravado",$F2685)),ISNUMBER(SEARCH("shaft",$J2685)),ISNUMBER(SEARCH("concreto",$F2685))),"TUBO CRAVADO","")))</f>
        <v/>
      </c>
      <c r="T2685">
        <f>TEXT($A2685,"yyyy-mm")&amp;"|"&amp;$C2685&amp;"|"&amp;$I2685</f>
        <v/>
      </c>
    </row>
    <row r="2686">
      <c r="A2686" s="36" t="n">
        <v>46172</v>
      </c>
      <c r="B2686" t="inlineStr">
        <is>
          <t>Sábado</t>
        </is>
      </c>
      <c r="C2686" t="inlineStr">
        <is>
          <t>Vacal</t>
        </is>
      </c>
      <c r="E2686" t="inlineStr">
        <is>
          <t>João Canzi - Henko</t>
        </is>
      </c>
      <c r="F2686" t="inlineStr">
        <is>
          <t>Apoio Vacal</t>
        </is>
      </c>
      <c r="J2686" t="inlineStr">
        <is>
          <t>Vacal</t>
        </is>
      </c>
      <c r="K2686" t="inlineStr">
        <is>
          <t>Apoio</t>
        </is>
      </c>
      <c r="L2686" t="inlineStr">
        <is>
          <t>PDS_chat_2026-05-30_2026-06-01</t>
        </is>
      </c>
      <c r="M2686">
        <f>IF($A2686="","",TEXT($A2686,"mmmm/yyyy"))</f>
        <v/>
      </c>
      <c r="P2686">
        <f>IFERROR(XLOOKUP($N2686,Base_Enderecos!$A:$A,Base_Enderecos!$B:$B,""),"")</f>
        <v/>
      </c>
      <c r="Q2686">
        <f>IFERROR(XLOOKUP($N2686,Base_Enderecos!$A:$A,Base_Enderecos!$C:$C,""),"")</f>
        <v/>
      </c>
      <c r="R2686">
        <f>IF(OR(ISNUMBER(SEARCH("HDD",$F2686)),ISNUMBER(SEARCH("MND",$F2686)),ISNUMBER(SEARCH("PEAD",$F2686)),ISNUMBER(SEARCH("Puxe",$J2686)),ISNUMBER(SEARCH("Apoio HDD",$F2686))),"MND",IF(OR(ISNUMBER(SEARCH("VCA",$F2686)),ISNUMBER(SEARCH("PVC",$F2686)),ISNUMBER(SEARCH("vca",$J2686)),ISNUMBER(SEARCH("Transformação",$J2686))),"VCA",IF(OR(ISNUMBER(SEARCH("crava",$F2686)),ISNUMBER(SEARCH("tubo cravado",$F2686)),ISNUMBER(SEARCH("shaft",$J2686)),ISNUMBER(SEARCH("concreto",$F2686))),"TUBO CRAVADO","")))</f>
        <v/>
      </c>
      <c r="T2686">
        <f>TEXT($A2686,"yyyy-mm")&amp;"|"&amp;$C2686&amp;"|"&amp;$I2686</f>
        <v/>
      </c>
    </row>
    <row r="2687">
      <c r="A2687" s="36" t="n">
        <v>46172</v>
      </c>
      <c r="B2687" t="inlineStr">
        <is>
          <t>Sábado</t>
        </is>
      </c>
      <c r="C2687" t="inlineStr">
        <is>
          <t>Vacal</t>
        </is>
      </c>
      <c r="E2687" t="inlineStr">
        <is>
          <t>João Canzi - Renasce</t>
        </is>
      </c>
      <c r="F2687" t="inlineStr">
        <is>
          <t>Apoio Vacal</t>
        </is>
      </c>
      <c r="J2687" t="inlineStr">
        <is>
          <t>Vacal</t>
        </is>
      </c>
      <c r="K2687" t="inlineStr">
        <is>
          <t>Apoio</t>
        </is>
      </c>
      <c r="L2687" t="inlineStr">
        <is>
          <t>PDS_chat_2026-05-30_2026-06-01</t>
        </is>
      </c>
      <c r="M2687">
        <f>IF($A2687="","",TEXT($A2687,"mmmm/yyyy"))</f>
        <v/>
      </c>
      <c r="P2687">
        <f>IFERROR(XLOOKUP($N2687,Base_Enderecos!$A:$A,Base_Enderecos!$B:$B,""),"")</f>
        <v/>
      </c>
      <c r="Q2687">
        <f>IFERROR(XLOOKUP($N2687,Base_Enderecos!$A:$A,Base_Enderecos!$C:$C,""),"")</f>
        <v/>
      </c>
      <c r="R2687">
        <f>IF(OR(ISNUMBER(SEARCH("HDD",$F2687)),ISNUMBER(SEARCH("MND",$F2687)),ISNUMBER(SEARCH("PEAD",$F2687)),ISNUMBER(SEARCH("Puxe",$J2687)),ISNUMBER(SEARCH("Apoio HDD",$F2687))),"MND",IF(OR(ISNUMBER(SEARCH("VCA",$F2687)),ISNUMBER(SEARCH("PVC",$F2687)),ISNUMBER(SEARCH("vca",$J2687)),ISNUMBER(SEARCH("Transformação",$J2687))),"VCA",IF(OR(ISNUMBER(SEARCH("crava",$F2687)),ISNUMBER(SEARCH("tubo cravado",$F2687)),ISNUMBER(SEARCH("shaft",$J2687)),ISNUMBER(SEARCH("concreto",$F2687))),"TUBO CRAVADO","")))</f>
        <v/>
      </c>
      <c r="T2687">
        <f>TEXT($A2687,"yyyy-mm")&amp;"|"&amp;$C2687&amp;"|"&amp;$I2687</f>
        <v/>
      </c>
    </row>
    <row r="2688">
      <c r="A2688" s="36" t="n">
        <v>46172</v>
      </c>
      <c r="B2688" t="inlineStr">
        <is>
          <t>Sábado</t>
        </is>
      </c>
      <c r="C2688" t="inlineStr">
        <is>
          <t>Vacal</t>
        </is>
      </c>
      <c r="E2688" t="inlineStr">
        <is>
          <t>João Canzi - Hidrosol</t>
        </is>
      </c>
      <c r="F2688" t="inlineStr">
        <is>
          <t>Apoio Vacal</t>
        </is>
      </c>
      <c r="J2688" t="inlineStr">
        <is>
          <t>Vacal</t>
        </is>
      </c>
      <c r="K2688" t="inlineStr">
        <is>
          <t>Apoio</t>
        </is>
      </c>
      <c r="L2688" t="inlineStr">
        <is>
          <t>PDS_chat_2026-05-30_2026-06-01</t>
        </is>
      </c>
      <c r="M2688">
        <f>IF($A2688="","",TEXT($A2688,"mmmm/yyyy"))</f>
        <v/>
      </c>
      <c r="P2688">
        <f>IFERROR(XLOOKUP($N2688,Base_Enderecos!$A:$A,Base_Enderecos!$B:$B,""),"")</f>
        <v/>
      </c>
      <c r="Q2688">
        <f>IFERROR(XLOOKUP($N2688,Base_Enderecos!$A:$A,Base_Enderecos!$C:$C,""),"")</f>
        <v/>
      </c>
      <c r="R2688">
        <f>IF(OR(ISNUMBER(SEARCH("HDD",$F2688)),ISNUMBER(SEARCH("MND",$F2688)),ISNUMBER(SEARCH("PEAD",$F2688)),ISNUMBER(SEARCH("Puxe",$J2688)),ISNUMBER(SEARCH("Apoio HDD",$F2688))),"MND",IF(OR(ISNUMBER(SEARCH("VCA",$F2688)),ISNUMBER(SEARCH("PVC",$F2688)),ISNUMBER(SEARCH("vca",$J2688)),ISNUMBER(SEARCH("Transformação",$J2688))),"VCA",IF(OR(ISNUMBER(SEARCH("crava",$F2688)),ISNUMBER(SEARCH("tubo cravado",$F2688)),ISNUMBER(SEARCH("shaft",$J2688)),ISNUMBER(SEARCH("concreto",$F2688))),"TUBO CRAVADO","")))</f>
        <v/>
      </c>
      <c r="T2688">
        <f>TEXT($A2688,"yyyy-mm")&amp;"|"&amp;$C2688&amp;"|"&amp;$I2688</f>
        <v/>
      </c>
    </row>
    <row r="2689">
      <c r="A2689" s="36" t="n">
        <v>46172</v>
      </c>
      <c r="B2689" t="inlineStr">
        <is>
          <t>Sábado</t>
        </is>
      </c>
      <c r="C2689" t="inlineStr">
        <is>
          <t>Vacal</t>
        </is>
      </c>
      <c r="E2689" t="inlineStr">
        <is>
          <t>Lourdes - Henko</t>
        </is>
      </c>
      <c r="F2689" t="inlineStr">
        <is>
          <t>Apoio Vacal</t>
        </is>
      </c>
      <c r="J2689" t="inlineStr">
        <is>
          <t>Vacal</t>
        </is>
      </c>
      <c r="K2689" t="inlineStr">
        <is>
          <t>Apoio</t>
        </is>
      </c>
      <c r="L2689" t="inlineStr">
        <is>
          <t>PDS_chat_2026-05-30_2026-06-01</t>
        </is>
      </c>
      <c r="M2689">
        <f>IF($A2689="","",TEXT($A2689,"mmmm/yyyy"))</f>
        <v/>
      </c>
      <c r="P2689">
        <f>IFERROR(XLOOKUP($N2689,Base_Enderecos!$A:$A,Base_Enderecos!$B:$B,""),"")</f>
        <v/>
      </c>
      <c r="Q2689">
        <f>IFERROR(XLOOKUP($N2689,Base_Enderecos!$A:$A,Base_Enderecos!$C:$C,""),"")</f>
        <v/>
      </c>
      <c r="R2689">
        <f>IF(OR(ISNUMBER(SEARCH("HDD",$F2689)),ISNUMBER(SEARCH("MND",$F2689)),ISNUMBER(SEARCH("PEAD",$F2689)),ISNUMBER(SEARCH("Puxe",$J2689)),ISNUMBER(SEARCH("Apoio HDD",$F2689))),"MND",IF(OR(ISNUMBER(SEARCH("VCA",$F2689)),ISNUMBER(SEARCH("PVC",$F2689)),ISNUMBER(SEARCH("vca",$J2689)),ISNUMBER(SEARCH("Transformação",$J2689))),"VCA",IF(OR(ISNUMBER(SEARCH("crava",$F2689)),ISNUMBER(SEARCH("tubo cravado",$F2689)),ISNUMBER(SEARCH("shaft",$J2689)),ISNUMBER(SEARCH("concreto",$F2689))),"TUBO CRAVADO","")))</f>
        <v/>
      </c>
      <c r="T2689">
        <f>TEXT($A2689,"yyyy-mm")&amp;"|"&amp;$C2689&amp;"|"&amp;$I2689</f>
        <v/>
      </c>
    </row>
    <row r="2690">
      <c r="A2690" s="36" t="n">
        <v>46172</v>
      </c>
      <c r="B2690" t="inlineStr">
        <is>
          <t>Sábado</t>
        </is>
      </c>
      <c r="C2690" t="inlineStr">
        <is>
          <t>Vacal</t>
        </is>
      </c>
      <c r="E2690" t="inlineStr">
        <is>
          <t>ITI 15 - Renasce</t>
        </is>
      </c>
      <c r="F2690" t="inlineStr">
        <is>
          <t>Apoio Vacal</t>
        </is>
      </c>
      <c r="J2690" t="inlineStr">
        <is>
          <t>Vacal</t>
        </is>
      </c>
      <c r="K2690" t="inlineStr">
        <is>
          <t>Apoio</t>
        </is>
      </c>
      <c r="L2690" t="inlineStr">
        <is>
          <t>PDS_chat_2026-05-30_2026-06-01</t>
        </is>
      </c>
      <c r="M2690">
        <f>IF($A2690="","",TEXT($A2690,"mmmm/yyyy"))</f>
        <v/>
      </c>
      <c r="P2690">
        <f>IFERROR(XLOOKUP($N2690,Base_Enderecos!$A:$A,Base_Enderecos!$B:$B,""),"")</f>
        <v/>
      </c>
      <c r="Q2690">
        <f>IFERROR(XLOOKUP($N2690,Base_Enderecos!$A:$A,Base_Enderecos!$C:$C,""),"")</f>
        <v/>
      </c>
      <c r="R2690">
        <f>IF(OR(ISNUMBER(SEARCH("HDD",$F2690)),ISNUMBER(SEARCH("MND",$F2690)),ISNUMBER(SEARCH("PEAD",$F2690)),ISNUMBER(SEARCH("Puxe",$J2690)),ISNUMBER(SEARCH("Apoio HDD",$F2690))),"MND",IF(OR(ISNUMBER(SEARCH("VCA",$F2690)),ISNUMBER(SEARCH("PVC",$F2690)),ISNUMBER(SEARCH("vca",$J2690)),ISNUMBER(SEARCH("Transformação",$J2690))),"VCA",IF(OR(ISNUMBER(SEARCH("crava",$F2690)),ISNUMBER(SEARCH("tubo cravado",$F2690)),ISNUMBER(SEARCH("shaft",$J2690)),ISNUMBER(SEARCH("concreto",$F2690))),"TUBO CRAVADO","")))</f>
        <v/>
      </c>
      <c r="T2690">
        <f>TEXT($A2690,"yyyy-mm")&amp;"|"&amp;$C2690&amp;"|"&amp;$I2690</f>
        <v/>
      </c>
    </row>
    <row r="2691">
      <c r="A2691" s="36" t="n">
        <v>46172</v>
      </c>
      <c r="B2691" t="inlineStr">
        <is>
          <t>Sábado</t>
        </is>
      </c>
      <c r="C2691" t="inlineStr">
        <is>
          <t>Guindauto</t>
        </is>
      </c>
      <c r="E2691" t="inlineStr">
        <is>
          <t>Marcio</t>
        </is>
      </c>
      <c r="F2691" t="inlineStr">
        <is>
          <t>Apoio as equipes</t>
        </is>
      </c>
      <c r="J2691" t="inlineStr">
        <is>
          <t>Guindauto</t>
        </is>
      </c>
      <c r="K2691" t="inlineStr">
        <is>
          <t>Apoio</t>
        </is>
      </c>
      <c r="L2691" t="inlineStr">
        <is>
          <t>PDS_chat_2026-05-30_2026-06-01</t>
        </is>
      </c>
      <c r="M2691">
        <f>IF($A2691="","",TEXT($A2691,"mmmm/yyyy"))</f>
        <v/>
      </c>
      <c r="P2691">
        <f>IFERROR(XLOOKUP($N2691,Base_Enderecos!$A:$A,Base_Enderecos!$B:$B,""),"")</f>
        <v/>
      </c>
      <c r="Q2691">
        <f>IFERROR(XLOOKUP($N2691,Base_Enderecos!$A:$A,Base_Enderecos!$C:$C,""),"")</f>
        <v/>
      </c>
      <c r="R2691">
        <f>IF(OR(ISNUMBER(SEARCH("HDD",$F2691)),ISNUMBER(SEARCH("MND",$F2691)),ISNUMBER(SEARCH("PEAD",$F2691)),ISNUMBER(SEARCH("Puxe",$J2691)),ISNUMBER(SEARCH("Apoio HDD",$F2691))),"MND",IF(OR(ISNUMBER(SEARCH("VCA",$F2691)),ISNUMBER(SEARCH("PVC",$F2691)),ISNUMBER(SEARCH("vca",$J2691)),ISNUMBER(SEARCH("Transformação",$J2691))),"VCA",IF(OR(ISNUMBER(SEARCH("crava",$F2691)),ISNUMBER(SEARCH("tubo cravado",$F2691)),ISNUMBER(SEARCH("shaft",$J2691)),ISNUMBER(SEARCH("concreto",$F2691))),"TUBO CRAVADO","")))</f>
        <v/>
      </c>
      <c r="T2691">
        <f>TEXT($A2691,"yyyy-mm")&amp;"|"&amp;$C2691&amp;"|"&amp;$I2691</f>
        <v/>
      </c>
    </row>
    <row r="2692">
      <c r="A2692" s="36" t="n">
        <v>46174</v>
      </c>
      <c r="B2692" t="inlineStr">
        <is>
          <t>Segunda</t>
        </is>
      </c>
      <c r="C2692" t="inlineStr">
        <is>
          <t>CT João Canzi</t>
        </is>
      </c>
      <c r="D2692" t="inlineStr">
        <is>
          <t>Valmir</t>
        </is>
      </c>
      <c r="E2692" t="inlineStr">
        <is>
          <t>Goiânia Drill</t>
        </is>
      </c>
      <c r="F2692" t="inlineStr">
        <is>
          <t>Puxe do PV-10 ao PV-11</t>
        </is>
      </c>
      <c r="G2692" t="inlineStr">
        <is>
          <t>10</t>
        </is>
      </c>
      <c r="H2692" t="inlineStr">
        <is>
          <t>11</t>
        </is>
      </c>
      <c r="I2692" t="inlineStr">
        <is>
          <t>10 ao 11</t>
        </is>
      </c>
      <c r="J2692" t="inlineStr">
        <is>
          <t>HDD</t>
        </is>
      </c>
      <c r="K2692" t="inlineStr">
        <is>
          <t>Planejamento</t>
        </is>
      </c>
      <c r="L2692" t="inlineStr">
        <is>
          <t>PDS-Junho.docx</t>
        </is>
      </c>
      <c r="M2692">
        <f>IF($A2692="","",TEXT($A2692,"mmmm/yyyy"))</f>
        <v/>
      </c>
      <c r="P2692">
        <f>IFERROR(XLOOKUP($N2692,Base_Enderecos!$A:$A,Base_Enderecos!$B:$B,""),"")</f>
        <v/>
      </c>
      <c r="Q2692">
        <f>IFERROR(XLOOKUP($N2692,Base_Enderecos!$A:$A,Base_Enderecos!$C:$C,""),"")</f>
        <v/>
      </c>
      <c r="R2692">
        <f>IF(ISNUMBER(SEARCH("HDD",$F2692)),"HDD",IF(ISNUMBER(SEARCH("VCA",$F2692)),"VCA","MND"))</f>
        <v/>
      </c>
      <c r="T2692">
        <f>TEXT($A2692,"yyyy-mm")&amp;"|"&amp;$C2692&amp;"|"&amp;$I2692</f>
        <v/>
      </c>
    </row>
    <row r="2693">
      <c r="A2693" s="36" t="n">
        <v>46174</v>
      </c>
      <c r="B2693" t="inlineStr">
        <is>
          <t>Segunda</t>
        </is>
      </c>
      <c r="C2693" t="inlineStr">
        <is>
          <t>CT João Canzi</t>
        </is>
      </c>
      <c r="D2693" t="inlineStr">
        <is>
          <t>Valmir</t>
        </is>
      </c>
      <c r="E2693" t="inlineStr">
        <is>
          <t>Bruno</t>
        </is>
      </c>
      <c r="F2693" t="inlineStr">
        <is>
          <t>Apoio ao HDD</t>
        </is>
      </c>
      <c r="J2693" t="inlineStr">
        <is>
          <t>HDD</t>
        </is>
      </c>
      <c r="K2693" t="inlineStr">
        <is>
          <t>Planejamento</t>
        </is>
      </c>
      <c r="L2693" t="inlineStr">
        <is>
          <t>PDS-Junho.docx</t>
        </is>
      </c>
      <c r="M2693">
        <f>IF($A2693="","",TEXT($A2693,"mmmm/yyyy"))</f>
        <v/>
      </c>
      <c r="P2693">
        <f>IFERROR(XLOOKUP($N2693,Base_Enderecos!$A:$A,Base_Enderecos!$B:$B,""),"")</f>
        <v/>
      </c>
      <c r="Q2693">
        <f>IFERROR(XLOOKUP($N2693,Base_Enderecos!$A:$A,Base_Enderecos!$C:$C,""),"")</f>
        <v/>
      </c>
      <c r="R2693">
        <f>IF(ISNUMBER(SEARCH("HDD",$F2693)),"HDD",IF(ISNUMBER(SEARCH("VCA",$F2693)),"VCA","MND"))</f>
        <v/>
      </c>
      <c r="T2693">
        <f>TEXT($A2693,"yyyy-mm")&amp;"|"&amp;$C2693&amp;"|"&amp;$I2693</f>
        <v/>
      </c>
    </row>
    <row r="2694">
      <c r="A2694" s="36" t="n">
        <v>46174</v>
      </c>
      <c r="B2694" t="inlineStr">
        <is>
          <t>Segunda</t>
        </is>
      </c>
      <c r="C2694" t="inlineStr">
        <is>
          <t>CT João Canzi</t>
        </is>
      </c>
      <c r="D2694" t="inlineStr">
        <is>
          <t>Valmir</t>
        </is>
      </c>
      <c r="E2694" t="inlineStr">
        <is>
          <t>Marcelo</t>
        </is>
      </c>
      <c r="F2694" t="inlineStr">
        <is>
          <t>Shaft PV 09</t>
        </is>
      </c>
      <c r="G2694" t="inlineStr">
        <is>
          <t>09</t>
        </is>
      </c>
      <c r="I2694" t="inlineStr">
        <is>
          <t>09</t>
        </is>
      </c>
      <c r="J2694" t="inlineStr">
        <is>
          <t>Shaft</t>
        </is>
      </c>
      <c r="K2694" t="inlineStr">
        <is>
          <t>Planejamento</t>
        </is>
      </c>
      <c r="L2694" t="inlineStr">
        <is>
          <t>PDS-Junho.docx</t>
        </is>
      </c>
      <c r="M2694">
        <f>IF($A2694="","",TEXT($A2694,"mmmm/yyyy"))</f>
        <v/>
      </c>
      <c r="P2694">
        <f>IFERROR(XLOOKUP($N2694,Base_Enderecos!$A:$A,Base_Enderecos!$B:$B,""),"")</f>
        <v/>
      </c>
      <c r="Q2694">
        <f>IFERROR(XLOOKUP($N2694,Base_Enderecos!$A:$A,Base_Enderecos!$C:$C,""),"")</f>
        <v/>
      </c>
      <c r="R2694">
        <f>IF(ISNUMBER(SEARCH("HDD",$F2694)),"HDD",IF(ISNUMBER(SEARCH("VCA",$F2694)),"VCA","MND"))</f>
        <v/>
      </c>
      <c r="T2694">
        <f>TEXT($A2694,"yyyy-mm")&amp;"|"&amp;$C2694&amp;"|"&amp;$I2694</f>
        <v/>
      </c>
    </row>
    <row r="2695">
      <c r="A2695" s="36" t="n">
        <v>46174</v>
      </c>
      <c r="B2695" t="inlineStr">
        <is>
          <t>Segunda</t>
        </is>
      </c>
      <c r="C2695" t="inlineStr">
        <is>
          <t>CT João Canzi</t>
        </is>
      </c>
      <c r="D2695" t="inlineStr">
        <is>
          <t>Valmir</t>
        </is>
      </c>
      <c r="E2695" t="inlineStr">
        <is>
          <t>Cidão</t>
        </is>
      </c>
      <c r="F2695" t="inlineStr">
        <is>
          <t>Transformação PV 15</t>
        </is>
      </c>
      <c r="G2695" t="inlineStr">
        <is>
          <t>15</t>
        </is>
      </c>
      <c r="I2695" t="inlineStr">
        <is>
          <t>15</t>
        </is>
      </c>
      <c r="J2695" t="inlineStr">
        <is>
          <t>Transformação</t>
        </is>
      </c>
      <c r="K2695" t="inlineStr">
        <is>
          <t>Planejamento</t>
        </is>
      </c>
      <c r="L2695" t="inlineStr">
        <is>
          <t>PDS-Junho.docx</t>
        </is>
      </c>
      <c r="M2695">
        <f>IF($A2695="","",TEXT($A2695,"mmmm/yyyy"))</f>
        <v/>
      </c>
      <c r="P2695">
        <f>IFERROR(XLOOKUP($N2695,Base_Enderecos!$A:$A,Base_Enderecos!$B:$B,""),"")</f>
        <v/>
      </c>
      <c r="Q2695">
        <f>IFERROR(XLOOKUP($N2695,Base_Enderecos!$A:$A,Base_Enderecos!$C:$C,""),"")</f>
        <v/>
      </c>
      <c r="R2695">
        <f>IF(ISNUMBER(SEARCH("HDD",$F2695)),"HDD",IF(ISNUMBER(SEARCH("VCA",$F2695)),"VCA","MND"))</f>
        <v/>
      </c>
      <c r="T2695">
        <f>TEXT($A2695,"yyyy-mm")&amp;"|"&amp;$C2695&amp;"|"&amp;$I2695</f>
        <v/>
      </c>
    </row>
    <row r="2696">
      <c r="A2696" s="36" t="n">
        <v>46174</v>
      </c>
      <c r="B2696" t="inlineStr">
        <is>
          <t>Segunda</t>
        </is>
      </c>
      <c r="C2696" t="inlineStr">
        <is>
          <t>CT João Canzi</t>
        </is>
      </c>
      <c r="D2696" t="inlineStr">
        <is>
          <t>Valmir</t>
        </is>
      </c>
      <c r="E2696" t="inlineStr">
        <is>
          <t>Márcio</t>
        </is>
      </c>
      <c r="F2696" t="inlineStr">
        <is>
          <t>Transformação PV 14</t>
        </is>
      </c>
      <c r="G2696" t="inlineStr">
        <is>
          <t>14</t>
        </is>
      </c>
      <c r="I2696" t="inlineStr">
        <is>
          <t>14</t>
        </is>
      </c>
      <c r="J2696" t="inlineStr">
        <is>
          <t>Transformação</t>
        </is>
      </c>
      <c r="K2696" t="inlineStr">
        <is>
          <t>Planejamento</t>
        </is>
      </c>
      <c r="L2696" t="inlineStr">
        <is>
          <t>PDS-Junho.docx</t>
        </is>
      </c>
      <c r="M2696">
        <f>IF($A2696="","",TEXT($A2696,"mmmm/yyyy"))</f>
        <v/>
      </c>
      <c r="P2696">
        <f>IFERROR(XLOOKUP($N2696,Base_Enderecos!$A:$A,Base_Enderecos!$B:$B,""),"")</f>
        <v/>
      </c>
      <c r="Q2696">
        <f>IFERROR(XLOOKUP($N2696,Base_Enderecos!$A:$A,Base_Enderecos!$C:$C,""),"")</f>
        <v/>
      </c>
      <c r="R2696">
        <f>IF(ISNUMBER(SEARCH("HDD",$F2696)),"HDD",IF(ISNUMBER(SEARCH("VCA",$F2696)),"VCA","MND"))</f>
        <v/>
      </c>
      <c r="T2696">
        <f>TEXT($A2696,"yyyy-mm")&amp;"|"&amp;$C2696&amp;"|"&amp;$I2696</f>
        <v/>
      </c>
    </row>
    <row r="2697">
      <c r="A2697" s="36" t="n">
        <v>46174</v>
      </c>
      <c r="B2697" t="inlineStr">
        <is>
          <t>Segunda</t>
        </is>
      </c>
      <c r="C2697" t="inlineStr">
        <is>
          <t>RCE Elvira</t>
        </is>
      </c>
      <c r="D2697" t="inlineStr">
        <is>
          <t>Silvestre</t>
        </is>
      </c>
      <c r="E2697" t="inlineStr">
        <is>
          <t>Valter</t>
        </is>
      </c>
      <c r="F2697" t="inlineStr">
        <is>
          <t>VCA, PVs e Ligações</t>
        </is>
      </c>
      <c r="J2697" t="inlineStr">
        <is>
          <t>VCA</t>
        </is>
      </c>
      <c r="K2697" t="inlineStr">
        <is>
          <t>Planejamento</t>
        </is>
      </c>
      <c r="L2697" t="inlineStr">
        <is>
          <t>PDS-Junho.docx</t>
        </is>
      </c>
      <c r="M2697">
        <f>IF($A2697="","",TEXT($A2697,"mmmm/yyyy"))</f>
        <v/>
      </c>
      <c r="P2697">
        <f>IFERROR(XLOOKUP($N2697,Base_Enderecos!$A:$A,Base_Enderecos!$B:$B,""),"")</f>
        <v/>
      </c>
      <c r="Q2697">
        <f>IFERROR(XLOOKUP($N2697,Base_Enderecos!$A:$A,Base_Enderecos!$C:$C,""),"")</f>
        <v/>
      </c>
      <c r="R2697">
        <f>IF(ISNUMBER(SEARCH("HDD",$F2697)),"HDD",IF(ISNUMBER(SEARCH("VCA",$F2697)),"VCA","MND"))</f>
        <v/>
      </c>
      <c r="T2697">
        <f>TEXT($A2697,"yyyy-mm")&amp;"|"&amp;$C2697&amp;"|"&amp;$I2697</f>
        <v/>
      </c>
    </row>
    <row r="2698">
      <c r="A2698" s="36" t="n">
        <v>46174</v>
      </c>
      <c r="B2698" t="inlineStr">
        <is>
          <t>Segunda</t>
        </is>
      </c>
      <c r="C2698" t="inlineStr">
        <is>
          <t>RCE Conj. União</t>
        </is>
      </c>
      <c r="D2698" t="inlineStr">
        <is>
          <t>Silvestre</t>
        </is>
      </c>
      <c r="E2698" t="inlineStr">
        <is>
          <t>Jonathan</t>
        </is>
      </c>
      <c r="F2698" t="inlineStr">
        <is>
          <t>Shaft PV 40.1</t>
        </is>
      </c>
      <c r="G2698" t="inlineStr">
        <is>
          <t>40.1</t>
        </is>
      </c>
      <c r="I2698" t="inlineStr">
        <is>
          <t>40.1</t>
        </is>
      </c>
      <c r="J2698" t="inlineStr">
        <is>
          <t>Shaft</t>
        </is>
      </c>
      <c r="K2698" t="inlineStr">
        <is>
          <t>Planejamento</t>
        </is>
      </c>
      <c r="L2698" t="inlineStr">
        <is>
          <t>PDS-Junho.docx</t>
        </is>
      </c>
      <c r="M2698">
        <f>IF($A2698="","",TEXT($A2698,"mmmm/yyyy"))</f>
        <v/>
      </c>
      <c r="P2698">
        <f>IFERROR(XLOOKUP($N2698,Base_Enderecos!$A:$A,Base_Enderecos!$B:$B,""),"")</f>
        <v/>
      </c>
      <c r="Q2698">
        <f>IFERROR(XLOOKUP($N2698,Base_Enderecos!$A:$A,Base_Enderecos!$C:$C,""),"")</f>
        <v/>
      </c>
      <c r="R2698">
        <f>IF(ISNUMBER(SEARCH("HDD",$F2698)),"HDD",IF(ISNUMBER(SEARCH("VCA",$F2698)),"VCA","MND"))</f>
        <v/>
      </c>
      <c r="T2698">
        <f>TEXT($A2698,"yyyy-mm")&amp;"|"&amp;$C2698&amp;"|"&amp;$I2698</f>
        <v/>
      </c>
    </row>
    <row r="2699">
      <c r="A2699" s="36" t="n">
        <v>46174</v>
      </c>
      <c r="B2699" t="inlineStr">
        <is>
          <t>Segunda</t>
        </is>
      </c>
      <c r="C2699" t="inlineStr">
        <is>
          <t>RCE São Lucas</t>
        </is>
      </c>
      <c r="D2699" t="inlineStr">
        <is>
          <t>Fábio</t>
        </is>
      </c>
      <c r="E2699" t="inlineStr">
        <is>
          <t>Ricardo (pi 05 Ao Pi 06)</t>
        </is>
      </c>
      <c r="F2699" t="inlineStr">
        <is>
          <t>VCA, PVs e Ligações</t>
        </is>
      </c>
      <c r="J2699" t="inlineStr">
        <is>
          <t>VCA</t>
        </is>
      </c>
      <c r="K2699" t="inlineStr">
        <is>
          <t>Planejamento</t>
        </is>
      </c>
      <c r="L2699" t="inlineStr">
        <is>
          <t>PDS-Junho.docx</t>
        </is>
      </c>
      <c r="M2699">
        <f>IF($A2699="","",TEXT($A2699,"mmmm/yyyy"))</f>
        <v/>
      </c>
      <c r="P2699">
        <f>IFERROR(XLOOKUP($N2699,Base_Enderecos!$A:$A,Base_Enderecos!$B:$B,""),"")</f>
        <v/>
      </c>
      <c r="Q2699">
        <f>IFERROR(XLOOKUP($N2699,Base_Enderecos!$A:$A,Base_Enderecos!$C:$C,""),"")</f>
        <v/>
      </c>
      <c r="R2699">
        <f>IF(ISNUMBER(SEARCH("HDD",$F2699)),"HDD",IF(ISNUMBER(SEARCH("VCA",$F2699)),"VCA","MND"))</f>
        <v/>
      </c>
      <c r="T2699">
        <f>TEXT($A2699,"yyyy-mm")&amp;"|"&amp;$C2699&amp;"|"&amp;$I2699</f>
        <v/>
      </c>
    </row>
    <row r="2700">
      <c r="A2700" s="36" t="n">
        <v>46174</v>
      </c>
      <c r="B2700" t="inlineStr">
        <is>
          <t>Segunda</t>
        </is>
      </c>
      <c r="C2700" t="inlineStr">
        <is>
          <t>RCE São Lucas</t>
        </is>
      </c>
      <c r="D2700" t="inlineStr">
        <is>
          <t>Fábio</t>
        </is>
      </c>
      <c r="E2700" t="inlineStr">
        <is>
          <t>Claudinei (pi 37 Ao Pi 38)</t>
        </is>
      </c>
      <c r="F2700" t="inlineStr">
        <is>
          <t>VCA, PVs e Ligações</t>
        </is>
      </c>
      <c r="J2700" t="inlineStr">
        <is>
          <t>VCA</t>
        </is>
      </c>
      <c r="K2700" t="inlineStr">
        <is>
          <t>Planejamento</t>
        </is>
      </c>
      <c r="L2700" t="inlineStr">
        <is>
          <t>PDS-Junho.docx</t>
        </is>
      </c>
      <c r="M2700">
        <f>IF($A2700="","",TEXT($A2700,"mmmm/yyyy"))</f>
        <v/>
      </c>
      <c r="P2700">
        <f>IFERROR(XLOOKUP($N2700,Base_Enderecos!$A:$A,Base_Enderecos!$B:$B,""),"")</f>
        <v/>
      </c>
      <c r="Q2700">
        <f>IFERROR(XLOOKUP($N2700,Base_Enderecos!$A:$A,Base_Enderecos!$C:$C,""),"")</f>
        <v/>
      </c>
      <c r="R2700">
        <f>IF(ISNUMBER(SEARCH("HDD",$F2700)),"HDD",IF(ISNUMBER(SEARCH("VCA",$F2700)),"VCA","MND"))</f>
        <v/>
      </c>
      <c r="T2700">
        <f>TEXT($A2700,"yyyy-mm")&amp;"|"&amp;$C2700&amp;"|"&amp;$I2700</f>
        <v/>
      </c>
    </row>
    <row r="2701">
      <c r="A2701" s="36" t="n">
        <v>46174</v>
      </c>
      <c r="B2701" t="inlineStr">
        <is>
          <t>Segunda</t>
        </is>
      </c>
      <c r="C2701" t="inlineStr">
        <is>
          <t>RCE São Lucas</t>
        </is>
      </c>
      <c r="D2701" t="inlineStr">
        <is>
          <t>Fábio</t>
        </is>
      </c>
      <c r="E2701" t="inlineStr">
        <is>
          <t>Miro</t>
        </is>
      </c>
      <c r="F2701" t="inlineStr">
        <is>
          <t>VCA, PVs e Ligações; (PI 32 ao PI 60)</t>
        </is>
      </c>
      <c r="G2701" t="inlineStr">
        <is>
          <t>32</t>
        </is>
      </c>
      <c r="H2701" t="inlineStr">
        <is>
          <t>60</t>
        </is>
      </c>
      <c r="I2701" t="inlineStr">
        <is>
          <t>32 ao 60</t>
        </is>
      </c>
      <c r="J2701" t="inlineStr">
        <is>
          <t>VCA</t>
        </is>
      </c>
      <c r="K2701" t="inlineStr">
        <is>
          <t>Planejamento</t>
        </is>
      </c>
      <c r="L2701" t="inlineStr">
        <is>
          <t>PDS-Junho.docx</t>
        </is>
      </c>
      <c r="M2701">
        <f>IF($A2701="","",TEXT($A2701,"mmmm/yyyy"))</f>
        <v/>
      </c>
      <c r="P2701">
        <f>IFERROR(XLOOKUP($N2701,Base_Enderecos!$A:$A,Base_Enderecos!$B:$B,""),"")</f>
        <v/>
      </c>
      <c r="Q2701">
        <f>IFERROR(XLOOKUP($N2701,Base_Enderecos!$A:$A,Base_Enderecos!$C:$C,""),"")</f>
        <v/>
      </c>
      <c r="R2701">
        <f>IF(ISNUMBER(SEARCH("HDD",$F2701)),"HDD",IF(ISNUMBER(SEARCH("VCA",$F2701)),"VCA","MND"))</f>
        <v/>
      </c>
      <c r="T2701">
        <f>TEXT($A2701,"yyyy-mm")&amp;"|"&amp;$C2701&amp;"|"&amp;$I2701</f>
        <v/>
      </c>
    </row>
    <row r="2702">
      <c r="A2702" s="36" t="n">
        <v>46174</v>
      </c>
      <c r="B2702" t="inlineStr">
        <is>
          <t>Segunda</t>
        </is>
      </c>
      <c r="C2702" t="inlineStr">
        <is>
          <t>RCE São Lucas</t>
        </is>
      </c>
      <c r="D2702" t="inlineStr">
        <is>
          <t>Fábio</t>
        </is>
      </c>
      <c r="E2702" t="inlineStr">
        <is>
          <t>Emanuel</t>
        </is>
      </c>
      <c r="F2702" t="inlineStr">
        <is>
          <t>VCA, PVs e Ligações; (PI 32 ao PI 60)</t>
        </is>
      </c>
      <c r="G2702" t="inlineStr">
        <is>
          <t>32</t>
        </is>
      </c>
      <c r="H2702" t="inlineStr">
        <is>
          <t>60</t>
        </is>
      </c>
      <c r="I2702" t="inlineStr">
        <is>
          <t>32 ao 60</t>
        </is>
      </c>
      <c r="J2702" t="inlineStr">
        <is>
          <t>VCA</t>
        </is>
      </c>
      <c r="K2702" t="inlineStr">
        <is>
          <t>Planejamento</t>
        </is>
      </c>
      <c r="L2702" t="inlineStr">
        <is>
          <t>PDS-Junho.docx</t>
        </is>
      </c>
      <c r="M2702">
        <f>IF($A2702="","",TEXT($A2702,"mmmm/yyyy"))</f>
        <v/>
      </c>
      <c r="P2702">
        <f>IFERROR(XLOOKUP($N2702,Base_Enderecos!$A:$A,Base_Enderecos!$B:$B,""),"")</f>
        <v/>
      </c>
      <c r="Q2702">
        <f>IFERROR(XLOOKUP($N2702,Base_Enderecos!$A:$A,Base_Enderecos!$C:$C,""),"")</f>
        <v/>
      </c>
      <c r="R2702">
        <f>IF(ISNUMBER(SEARCH("HDD",$F2702)),"HDD",IF(ISNUMBER(SEARCH("VCA",$F2702)),"VCA","MND"))</f>
        <v/>
      </c>
      <c r="T2702">
        <f>TEXT($A2702,"yyyy-mm")&amp;"|"&amp;$C2702&amp;"|"&amp;$I2702</f>
        <v/>
      </c>
    </row>
    <row r="2703">
      <c r="A2703" s="36" t="n">
        <v>46174</v>
      </c>
      <c r="B2703" t="inlineStr">
        <is>
          <t>Segunda</t>
        </is>
      </c>
      <c r="C2703" t="inlineStr">
        <is>
          <t>RCE Rua São João</t>
        </is>
      </c>
      <c r="D2703" t="inlineStr">
        <is>
          <t>Fábio</t>
        </is>
      </c>
      <c r="E2703" t="inlineStr">
        <is>
          <t>Antonio (pv 02 Ao Pi 04)*</t>
        </is>
      </c>
      <c r="F2703" t="inlineStr">
        <is>
          <t>VCA, PVs e Ligações</t>
        </is>
      </c>
      <c r="J2703" t="inlineStr">
        <is>
          <t>VCA</t>
        </is>
      </c>
      <c r="K2703" t="inlineStr">
        <is>
          <t>Planejamento</t>
        </is>
      </c>
      <c r="L2703" t="inlineStr">
        <is>
          <t>PDS-Junho.docx</t>
        </is>
      </c>
      <c r="M2703">
        <f>IF($A2703="","",TEXT($A2703,"mmmm/yyyy"))</f>
        <v/>
      </c>
      <c r="P2703">
        <f>IFERROR(XLOOKUP($N2703,Base_Enderecos!$A:$A,Base_Enderecos!$B:$B,""),"")</f>
        <v/>
      </c>
      <c r="Q2703">
        <f>IFERROR(XLOOKUP($N2703,Base_Enderecos!$A:$A,Base_Enderecos!$C:$C,""),"")</f>
        <v/>
      </c>
      <c r="R2703">
        <f>IF(ISNUMBER(SEARCH("HDD",$F2703)),"HDD",IF(ISNUMBER(SEARCH("VCA",$F2703)),"VCA","MND"))</f>
        <v/>
      </c>
      <c r="T2703">
        <f>TEXT($A2703,"yyyy-mm")&amp;"|"&amp;$C2703&amp;"|"&amp;$I2703</f>
        <v/>
      </c>
    </row>
    <row r="2704">
      <c r="A2704" s="36" t="n">
        <v>46174</v>
      </c>
      <c r="B2704" t="inlineStr">
        <is>
          <t>Segunda</t>
        </is>
      </c>
      <c r="C2704" t="inlineStr">
        <is>
          <t>CTS Lourdes Complementar</t>
        </is>
      </c>
      <c r="D2704" t="inlineStr">
        <is>
          <t>Robson</t>
        </is>
      </c>
      <c r="E2704" t="inlineStr">
        <is>
          <t>Cesar</t>
        </is>
      </c>
      <c r="F2704" t="inlineStr">
        <is>
          <t>Transformação PV 03</t>
        </is>
      </c>
      <c r="G2704" t="inlineStr">
        <is>
          <t>03</t>
        </is>
      </c>
      <c r="I2704" t="inlineStr">
        <is>
          <t>03</t>
        </is>
      </c>
      <c r="J2704" t="inlineStr">
        <is>
          <t>Transformação</t>
        </is>
      </c>
      <c r="K2704" t="inlineStr">
        <is>
          <t>Planejamento</t>
        </is>
      </c>
      <c r="L2704" t="inlineStr">
        <is>
          <t>PDS-Junho.docx</t>
        </is>
      </c>
      <c r="M2704">
        <f>IF($A2704="","",TEXT($A2704,"mmmm/yyyy"))</f>
        <v/>
      </c>
      <c r="P2704">
        <f>IFERROR(XLOOKUP($N2704,Base_Enderecos!$A:$A,Base_Enderecos!$B:$B,""),"")</f>
        <v/>
      </c>
      <c r="Q2704">
        <f>IFERROR(XLOOKUP($N2704,Base_Enderecos!$A:$A,Base_Enderecos!$C:$C,""),"")</f>
        <v/>
      </c>
      <c r="R2704">
        <f>IF(ISNUMBER(SEARCH("HDD",$F2704)),"HDD",IF(ISNUMBER(SEARCH("VCA",$F2704)),"VCA","MND"))</f>
        <v/>
      </c>
      <c r="T2704">
        <f>TEXT($A2704,"yyyy-mm")&amp;"|"&amp;$C2704&amp;"|"&amp;$I2704</f>
        <v/>
      </c>
    </row>
    <row r="2705">
      <c r="A2705" s="36" t="n">
        <v>46174</v>
      </c>
      <c r="B2705" t="inlineStr">
        <is>
          <t>Segunda</t>
        </is>
      </c>
      <c r="C2705" t="inlineStr">
        <is>
          <t>CTS Lourdes Complementar</t>
        </is>
      </c>
      <c r="D2705" t="inlineStr">
        <is>
          <t>Robson</t>
        </is>
      </c>
      <c r="E2705" t="inlineStr">
        <is>
          <t>Edvando</t>
        </is>
      </c>
      <c r="F2705" t="inlineStr">
        <is>
          <t>Transformação PV 02</t>
        </is>
      </c>
      <c r="G2705" t="inlineStr">
        <is>
          <t>02</t>
        </is>
      </c>
      <c r="I2705" t="inlineStr">
        <is>
          <t>02</t>
        </is>
      </c>
      <c r="J2705" t="inlineStr">
        <is>
          <t>Transformação</t>
        </is>
      </c>
      <c r="K2705" t="inlineStr">
        <is>
          <t>Planejamento</t>
        </is>
      </c>
      <c r="L2705" t="inlineStr">
        <is>
          <t>PDS-Junho.docx</t>
        </is>
      </c>
      <c r="M2705">
        <f>IF($A2705="","",TEXT($A2705,"mmmm/yyyy"))</f>
        <v/>
      </c>
      <c r="P2705">
        <f>IFERROR(XLOOKUP($N2705,Base_Enderecos!$A:$A,Base_Enderecos!$B:$B,""),"")</f>
        <v/>
      </c>
      <c r="Q2705">
        <f>IFERROR(XLOOKUP($N2705,Base_Enderecos!$A:$A,Base_Enderecos!$C:$C,""),"")</f>
        <v/>
      </c>
      <c r="R2705">
        <f>IF(ISNUMBER(SEARCH("HDD",$F2705)),"HDD",IF(ISNUMBER(SEARCH("VCA",$F2705)),"VCA","MND"))</f>
        <v/>
      </c>
      <c r="T2705">
        <f>TEXT($A2705,"yyyy-mm")&amp;"|"&amp;$C2705&amp;"|"&amp;$I2705</f>
        <v/>
      </c>
    </row>
    <row r="2706">
      <c r="A2706" s="36" t="n">
        <v>46174</v>
      </c>
      <c r="B2706" t="inlineStr">
        <is>
          <t>Segunda</t>
        </is>
      </c>
      <c r="C2706" t="inlineStr">
        <is>
          <t>João Canzi</t>
        </is>
      </c>
      <c r="E2706" t="inlineStr">
        <is>
          <t>Vacal</t>
        </is>
      </c>
      <c r="F2706" t="inlineStr">
        <is>
          <t>João Canzi – Henko (Osmar)</t>
        </is>
      </c>
      <c r="J2706" t="inlineStr">
        <is>
          <t>Atividade</t>
        </is>
      </c>
      <c r="K2706" t="inlineStr">
        <is>
          <t>Apoio</t>
        </is>
      </c>
      <c r="L2706" t="inlineStr">
        <is>
          <t>PDS-Junho.docx</t>
        </is>
      </c>
      <c r="M2706">
        <f>IF($A2706="","",TEXT($A2706,"mmmm/yyyy"))</f>
        <v/>
      </c>
      <c r="P2706">
        <f>IFERROR(XLOOKUP($N2706,Base_Enderecos!$A:$A,Base_Enderecos!$B:$B,""),"")</f>
        <v/>
      </c>
      <c r="Q2706">
        <f>IFERROR(XLOOKUP($N2706,Base_Enderecos!$A:$A,Base_Enderecos!$C:$C,""),"")</f>
        <v/>
      </c>
      <c r="R2706">
        <f>IF(ISNUMBER(SEARCH("HDD",$F2706)),"HDD",IF(ISNUMBER(SEARCH("VCA",$F2706)),"VCA","MND"))</f>
        <v/>
      </c>
      <c r="T2706">
        <f>TEXT($A2706,"yyyy-mm")&amp;"|"&amp;$C2706&amp;"|"&amp;$I2706</f>
        <v/>
      </c>
    </row>
    <row r="2707">
      <c r="A2707" s="36" t="n">
        <v>46174</v>
      </c>
      <c r="B2707" t="inlineStr">
        <is>
          <t>Segunda</t>
        </is>
      </c>
      <c r="C2707" t="inlineStr">
        <is>
          <t>João Canzi</t>
        </is>
      </c>
      <c r="E2707" t="inlineStr">
        <is>
          <t>Vacal</t>
        </is>
      </c>
      <c r="F2707" t="inlineStr">
        <is>
          <t>João Canzi – Renasce (Raimundo)</t>
        </is>
      </c>
      <c r="J2707" t="inlineStr">
        <is>
          <t>Atividade</t>
        </is>
      </c>
      <c r="K2707" t="inlineStr">
        <is>
          <t>Apoio</t>
        </is>
      </c>
      <c r="L2707" t="inlineStr">
        <is>
          <t>PDS-Junho.docx</t>
        </is>
      </c>
      <c r="M2707">
        <f>IF($A2707="","",TEXT($A2707,"mmmm/yyyy"))</f>
        <v/>
      </c>
      <c r="P2707">
        <f>IFERROR(XLOOKUP($N2707,Base_Enderecos!$A:$A,Base_Enderecos!$B:$B,""),"")</f>
        <v/>
      </c>
      <c r="Q2707">
        <f>IFERROR(XLOOKUP($N2707,Base_Enderecos!$A:$A,Base_Enderecos!$C:$C,""),"")</f>
        <v/>
      </c>
      <c r="R2707">
        <f>IF(ISNUMBER(SEARCH("HDD",$F2707)),"HDD",IF(ISNUMBER(SEARCH("VCA",$F2707)),"VCA","MND"))</f>
        <v/>
      </c>
      <c r="T2707">
        <f>TEXT($A2707,"yyyy-mm")&amp;"|"&amp;$C2707&amp;"|"&amp;$I2707</f>
        <v/>
      </c>
    </row>
    <row r="2708">
      <c r="A2708" s="36" t="n">
        <v>46174</v>
      </c>
      <c r="B2708" t="inlineStr">
        <is>
          <t>Segunda</t>
        </is>
      </c>
      <c r="C2708" t="inlineStr">
        <is>
          <t>João Canzi</t>
        </is>
      </c>
      <c r="E2708" t="inlineStr">
        <is>
          <t>Vacal</t>
        </is>
      </c>
      <c r="F2708" t="inlineStr">
        <is>
          <t>João Canzi – Hidrosol (Jonathan)</t>
        </is>
      </c>
      <c r="J2708" t="inlineStr">
        <is>
          <t>Atividade</t>
        </is>
      </c>
      <c r="K2708" t="inlineStr">
        <is>
          <t>Apoio</t>
        </is>
      </c>
      <c r="L2708" t="inlineStr">
        <is>
          <t>PDS-Junho.docx</t>
        </is>
      </c>
      <c r="M2708">
        <f>IF($A2708="","",TEXT($A2708,"mmmm/yyyy"))</f>
        <v/>
      </c>
      <c r="P2708">
        <f>IFERROR(XLOOKUP($N2708,Base_Enderecos!$A:$A,Base_Enderecos!$B:$B,""),"")</f>
        <v/>
      </c>
      <c r="Q2708">
        <f>IFERROR(XLOOKUP($N2708,Base_Enderecos!$A:$A,Base_Enderecos!$C:$C,""),"")</f>
        <v/>
      </c>
      <c r="R2708">
        <f>IF(ISNUMBER(SEARCH("HDD",$F2708)),"HDD",IF(ISNUMBER(SEARCH("VCA",$F2708)),"VCA","MND"))</f>
        <v/>
      </c>
      <c r="T2708">
        <f>TEXT($A2708,"yyyy-mm")&amp;"|"&amp;$C2708&amp;"|"&amp;$I2708</f>
        <v/>
      </c>
    </row>
    <row r="2709">
      <c r="A2709" s="36" t="n">
        <v>46174</v>
      </c>
      <c r="B2709" t="inlineStr">
        <is>
          <t>Segunda</t>
        </is>
      </c>
      <c r="C2709" t="inlineStr">
        <is>
          <t>Lourdes</t>
        </is>
      </c>
      <c r="E2709" t="inlineStr">
        <is>
          <t>Vacal</t>
        </is>
      </c>
      <c r="F2709" t="inlineStr">
        <is>
          <t>Lourdes – Henko (Marcio)</t>
        </is>
      </c>
      <c r="J2709" t="inlineStr">
        <is>
          <t>Atividade</t>
        </is>
      </c>
      <c r="K2709" t="inlineStr">
        <is>
          <t>Apoio</t>
        </is>
      </c>
      <c r="L2709" t="inlineStr">
        <is>
          <t>PDS-Junho.docx</t>
        </is>
      </c>
      <c r="M2709">
        <f>IF($A2709="","",TEXT($A2709,"mmmm/yyyy"))</f>
        <v/>
      </c>
      <c r="P2709">
        <f>IFERROR(XLOOKUP($N2709,Base_Enderecos!$A:$A,Base_Enderecos!$B:$B,""),"")</f>
        <v/>
      </c>
      <c r="Q2709">
        <f>IFERROR(XLOOKUP($N2709,Base_Enderecos!$A:$A,Base_Enderecos!$C:$C,""),"")</f>
        <v/>
      </c>
      <c r="R2709">
        <f>IF(ISNUMBER(SEARCH("HDD",$F2709)),"HDD",IF(ISNUMBER(SEARCH("VCA",$F2709)),"VCA","MND"))</f>
        <v/>
      </c>
      <c r="T2709">
        <f>TEXT($A2709,"yyyy-mm")&amp;"|"&amp;$C2709&amp;"|"&amp;$I2709</f>
        <v/>
      </c>
    </row>
    <row r="2710">
      <c r="A2710" s="36" t="n">
        <v>46174</v>
      </c>
      <c r="B2710" t="inlineStr">
        <is>
          <t>Segunda</t>
        </is>
      </c>
      <c r="C2710" t="inlineStr">
        <is>
          <t>Iti 15</t>
        </is>
      </c>
      <c r="E2710" t="inlineStr">
        <is>
          <t>Vacal</t>
        </is>
      </c>
      <c r="F2710" t="inlineStr">
        <is>
          <t>ITI 15 – Henko (Thiago)</t>
        </is>
      </c>
      <c r="J2710" t="inlineStr">
        <is>
          <t>Atividade</t>
        </is>
      </c>
      <c r="K2710" t="inlineStr">
        <is>
          <t>Apoio</t>
        </is>
      </c>
      <c r="L2710" t="inlineStr">
        <is>
          <t>PDS-Junho.docx</t>
        </is>
      </c>
      <c r="M2710">
        <f>IF($A2710="","",TEXT($A2710,"mmmm/yyyy"))</f>
        <v/>
      </c>
      <c r="P2710">
        <f>IFERROR(XLOOKUP($N2710,Base_Enderecos!$A:$A,Base_Enderecos!$B:$B,""),"")</f>
        <v/>
      </c>
      <c r="Q2710">
        <f>IFERROR(XLOOKUP($N2710,Base_Enderecos!$A:$A,Base_Enderecos!$C:$C,""),"")</f>
        <v/>
      </c>
      <c r="R2710">
        <f>IF(ISNUMBER(SEARCH("HDD",$F2710)),"HDD",IF(ISNUMBER(SEARCH("VCA",$F2710)),"VCA","MND"))</f>
        <v/>
      </c>
      <c r="T2710">
        <f>TEXT($A2710,"yyyy-mm")&amp;"|"&amp;$C2710&amp;"|"&amp;$I2710</f>
        <v/>
      </c>
    </row>
    <row r="2711">
      <c r="A2711" s="36" t="n">
        <v>46174</v>
      </c>
      <c r="B2711" t="inlineStr">
        <is>
          <t>Segunda</t>
        </is>
      </c>
      <c r="C2711" t="inlineStr">
        <is>
          <t>Guindauto</t>
        </is>
      </c>
      <c r="E2711" t="inlineStr">
        <is>
          <t>Guindauto</t>
        </is>
      </c>
      <c r="F2711" t="inlineStr">
        <is>
          <t>Marcio - Apoio as equipes</t>
        </is>
      </c>
      <c r="J2711" t="inlineStr">
        <is>
          <t>Atividade</t>
        </is>
      </c>
      <c r="K2711" t="inlineStr">
        <is>
          <t>Apoio</t>
        </is>
      </c>
      <c r="L2711" t="inlineStr">
        <is>
          <t>PDS-Junho.docx</t>
        </is>
      </c>
      <c r="M2711">
        <f>IF($A2711="","",TEXT($A2711,"mmmm/yyyy"))</f>
        <v/>
      </c>
      <c r="P2711">
        <f>IFERROR(XLOOKUP($N2711,Base_Enderecos!$A:$A,Base_Enderecos!$B:$B,""),"")</f>
        <v/>
      </c>
      <c r="Q2711">
        <f>IFERROR(XLOOKUP($N2711,Base_Enderecos!$A:$A,Base_Enderecos!$C:$C,""),"")</f>
        <v/>
      </c>
      <c r="R2711">
        <f>IF(ISNUMBER(SEARCH("HDD",$F2711)),"HDD",IF(ISNUMBER(SEARCH("VCA",$F2711)),"VCA","MND"))</f>
        <v/>
      </c>
      <c r="T2711">
        <f>TEXT($A2711,"yyyy-mm")&amp;"|"&amp;$C2711&amp;"|"&amp;$I2711</f>
        <v/>
      </c>
    </row>
    <row r="2712">
      <c r="A2712" s="36" t="n">
        <v>46174</v>
      </c>
      <c r="B2712" t="inlineStr">
        <is>
          <t>Segunda</t>
        </is>
      </c>
      <c r="C2712" t="inlineStr">
        <is>
          <t>Guindauto</t>
        </is>
      </c>
      <c r="E2712" t="inlineStr">
        <is>
          <t>Guindauto</t>
        </is>
      </c>
      <c r="F2712" t="inlineStr">
        <is>
          <t>Luiz - Apoio as equipes</t>
        </is>
      </c>
      <c r="J2712" t="inlineStr">
        <is>
          <t>Atividade</t>
        </is>
      </c>
      <c r="K2712" t="inlineStr">
        <is>
          <t>Apoio</t>
        </is>
      </c>
      <c r="L2712" t="inlineStr">
        <is>
          <t>PDS-Junho.docx</t>
        </is>
      </c>
      <c r="M2712">
        <f>IF($A2712="","",TEXT($A2712,"mmmm/yyyy"))</f>
        <v/>
      </c>
      <c r="P2712">
        <f>IFERROR(XLOOKUP($N2712,Base_Enderecos!$A:$A,Base_Enderecos!$B:$B,""),"")</f>
        <v/>
      </c>
      <c r="Q2712">
        <f>IFERROR(XLOOKUP($N2712,Base_Enderecos!$A:$A,Base_Enderecos!$C:$C,""),"")</f>
        <v/>
      </c>
      <c r="R2712">
        <f>IF(ISNUMBER(SEARCH("HDD",$F2712)),"HDD",IF(ISNUMBER(SEARCH("VCA",$F2712)),"VCA","MND"))</f>
        <v/>
      </c>
      <c r="T2712">
        <f>TEXT($A2712,"yyyy-mm")&amp;"|"&amp;$C2712&amp;"|"&amp;$I2712</f>
        <v/>
      </c>
    </row>
    <row r="2713">
      <c r="A2713" s="36" t="n">
        <v>46175</v>
      </c>
      <c r="B2713" t="inlineStr">
        <is>
          <t>Terça</t>
        </is>
      </c>
      <c r="C2713" t="inlineStr">
        <is>
          <t>CT João Canzi</t>
        </is>
      </c>
      <c r="D2713" t="inlineStr">
        <is>
          <t>Valmir</t>
        </is>
      </c>
      <c r="E2713" t="inlineStr">
        <is>
          <t>Goiânia Drill</t>
        </is>
      </c>
      <c r="F2713" t="inlineStr">
        <is>
          <t>Puxe do PV-10 ao PV-11</t>
        </is>
      </c>
      <c r="G2713" t="inlineStr">
        <is>
          <t>10</t>
        </is>
      </c>
      <c r="H2713" t="inlineStr">
        <is>
          <t>11</t>
        </is>
      </c>
      <c r="I2713" t="inlineStr">
        <is>
          <t>10 ao 11</t>
        </is>
      </c>
      <c r="J2713" t="inlineStr">
        <is>
          <t>HDD</t>
        </is>
      </c>
      <c r="K2713" t="inlineStr">
        <is>
          <t>Planejamento</t>
        </is>
      </c>
      <c r="L2713" t="inlineStr">
        <is>
          <t>PDS-Junho.docx</t>
        </is>
      </c>
      <c r="M2713">
        <f>IF($A2713="","",TEXT($A2713,"mmmm/yyyy"))</f>
        <v/>
      </c>
      <c r="P2713">
        <f>IFERROR(XLOOKUP($N2713,Base_Enderecos!$A:$A,Base_Enderecos!$B:$B,""),"")</f>
        <v/>
      </c>
      <c r="Q2713">
        <f>IFERROR(XLOOKUP($N2713,Base_Enderecos!$A:$A,Base_Enderecos!$C:$C,""),"")</f>
        <v/>
      </c>
      <c r="R2713">
        <f>IF(ISNUMBER(SEARCH("HDD",$F2713)),"HDD",IF(ISNUMBER(SEARCH("VCA",$F2713)),"VCA","MND"))</f>
        <v/>
      </c>
      <c r="T2713">
        <f>TEXT($A2713,"yyyy-mm")&amp;"|"&amp;$C2713&amp;"|"&amp;$I2713</f>
        <v/>
      </c>
    </row>
    <row r="2714">
      <c r="A2714" s="36" t="n">
        <v>46175</v>
      </c>
      <c r="B2714" t="inlineStr">
        <is>
          <t>Terça</t>
        </is>
      </c>
      <c r="C2714" t="inlineStr">
        <is>
          <t>CT João Canzi</t>
        </is>
      </c>
      <c r="D2714" t="inlineStr">
        <is>
          <t>Valmir</t>
        </is>
      </c>
      <c r="E2714" t="inlineStr">
        <is>
          <t>Bruno E Medeiros</t>
        </is>
      </c>
      <c r="F2714" t="inlineStr">
        <is>
          <t>Apoio ao HDD</t>
        </is>
      </c>
      <c r="J2714" t="inlineStr">
        <is>
          <t>HDD</t>
        </is>
      </c>
      <c r="K2714" t="inlineStr">
        <is>
          <t>Planejamento</t>
        </is>
      </c>
      <c r="L2714" t="inlineStr">
        <is>
          <t>PDS-Junho.docx</t>
        </is>
      </c>
      <c r="M2714">
        <f>IF($A2714="","",TEXT($A2714,"mmmm/yyyy"))</f>
        <v/>
      </c>
      <c r="P2714">
        <f>IFERROR(XLOOKUP($N2714,Base_Enderecos!$A:$A,Base_Enderecos!$B:$B,""),"")</f>
        <v/>
      </c>
      <c r="Q2714">
        <f>IFERROR(XLOOKUP($N2714,Base_Enderecos!$A:$A,Base_Enderecos!$C:$C,""),"")</f>
        <v/>
      </c>
      <c r="R2714">
        <f>IF(ISNUMBER(SEARCH("HDD",$F2714)),"HDD",IF(ISNUMBER(SEARCH("VCA",$F2714)),"VCA","MND"))</f>
        <v/>
      </c>
      <c r="T2714">
        <f>TEXT($A2714,"yyyy-mm")&amp;"|"&amp;$C2714&amp;"|"&amp;$I2714</f>
        <v/>
      </c>
    </row>
    <row r="2715">
      <c r="A2715" s="36" t="n">
        <v>46175</v>
      </c>
      <c r="B2715" t="inlineStr">
        <is>
          <t>Terça</t>
        </is>
      </c>
      <c r="C2715" t="inlineStr">
        <is>
          <t>CT João Canzi</t>
        </is>
      </c>
      <c r="D2715" t="inlineStr">
        <is>
          <t>Valmir</t>
        </is>
      </c>
      <c r="E2715" t="inlineStr">
        <is>
          <t>Cidão</t>
        </is>
      </c>
      <c r="F2715" t="inlineStr">
        <is>
          <t>Transformação PV 15</t>
        </is>
      </c>
      <c r="G2715" t="inlineStr">
        <is>
          <t>15</t>
        </is>
      </c>
      <c r="I2715" t="inlineStr">
        <is>
          <t>15</t>
        </is>
      </c>
      <c r="J2715" t="inlineStr">
        <is>
          <t>Transformação</t>
        </is>
      </c>
      <c r="K2715" t="inlineStr">
        <is>
          <t>Planejamento</t>
        </is>
      </c>
      <c r="L2715" t="inlineStr">
        <is>
          <t>PDS-Junho.docx</t>
        </is>
      </c>
      <c r="M2715">
        <f>IF($A2715="","",TEXT($A2715,"mmmm/yyyy"))</f>
        <v/>
      </c>
      <c r="P2715">
        <f>IFERROR(XLOOKUP($N2715,Base_Enderecos!$A:$A,Base_Enderecos!$B:$B,""),"")</f>
        <v/>
      </c>
      <c r="Q2715">
        <f>IFERROR(XLOOKUP($N2715,Base_Enderecos!$A:$A,Base_Enderecos!$C:$C,""),"")</f>
        <v/>
      </c>
      <c r="R2715">
        <f>IF(ISNUMBER(SEARCH("HDD",$F2715)),"HDD",IF(ISNUMBER(SEARCH("VCA",$F2715)),"VCA","MND"))</f>
        <v/>
      </c>
      <c r="T2715">
        <f>TEXT($A2715,"yyyy-mm")&amp;"|"&amp;$C2715&amp;"|"&amp;$I2715</f>
        <v/>
      </c>
    </row>
    <row r="2716">
      <c r="A2716" s="36" t="n">
        <v>46175</v>
      </c>
      <c r="B2716" t="inlineStr">
        <is>
          <t>Terça</t>
        </is>
      </c>
      <c r="C2716" t="inlineStr">
        <is>
          <t>CT João Canzi</t>
        </is>
      </c>
      <c r="D2716" t="inlineStr">
        <is>
          <t>Valmir</t>
        </is>
      </c>
      <c r="E2716" t="inlineStr">
        <is>
          <t>Márcio</t>
        </is>
      </c>
      <c r="F2716" t="inlineStr">
        <is>
          <t>Transformação PV 09</t>
        </is>
      </c>
      <c r="G2716" t="inlineStr">
        <is>
          <t>09</t>
        </is>
      </c>
      <c r="I2716" t="inlineStr">
        <is>
          <t>09</t>
        </is>
      </c>
      <c r="J2716" t="inlineStr">
        <is>
          <t>Transformação</t>
        </is>
      </c>
      <c r="K2716" t="inlineStr">
        <is>
          <t>Planejamento</t>
        </is>
      </c>
      <c r="L2716" t="inlineStr">
        <is>
          <t>PDS-Junho.docx</t>
        </is>
      </c>
      <c r="M2716">
        <f>IF($A2716="","",TEXT($A2716,"mmmm/yyyy"))</f>
        <v/>
      </c>
      <c r="P2716">
        <f>IFERROR(XLOOKUP($N2716,Base_Enderecos!$A:$A,Base_Enderecos!$B:$B,""),"")</f>
        <v/>
      </c>
      <c r="Q2716">
        <f>IFERROR(XLOOKUP($N2716,Base_Enderecos!$A:$A,Base_Enderecos!$C:$C,""),"")</f>
        <v/>
      </c>
      <c r="R2716">
        <f>IF(ISNUMBER(SEARCH("HDD",$F2716)),"HDD",IF(ISNUMBER(SEARCH("VCA",$F2716)),"VCA","MND"))</f>
        <v/>
      </c>
      <c r="T2716">
        <f>TEXT($A2716,"yyyy-mm")&amp;"|"&amp;$C2716&amp;"|"&amp;$I2716</f>
        <v/>
      </c>
    </row>
    <row r="2717">
      <c r="A2717" s="36" t="n">
        <v>46175</v>
      </c>
      <c r="B2717" t="inlineStr">
        <is>
          <t>Terça</t>
        </is>
      </c>
      <c r="C2717" t="inlineStr">
        <is>
          <t>RCE Elvira</t>
        </is>
      </c>
      <c r="D2717" t="inlineStr">
        <is>
          <t>Silvestre</t>
        </is>
      </c>
      <c r="E2717" t="inlineStr">
        <is>
          <t>Valter</t>
        </is>
      </c>
      <c r="F2717" t="inlineStr">
        <is>
          <t>VCA, PVs e Ligações</t>
        </is>
      </c>
      <c r="J2717" t="inlineStr">
        <is>
          <t>VCA</t>
        </is>
      </c>
      <c r="K2717" t="inlineStr">
        <is>
          <t>Planejamento</t>
        </is>
      </c>
      <c r="L2717" t="inlineStr">
        <is>
          <t>PDS-Junho.docx</t>
        </is>
      </c>
      <c r="M2717">
        <f>IF($A2717="","",TEXT($A2717,"mmmm/yyyy"))</f>
        <v/>
      </c>
      <c r="P2717">
        <f>IFERROR(XLOOKUP($N2717,Base_Enderecos!$A:$A,Base_Enderecos!$B:$B,""),"")</f>
        <v/>
      </c>
      <c r="Q2717">
        <f>IFERROR(XLOOKUP($N2717,Base_Enderecos!$A:$A,Base_Enderecos!$C:$C,""),"")</f>
        <v/>
      </c>
      <c r="R2717">
        <f>IF(ISNUMBER(SEARCH("HDD",$F2717)),"HDD",IF(ISNUMBER(SEARCH("VCA",$F2717)),"VCA","MND"))</f>
        <v/>
      </c>
      <c r="T2717">
        <f>TEXT($A2717,"yyyy-mm")&amp;"|"&amp;$C2717&amp;"|"&amp;$I2717</f>
        <v/>
      </c>
    </row>
    <row r="2718">
      <c r="A2718" s="36" t="n">
        <v>46175</v>
      </c>
      <c r="B2718" t="inlineStr">
        <is>
          <t>Terça</t>
        </is>
      </c>
      <c r="C2718" t="inlineStr">
        <is>
          <t>RCE Conj. União</t>
        </is>
      </c>
      <c r="D2718" t="inlineStr">
        <is>
          <t>Silvestre</t>
        </is>
      </c>
      <c r="E2718" t="inlineStr">
        <is>
          <t>Jonathan</t>
        </is>
      </c>
      <c r="F2718" t="inlineStr">
        <is>
          <t>Transformação PV 40.1</t>
        </is>
      </c>
      <c r="G2718" t="inlineStr">
        <is>
          <t>40.1</t>
        </is>
      </c>
      <c r="I2718" t="inlineStr">
        <is>
          <t>40.1</t>
        </is>
      </c>
      <c r="J2718" t="inlineStr">
        <is>
          <t>Transformação</t>
        </is>
      </c>
      <c r="K2718" t="inlineStr">
        <is>
          <t>Planejamento</t>
        </is>
      </c>
      <c r="L2718" t="inlineStr">
        <is>
          <t>PDS-Junho.docx</t>
        </is>
      </c>
      <c r="M2718">
        <f>IF($A2718="","",TEXT($A2718,"mmmm/yyyy"))</f>
        <v/>
      </c>
      <c r="P2718">
        <f>IFERROR(XLOOKUP($N2718,Base_Enderecos!$A:$A,Base_Enderecos!$B:$B,""),"")</f>
        <v/>
      </c>
      <c r="Q2718">
        <f>IFERROR(XLOOKUP($N2718,Base_Enderecos!$A:$A,Base_Enderecos!$C:$C,""),"")</f>
        <v/>
      </c>
      <c r="R2718">
        <f>IF(ISNUMBER(SEARCH("HDD",$F2718)),"HDD",IF(ISNUMBER(SEARCH("VCA",$F2718)),"VCA","MND"))</f>
        <v/>
      </c>
      <c r="T2718">
        <f>TEXT($A2718,"yyyy-mm")&amp;"|"&amp;$C2718&amp;"|"&amp;$I2718</f>
        <v/>
      </c>
    </row>
    <row r="2719">
      <c r="A2719" s="36" t="n">
        <v>46175</v>
      </c>
      <c r="B2719" t="inlineStr">
        <is>
          <t>Terça</t>
        </is>
      </c>
      <c r="C2719" t="inlineStr">
        <is>
          <t>RCE Elias Sleiman / CT João Canzi</t>
        </is>
      </c>
      <c r="D2719" t="inlineStr">
        <is>
          <t>Silvestre</t>
        </is>
      </c>
      <c r="E2719" t="inlineStr">
        <is>
          <t>Edvando</t>
        </is>
      </c>
      <c r="F2719" t="inlineStr">
        <is>
          <t>VCA + interl PV 17 ao PV 22</t>
        </is>
      </c>
      <c r="G2719" t="inlineStr">
        <is>
          <t>17</t>
        </is>
      </c>
      <c r="H2719" t="inlineStr">
        <is>
          <t>22</t>
        </is>
      </c>
      <c r="I2719" t="inlineStr">
        <is>
          <t>17 ao 22</t>
        </is>
      </c>
      <c r="J2719" t="inlineStr">
        <is>
          <t>VCA</t>
        </is>
      </c>
      <c r="K2719" t="inlineStr">
        <is>
          <t>Planejamento</t>
        </is>
      </c>
      <c r="L2719" t="inlineStr">
        <is>
          <t>PDS-Junho.docx</t>
        </is>
      </c>
      <c r="M2719">
        <f>IF($A2719="","",TEXT($A2719,"mmmm/yyyy"))</f>
        <v/>
      </c>
      <c r="P2719">
        <f>IFERROR(XLOOKUP($N2719,Base_Enderecos!$A:$A,Base_Enderecos!$B:$B,""),"")</f>
        <v/>
      </c>
      <c r="Q2719">
        <f>IFERROR(XLOOKUP($N2719,Base_Enderecos!$A:$A,Base_Enderecos!$C:$C,""),"")</f>
        <v/>
      </c>
      <c r="R2719">
        <f>IF(ISNUMBER(SEARCH("HDD",$F2719)),"HDD",IF(ISNUMBER(SEARCH("VCA",$F2719)),"VCA","MND"))</f>
        <v/>
      </c>
      <c r="T2719">
        <f>TEXT($A2719,"yyyy-mm")&amp;"|"&amp;$C2719&amp;"|"&amp;$I2719</f>
        <v/>
      </c>
    </row>
    <row r="2720">
      <c r="A2720" s="36" t="n">
        <v>46175</v>
      </c>
      <c r="B2720" t="inlineStr">
        <is>
          <t>Terça</t>
        </is>
      </c>
      <c r="C2720" t="inlineStr">
        <is>
          <t>RCE São Lucas</t>
        </is>
      </c>
      <c r="D2720" t="inlineStr">
        <is>
          <t>Fábio</t>
        </is>
      </c>
      <c r="E2720" t="inlineStr">
        <is>
          <t>Ricardo (pi 05 Ao Pi 06)</t>
        </is>
      </c>
      <c r="F2720" t="inlineStr">
        <is>
          <t>VCA, PVs e Ligações</t>
        </is>
      </c>
      <c r="J2720" t="inlineStr">
        <is>
          <t>VCA</t>
        </is>
      </c>
      <c r="K2720" t="inlineStr">
        <is>
          <t>Planejamento</t>
        </is>
      </c>
      <c r="L2720" t="inlineStr">
        <is>
          <t>PDS-Junho.docx</t>
        </is>
      </c>
      <c r="M2720">
        <f>IF($A2720="","",TEXT($A2720,"mmmm/yyyy"))</f>
        <v/>
      </c>
      <c r="P2720">
        <f>IFERROR(XLOOKUP($N2720,Base_Enderecos!$A:$A,Base_Enderecos!$B:$B,""),"")</f>
        <v/>
      </c>
      <c r="Q2720">
        <f>IFERROR(XLOOKUP($N2720,Base_Enderecos!$A:$A,Base_Enderecos!$C:$C,""),"")</f>
        <v/>
      </c>
      <c r="R2720">
        <f>IF(ISNUMBER(SEARCH("HDD",$F2720)),"HDD",IF(ISNUMBER(SEARCH("VCA",$F2720)),"VCA","MND"))</f>
        <v/>
      </c>
      <c r="T2720">
        <f>TEXT($A2720,"yyyy-mm")&amp;"|"&amp;$C2720&amp;"|"&amp;$I2720</f>
        <v/>
      </c>
    </row>
    <row r="2721">
      <c r="A2721" s="36" t="n">
        <v>46175</v>
      </c>
      <c r="B2721" t="inlineStr">
        <is>
          <t>Terça</t>
        </is>
      </c>
      <c r="C2721" t="inlineStr">
        <is>
          <t>RCE São Lucas</t>
        </is>
      </c>
      <c r="D2721" t="inlineStr">
        <is>
          <t>Fábio</t>
        </is>
      </c>
      <c r="E2721" t="inlineStr">
        <is>
          <t>Claudinei (pi 37 Ao Pi 38)</t>
        </is>
      </c>
      <c r="F2721" t="inlineStr">
        <is>
          <t>VCA, PVs e Ligações</t>
        </is>
      </c>
      <c r="J2721" t="inlineStr">
        <is>
          <t>VCA</t>
        </is>
      </c>
      <c r="K2721" t="inlineStr">
        <is>
          <t>Planejamento</t>
        </is>
      </c>
      <c r="L2721" t="inlineStr">
        <is>
          <t>PDS-Junho.docx</t>
        </is>
      </c>
      <c r="M2721">
        <f>IF($A2721="","",TEXT($A2721,"mmmm/yyyy"))</f>
        <v/>
      </c>
      <c r="P2721">
        <f>IFERROR(XLOOKUP($N2721,Base_Enderecos!$A:$A,Base_Enderecos!$B:$B,""),"")</f>
        <v/>
      </c>
      <c r="Q2721">
        <f>IFERROR(XLOOKUP($N2721,Base_Enderecos!$A:$A,Base_Enderecos!$C:$C,""),"")</f>
        <v/>
      </c>
      <c r="R2721">
        <f>IF(ISNUMBER(SEARCH("HDD",$F2721)),"HDD",IF(ISNUMBER(SEARCH("VCA",$F2721)),"VCA","MND"))</f>
        <v/>
      </c>
      <c r="T2721">
        <f>TEXT($A2721,"yyyy-mm")&amp;"|"&amp;$C2721&amp;"|"&amp;$I2721</f>
        <v/>
      </c>
    </row>
    <row r="2722">
      <c r="A2722" s="36" t="n">
        <v>46175</v>
      </c>
      <c r="B2722" t="inlineStr">
        <is>
          <t>Terça</t>
        </is>
      </c>
      <c r="C2722" t="inlineStr">
        <is>
          <t>RCE São Lucas</t>
        </is>
      </c>
      <c r="D2722" t="inlineStr">
        <is>
          <t>Fábio</t>
        </is>
      </c>
      <c r="E2722" t="inlineStr">
        <is>
          <t>Miro</t>
        </is>
      </c>
      <c r="F2722" t="inlineStr">
        <is>
          <t>VCA, PVs e Ligações; (PI 32 ao PI 60)</t>
        </is>
      </c>
      <c r="G2722" t="inlineStr">
        <is>
          <t>32</t>
        </is>
      </c>
      <c r="H2722" t="inlineStr">
        <is>
          <t>60</t>
        </is>
      </c>
      <c r="I2722" t="inlineStr">
        <is>
          <t>32 ao 60</t>
        </is>
      </c>
      <c r="J2722" t="inlineStr">
        <is>
          <t>VCA</t>
        </is>
      </c>
      <c r="K2722" t="inlineStr">
        <is>
          <t>Planejamento</t>
        </is>
      </c>
      <c r="L2722" t="inlineStr">
        <is>
          <t>PDS-Junho.docx</t>
        </is>
      </c>
      <c r="M2722">
        <f>IF($A2722="","",TEXT($A2722,"mmmm/yyyy"))</f>
        <v/>
      </c>
      <c r="P2722">
        <f>IFERROR(XLOOKUP($N2722,Base_Enderecos!$A:$A,Base_Enderecos!$B:$B,""),"")</f>
        <v/>
      </c>
      <c r="Q2722">
        <f>IFERROR(XLOOKUP($N2722,Base_Enderecos!$A:$A,Base_Enderecos!$C:$C,""),"")</f>
        <v/>
      </c>
      <c r="R2722">
        <f>IF(ISNUMBER(SEARCH("HDD",$F2722)),"HDD",IF(ISNUMBER(SEARCH("VCA",$F2722)),"VCA","MND"))</f>
        <v/>
      </c>
      <c r="T2722">
        <f>TEXT($A2722,"yyyy-mm")&amp;"|"&amp;$C2722&amp;"|"&amp;$I2722</f>
        <v/>
      </c>
    </row>
    <row r="2723">
      <c r="A2723" s="36" t="n">
        <v>46175</v>
      </c>
      <c r="B2723" t="inlineStr">
        <is>
          <t>Terça</t>
        </is>
      </c>
      <c r="C2723" t="inlineStr">
        <is>
          <t>RCE São Lucas</t>
        </is>
      </c>
      <c r="D2723" t="inlineStr">
        <is>
          <t>Fábio</t>
        </is>
      </c>
      <c r="E2723" t="inlineStr">
        <is>
          <t>Emanuel</t>
        </is>
      </c>
      <c r="F2723" t="inlineStr">
        <is>
          <t>VCA, PVs e Ligações; (PI 32 ao PI 60)</t>
        </is>
      </c>
      <c r="G2723" t="inlineStr">
        <is>
          <t>32</t>
        </is>
      </c>
      <c r="H2723" t="inlineStr">
        <is>
          <t>60</t>
        </is>
      </c>
      <c r="I2723" t="inlineStr">
        <is>
          <t>32 ao 60</t>
        </is>
      </c>
      <c r="J2723" t="inlineStr">
        <is>
          <t>VCA</t>
        </is>
      </c>
      <c r="K2723" t="inlineStr">
        <is>
          <t>Planejamento</t>
        </is>
      </c>
      <c r="L2723" t="inlineStr">
        <is>
          <t>PDS-Junho.docx</t>
        </is>
      </c>
      <c r="M2723">
        <f>IF($A2723="","",TEXT($A2723,"mmmm/yyyy"))</f>
        <v/>
      </c>
      <c r="P2723">
        <f>IFERROR(XLOOKUP($N2723,Base_Enderecos!$A:$A,Base_Enderecos!$B:$B,""),"")</f>
        <v/>
      </c>
      <c r="Q2723">
        <f>IFERROR(XLOOKUP($N2723,Base_Enderecos!$A:$A,Base_Enderecos!$C:$C,""),"")</f>
        <v/>
      </c>
      <c r="R2723">
        <f>IF(ISNUMBER(SEARCH("HDD",$F2723)),"HDD",IF(ISNUMBER(SEARCH("VCA",$F2723)),"VCA","MND"))</f>
        <v/>
      </c>
      <c r="T2723">
        <f>TEXT($A2723,"yyyy-mm")&amp;"|"&amp;$C2723&amp;"|"&amp;$I2723</f>
        <v/>
      </c>
    </row>
    <row r="2724">
      <c r="A2724" s="36" t="n">
        <v>46175</v>
      </c>
      <c r="B2724" t="inlineStr">
        <is>
          <t>Terça</t>
        </is>
      </c>
      <c r="C2724" t="inlineStr">
        <is>
          <t>RCE Rua São João</t>
        </is>
      </c>
      <c r="D2724" t="inlineStr">
        <is>
          <t>Fábio</t>
        </is>
      </c>
      <c r="E2724" t="inlineStr">
        <is>
          <t>Antonio (pv 02 Ao Pi 04)*</t>
        </is>
      </c>
      <c r="F2724" t="inlineStr">
        <is>
          <t>VCA, PVs e Ligações</t>
        </is>
      </c>
      <c r="J2724" t="inlineStr">
        <is>
          <t>VCA</t>
        </is>
      </c>
      <c r="K2724" t="inlineStr">
        <is>
          <t>Planejamento</t>
        </is>
      </c>
      <c r="L2724" t="inlineStr">
        <is>
          <t>PDS-Junho.docx</t>
        </is>
      </c>
      <c r="M2724">
        <f>IF($A2724="","",TEXT($A2724,"mmmm/yyyy"))</f>
        <v/>
      </c>
      <c r="P2724">
        <f>IFERROR(XLOOKUP($N2724,Base_Enderecos!$A:$A,Base_Enderecos!$B:$B,""),"")</f>
        <v/>
      </c>
      <c r="Q2724">
        <f>IFERROR(XLOOKUP($N2724,Base_Enderecos!$A:$A,Base_Enderecos!$C:$C,""),"")</f>
        <v/>
      </c>
      <c r="R2724">
        <f>IF(ISNUMBER(SEARCH("HDD",$F2724)),"HDD",IF(ISNUMBER(SEARCH("VCA",$F2724)),"VCA","MND"))</f>
        <v/>
      </c>
      <c r="T2724">
        <f>TEXT($A2724,"yyyy-mm")&amp;"|"&amp;$C2724&amp;"|"&amp;$I2724</f>
        <v/>
      </c>
    </row>
    <row r="2725">
      <c r="A2725" s="36" t="n">
        <v>46175</v>
      </c>
      <c r="B2725" t="inlineStr">
        <is>
          <t>Terça</t>
        </is>
      </c>
      <c r="C2725" t="inlineStr">
        <is>
          <t>CTS Lourdes Complementar</t>
        </is>
      </c>
      <c r="D2725" t="inlineStr">
        <is>
          <t>Robson</t>
        </is>
      </c>
      <c r="E2725" t="inlineStr">
        <is>
          <t>Cesar</t>
        </is>
      </c>
      <c r="F2725" t="inlineStr">
        <is>
          <t>Transformação PV 03</t>
        </is>
      </c>
      <c r="G2725" t="inlineStr">
        <is>
          <t>03</t>
        </is>
      </c>
      <c r="I2725" t="inlineStr">
        <is>
          <t>03</t>
        </is>
      </c>
      <c r="J2725" t="inlineStr">
        <is>
          <t>Transformação</t>
        </is>
      </c>
      <c r="K2725" t="inlineStr">
        <is>
          <t>Planejamento</t>
        </is>
      </c>
      <c r="L2725" t="inlineStr">
        <is>
          <t>PDS-Junho.docx</t>
        </is>
      </c>
      <c r="M2725">
        <f>IF($A2725="","",TEXT($A2725,"mmmm/yyyy"))</f>
        <v/>
      </c>
      <c r="P2725">
        <f>IFERROR(XLOOKUP($N2725,Base_Enderecos!$A:$A,Base_Enderecos!$B:$B,""),"")</f>
        <v/>
      </c>
      <c r="Q2725">
        <f>IFERROR(XLOOKUP($N2725,Base_Enderecos!$A:$A,Base_Enderecos!$C:$C,""),"")</f>
        <v/>
      </c>
      <c r="R2725">
        <f>IF(ISNUMBER(SEARCH("HDD",$F2725)),"HDD",IF(ISNUMBER(SEARCH("VCA",$F2725)),"VCA","MND"))</f>
        <v/>
      </c>
      <c r="T2725">
        <f>TEXT($A2725,"yyyy-mm")&amp;"|"&amp;$C2725&amp;"|"&amp;$I2725</f>
        <v/>
      </c>
    </row>
    <row r="2726">
      <c r="A2726" s="36" t="n">
        <v>46175</v>
      </c>
      <c r="B2726" t="inlineStr">
        <is>
          <t>Terça</t>
        </is>
      </c>
      <c r="C2726" t="inlineStr">
        <is>
          <t>CTS Lourdes Complementar</t>
        </is>
      </c>
      <c r="D2726" t="inlineStr">
        <is>
          <t>Robson</t>
        </is>
      </c>
      <c r="E2726" t="inlineStr">
        <is>
          <t>Marcelo</t>
        </is>
      </c>
      <c r="F2726" t="inlineStr">
        <is>
          <t>Transformação PV 04</t>
        </is>
      </c>
      <c r="G2726" t="inlineStr">
        <is>
          <t>04</t>
        </is>
      </c>
      <c r="I2726" t="inlineStr">
        <is>
          <t>04</t>
        </is>
      </c>
      <c r="J2726" t="inlineStr">
        <is>
          <t>Transformação</t>
        </is>
      </c>
      <c r="K2726" t="inlineStr">
        <is>
          <t>Planejamento</t>
        </is>
      </c>
      <c r="L2726" t="inlineStr">
        <is>
          <t>PDS-Junho.docx</t>
        </is>
      </c>
      <c r="M2726">
        <f>IF($A2726="","",TEXT($A2726,"mmmm/yyyy"))</f>
        <v/>
      </c>
      <c r="P2726">
        <f>IFERROR(XLOOKUP($N2726,Base_Enderecos!$A:$A,Base_Enderecos!$B:$B,""),"")</f>
        <v/>
      </c>
      <c r="Q2726">
        <f>IFERROR(XLOOKUP($N2726,Base_Enderecos!$A:$A,Base_Enderecos!$C:$C,""),"")</f>
        <v/>
      </c>
      <c r="R2726">
        <f>IF(ISNUMBER(SEARCH("HDD",$F2726)),"HDD",IF(ISNUMBER(SEARCH("VCA",$F2726)),"VCA","MND"))</f>
        <v/>
      </c>
      <c r="T2726">
        <f>TEXT($A2726,"yyyy-mm")&amp;"|"&amp;$C2726&amp;"|"&amp;$I2726</f>
        <v/>
      </c>
    </row>
    <row r="2727">
      <c r="A2727" s="36" t="n">
        <v>46175</v>
      </c>
      <c r="B2727" t="inlineStr">
        <is>
          <t>Terça</t>
        </is>
      </c>
      <c r="C2727" t="inlineStr">
        <is>
          <t>João Canzi</t>
        </is>
      </c>
      <c r="E2727" t="inlineStr">
        <is>
          <t>Vacal</t>
        </is>
      </c>
      <c r="F2727" t="inlineStr">
        <is>
          <t>João Canzi – Henko (Wellington/Thiago)</t>
        </is>
      </c>
      <c r="J2727" t="inlineStr">
        <is>
          <t>Atividade</t>
        </is>
      </c>
      <c r="K2727" t="inlineStr">
        <is>
          <t>Apoio</t>
        </is>
      </c>
      <c r="L2727" t="inlineStr">
        <is>
          <t>PDS-Junho.docx</t>
        </is>
      </c>
      <c r="M2727">
        <f>IF($A2727="","",TEXT($A2727,"mmmm/yyyy"))</f>
        <v/>
      </c>
      <c r="P2727">
        <f>IFERROR(XLOOKUP($N2727,Base_Enderecos!$A:$A,Base_Enderecos!$B:$B,""),"")</f>
        <v/>
      </c>
      <c r="Q2727">
        <f>IFERROR(XLOOKUP($N2727,Base_Enderecos!$A:$A,Base_Enderecos!$C:$C,""),"")</f>
        <v/>
      </c>
      <c r="R2727">
        <f>IF(ISNUMBER(SEARCH("HDD",$F2727)),"HDD",IF(ISNUMBER(SEARCH("VCA",$F2727)),"VCA","MND"))</f>
        <v/>
      </c>
      <c r="T2727">
        <f>TEXT($A2727,"yyyy-mm")&amp;"|"&amp;$C2727&amp;"|"&amp;$I2727</f>
        <v/>
      </c>
    </row>
    <row r="2728">
      <c r="A2728" s="36" t="n">
        <v>46175</v>
      </c>
      <c r="B2728" t="inlineStr">
        <is>
          <t>Terça</t>
        </is>
      </c>
      <c r="C2728" t="inlineStr">
        <is>
          <t>João Canzi</t>
        </is>
      </c>
      <c r="E2728" t="inlineStr">
        <is>
          <t>Vacal</t>
        </is>
      </c>
      <c r="F2728" t="inlineStr">
        <is>
          <t>João Canzi – Renasce (Raimundo)</t>
        </is>
      </c>
      <c r="J2728" t="inlineStr">
        <is>
          <t>Atividade</t>
        </is>
      </c>
      <c r="K2728" t="inlineStr">
        <is>
          <t>Apoio</t>
        </is>
      </c>
      <c r="L2728" t="inlineStr">
        <is>
          <t>PDS-Junho.docx</t>
        </is>
      </c>
      <c r="M2728">
        <f>IF($A2728="","",TEXT($A2728,"mmmm/yyyy"))</f>
        <v/>
      </c>
      <c r="P2728">
        <f>IFERROR(XLOOKUP($N2728,Base_Enderecos!$A:$A,Base_Enderecos!$B:$B,""),"")</f>
        <v/>
      </c>
      <c r="Q2728">
        <f>IFERROR(XLOOKUP($N2728,Base_Enderecos!$A:$A,Base_Enderecos!$C:$C,""),"")</f>
        <v/>
      </c>
      <c r="R2728">
        <f>IF(ISNUMBER(SEARCH("HDD",$F2728)),"HDD",IF(ISNUMBER(SEARCH("VCA",$F2728)),"VCA","MND"))</f>
        <v/>
      </c>
      <c r="T2728">
        <f>TEXT($A2728,"yyyy-mm")&amp;"|"&amp;$C2728&amp;"|"&amp;$I2728</f>
        <v/>
      </c>
    </row>
    <row r="2729">
      <c r="A2729" s="36" t="n">
        <v>46175</v>
      </c>
      <c r="B2729" t="inlineStr">
        <is>
          <t>Terça</t>
        </is>
      </c>
      <c r="C2729" t="inlineStr">
        <is>
          <t>João Canzi</t>
        </is>
      </c>
      <c r="E2729" t="inlineStr">
        <is>
          <t>Vacal</t>
        </is>
      </c>
      <c r="F2729" t="inlineStr">
        <is>
          <t>João Canzi – Hidrosol (Jonathan)</t>
        </is>
      </c>
      <c r="J2729" t="inlineStr">
        <is>
          <t>Atividade</t>
        </is>
      </c>
      <c r="K2729" t="inlineStr">
        <is>
          <t>Apoio</t>
        </is>
      </c>
      <c r="L2729" t="inlineStr">
        <is>
          <t>PDS-Junho.docx</t>
        </is>
      </c>
      <c r="M2729">
        <f>IF($A2729="","",TEXT($A2729,"mmmm/yyyy"))</f>
        <v/>
      </c>
      <c r="P2729">
        <f>IFERROR(XLOOKUP($N2729,Base_Enderecos!$A:$A,Base_Enderecos!$B:$B,""),"")</f>
        <v/>
      </c>
      <c r="Q2729">
        <f>IFERROR(XLOOKUP($N2729,Base_Enderecos!$A:$A,Base_Enderecos!$C:$C,""),"")</f>
        <v/>
      </c>
      <c r="R2729">
        <f>IF(ISNUMBER(SEARCH("HDD",$F2729)),"HDD",IF(ISNUMBER(SEARCH("VCA",$F2729)),"VCA","MND"))</f>
        <v/>
      </c>
      <c r="T2729">
        <f>TEXT($A2729,"yyyy-mm")&amp;"|"&amp;$C2729&amp;"|"&amp;$I2729</f>
        <v/>
      </c>
    </row>
    <row r="2730">
      <c r="A2730" s="36" t="n">
        <v>46175</v>
      </c>
      <c r="B2730" t="inlineStr">
        <is>
          <t>Terça</t>
        </is>
      </c>
      <c r="C2730" t="inlineStr">
        <is>
          <t>Lourdes</t>
        </is>
      </c>
      <c r="E2730" t="inlineStr">
        <is>
          <t>Vacal</t>
        </is>
      </c>
      <c r="F2730" t="inlineStr">
        <is>
          <t>Lourdes – Henko (Marcio)</t>
        </is>
      </c>
      <c r="J2730" t="inlineStr">
        <is>
          <t>Atividade</t>
        </is>
      </c>
      <c r="K2730" t="inlineStr">
        <is>
          <t>Apoio</t>
        </is>
      </c>
      <c r="L2730" t="inlineStr">
        <is>
          <t>PDS-Junho.docx</t>
        </is>
      </c>
      <c r="M2730">
        <f>IF($A2730="","",TEXT($A2730,"mmmm/yyyy"))</f>
        <v/>
      </c>
      <c r="P2730">
        <f>IFERROR(XLOOKUP($N2730,Base_Enderecos!$A:$A,Base_Enderecos!$B:$B,""),"")</f>
        <v/>
      </c>
      <c r="Q2730">
        <f>IFERROR(XLOOKUP($N2730,Base_Enderecos!$A:$A,Base_Enderecos!$C:$C,""),"")</f>
        <v/>
      </c>
      <c r="R2730">
        <f>IF(ISNUMBER(SEARCH("HDD",$F2730)),"HDD",IF(ISNUMBER(SEARCH("VCA",$F2730)),"VCA","MND"))</f>
        <v/>
      </c>
      <c r="T2730">
        <f>TEXT($A2730,"yyyy-mm")&amp;"|"&amp;$C2730&amp;"|"&amp;$I2730</f>
        <v/>
      </c>
    </row>
    <row r="2731">
      <c r="A2731" s="36" t="n">
        <v>46175</v>
      </c>
      <c r="B2731" t="inlineStr">
        <is>
          <t>Terça</t>
        </is>
      </c>
      <c r="C2731" t="inlineStr">
        <is>
          <t>Iti 15</t>
        </is>
      </c>
      <c r="E2731" t="inlineStr">
        <is>
          <t>Vacal</t>
        </is>
      </c>
      <c r="F2731" t="inlineStr">
        <is>
          <t>ITI 15 – Henko (Osmar)</t>
        </is>
      </c>
      <c r="J2731" t="inlineStr">
        <is>
          <t>Atividade</t>
        </is>
      </c>
      <c r="K2731" t="inlineStr">
        <is>
          <t>Apoio</t>
        </is>
      </c>
      <c r="L2731" t="inlineStr">
        <is>
          <t>PDS-Junho.docx</t>
        </is>
      </c>
      <c r="M2731">
        <f>IF($A2731="","",TEXT($A2731,"mmmm/yyyy"))</f>
        <v/>
      </c>
      <c r="P2731">
        <f>IFERROR(XLOOKUP($N2731,Base_Enderecos!$A:$A,Base_Enderecos!$B:$B,""),"")</f>
        <v/>
      </c>
      <c r="Q2731">
        <f>IFERROR(XLOOKUP($N2731,Base_Enderecos!$A:$A,Base_Enderecos!$C:$C,""),"")</f>
        <v/>
      </c>
      <c r="R2731">
        <f>IF(ISNUMBER(SEARCH("HDD",$F2731)),"HDD",IF(ISNUMBER(SEARCH("VCA",$F2731)),"VCA","MND"))</f>
        <v/>
      </c>
      <c r="T2731">
        <f>TEXT($A2731,"yyyy-mm")&amp;"|"&amp;$C2731&amp;"|"&amp;$I2731</f>
        <v/>
      </c>
    </row>
    <row r="2732">
      <c r="A2732" s="36" t="n">
        <v>46175</v>
      </c>
      <c r="B2732" t="inlineStr">
        <is>
          <t>Terça</t>
        </is>
      </c>
      <c r="C2732" t="inlineStr">
        <is>
          <t>Guindauto</t>
        </is>
      </c>
      <c r="E2732" t="inlineStr">
        <is>
          <t>Guindauto</t>
        </is>
      </c>
      <c r="F2732" t="inlineStr">
        <is>
          <t>Marcio - Apoio as equipes</t>
        </is>
      </c>
      <c r="J2732" t="inlineStr">
        <is>
          <t>Atividade</t>
        </is>
      </c>
      <c r="K2732" t="inlineStr">
        <is>
          <t>Apoio</t>
        </is>
      </c>
      <c r="L2732" t="inlineStr">
        <is>
          <t>PDS-Junho.docx</t>
        </is>
      </c>
      <c r="M2732">
        <f>IF($A2732="","",TEXT($A2732,"mmmm/yyyy"))</f>
        <v/>
      </c>
      <c r="P2732">
        <f>IFERROR(XLOOKUP($N2732,Base_Enderecos!$A:$A,Base_Enderecos!$B:$B,""),"")</f>
        <v/>
      </c>
      <c r="Q2732">
        <f>IFERROR(XLOOKUP($N2732,Base_Enderecos!$A:$A,Base_Enderecos!$C:$C,""),"")</f>
        <v/>
      </c>
      <c r="R2732">
        <f>IF(ISNUMBER(SEARCH("HDD",$F2732)),"HDD",IF(ISNUMBER(SEARCH("VCA",$F2732)),"VCA","MND"))</f>
        <v/>
      </c>
      <c r="T2732">
        <f>TEXT($A2732,"yyyy-mm")&amp;"|"&amp;$C2732&amp;"|"&amp;$I2732</f>
        <v/>
      </c>
    </row>
    <row r="2733">
      <c r="A2733" s="36" t="n">
        <v>46175</v>
      </c>
      <c r="B2733" t="inlineStr">
        <is>
          <t>Terça</t>
        </is>
      </c>
      <c r="C2733" t="inlineStr">
        <is>
          <t>Guindauto</t>
        </is>
      </c>
      <c r="E2733" t="inlineStr">
        <is>
          <t>Guindauto</t>
        </is>
      </c>
      <c r="F2733" t="inlineStr">
        <is>
          <t>Luiz - Apoio as equipes</t>
        </is>
      </c>
      <c r="J2733" t="inlineStr">
        <is>
          <t>Atividade</t>
        </is>
      </c>
      <c r="K2733" t="inlineStr">
        <is>
          <t>Apoio</t>
        </is>
      </c>
      <c r="L2733" t="inlineStr">
        <is>
          <t>PDS-Junho.docx</t>
        </is>
      </c>
      <c r="M2733">
        <f>IF($A2733="","",TEXT($A2733,"mmmm/yyyy"))</f>
        <v/>
      </c>
      <c r="P2733">
        <f>IFERROR(XLOOKUP($N2733,Base_Enderecos!$A:$A,Base_Enderecos!$B:$B,""),"")</f>
        <v/>
      </c>
      <c r="Q2733">
        <f>IFERROR(XLOOKUP($N2733,Base_Enderecos!$A:$A,Base_Enderecos!$C:$C,""),"")</f>
        <v/>
      </c>
      <c r="R2733">
        <f>IF(ISNUMBER(SEARCH("HDD",$F2733)),"HDD",IF(ISNUMBER(SEARCH("VCA",$F2733)),"VCA","MND"))</f>
        <v/>
      </c>
      <c r="T2733">
        <f>TEXT($A2733,"yyyy-mm")&amp;"|"&amp;$C2733&amp;"|"&amp;$I2733</f>
        <v/>
      </c>
    </row>
    <row r="2734">
      <c r="A2734" s="36" t="n">
        <v>46182</v>
      </c>
      <c r="B2734" t="inlineStr">
        <is>
          <t>Terça</t>
        </is>
      </c>
      <c r="C2734" t="inlineStr">
        <is>
          <t>CT João Canzi</t>
        </is>
      </c>
      <c r="D2734" t="inlineStr">
        <is>
          <t>Valmir</t>
        </is>
      </c>
      <c r="E2734" t="inlineStr">
        <is>
          <t>Goiânia Drill</t>
        </is>
      </c>
      <c r="F2734" t="inlineStr">
        <is>
          <t>Piloto e Puxe do PV-19 ao PV-20</t>
        </is>
      </c>
      <c r="G2734" t="inlineStr">
        <is>
          <t>19</t>
        </is>
      </c>
      <c r="H2734" t="inlineStr">
        <is>
          <t>20</t>
        </is>
      </c>
      <c r="I2734" t="inlineStr">
        <is>
          <t>19 ao 20</t>
        </is>
      </c>
      <c r="J2734" t="inlineStr">
        <is>
          <t>HDD</t>
        </is>
      </c>
      <c r="K2734" t="inlineStr">
        <is>
          <t>Planejamento</t>
        </is>
      </c>
      <c r="L2734" t="inlineStr">
        <is>
          <t>PDS-Junho.docx</t>
        </is>
      </c>
      <c r="M2734">
        <f>IF($A2734="","",TEXT($A2734,"mmmm/yyyy"))</f>
        <v/>
      </c>
      <c r="P2734">
        <f>IFERROR(XLOOKUP($N2734,Base_Enderecos!$A:$A,Base_Enderecos!$B:$B,""),"")</f>
        <v/>
      </c>
      <c r="Q2734">
        <f>IFERROR(XLOOKUP($N2734,Base_Enderecos!$A:$A,Base_Enderecos!$C:$C,""),"")</f>
        <v/>
      </c>
      <c r="R2734">
        <f>IF(ISNUMBER(SEARCH("HDD",$F2734)),"HDD",IF(ISNUMBER(SEARCH("VCA",$F2734)),"VCA","MND"))</f>
        <v/>
      </c>
      <c r="T2734">
        <f>TEXT($A2734,"yyyy-mm")&amp;"|"&amp;$C2734&amp;"|"&amp;$I2734</f>
        <v/>
      </c>
    </row>
    <row r="2735">
      <c r="A2735" s="36" t="n">
        <v>46182</v>
      </c>
      <c r="B2735" t="inlineStr">
        <is>
          <t>Terça</t>
        </is>
      </c>
      <c r="C2735" t="inlineStr">
        <is>
          <t>CT João Canzi</t>
        </is>
      </c>
      <c r="D2735" t="inlineStr">
        <is>
          <t>Valmir</t>
        </is>
      </c>
      <c r="E2735" t="inlineStr">
        <is>
          <t>Bruno</t>
        </is>
      </c>
      <c r="F2735" t="inlineStr">
        <is>
          <t>Apoio ao HDD</t>
        </is>
      </c>
      <c r="J2735" t="inlineStr">
        <is>
          <t>HDD</t>
        </is>
      </c>
      <c r="K2735" t="inlineStr">
        <is>
          <t>Planejamento</t>
        </is>
      </c>
      <c r="L2735" t="inlineStr">
        <is>
          <t>PDS-Junho.docx</t>
        </is>
      </c>
      <c r="M2735">
        <f>IF($A2735="","",TEXT($A2735,"mmmm/yyyy"))</f>
        <v/>
      </c>
      <c r="P2735">
        <f>IFERROR(XLOOKUP($N2735,Base_Enderecos!$A:$A,Base_Enderecos!$B:$B,""),"")</f>
        <v/>
      </c>
      <c r="Q2735">
        <f>IFERROR(XLOOKUP($N2735,Base_Enderecos!$A:$A,Base_Enderecos!$C:$C,""),"")</f>
        <v/>
      </c>
      <c r="R2735">
        <f>IF(ISNUMBER(SEARCH("HDD",$F2735)),"HDD",IF(ISNUMBER(SEARCH("VCA",$F2735)),"VCA","MND"))</f>
        <v/>
      </c>
      <c r="T2735">
        <f>TEXT($A2735,"yyyy-mm")&amp;"|"&amp;$C2735&amp;"|"&amp;$I2735</f>
        <v/>
      </c>
    </row>
    <row r="2736">
      <c r="A2736" s="36" t="n">
        <v>46182</v>
      </c>
      <c r="B2736" t="inlineStr">
        <is>
          <t>Terça</t>
        </is>
      </c>
      <c r="C2736" t="inlineStr">
        <is>
          <t>CT João Canzi</t>
        </is>
      </c>
      <c r="D2736" t="inlineStr">
        <is>
          <t>Valmir</t>
        </is>
      </c>
      <c r="E2736" t="inlineStr">
        <is>
          <t>Medeiros</t>
        </is>
      </c>
      <c r="F2736" t="inlineStr">
        <is>
          <t>Reaterro Shaft PV 10.1</t>
        </is>
      </c>
      <c r="G2736" t="inlineStr">
        <is>
          <t>10.1</t>
        </is>
      </c>
      <c r="I2736" t="inlineStr">
        <is>
          <t>10.1</t>
        </is>
      </c>
      <c r="J2736" t="inlineStr">
        <is>
          <t>Shaft</t>
        </is>
      </c>
      <c r="K2736" t="inlineStr">
        <is>
          <t>Planejamento</t>
        </is>
      </c>
      <c r="L2736" t="inlineStr">
        <is>
          <t>PDS-Junho.docx</t>
        </is>
      </c>
      <c r="M2736">
        <f>IF($A2736="","",TEXT($A2736,"mmmm/yyyy"))</f>
        <v/>
      </c>
      <c r="P2736">
        <f>IFERROR(XLOOKUP($N2736,Base_Enderecos!$A:$A,Base_Enderecos!$B:$B,""),"")</f>
        <v/>
      </c>
      <c r="Q2736">
        <f>IFERROR(XLOOKUP($N2736,Base_Enderecos!$A:$A,Base_Enderecos!$C:$C,""),"")</f>
        <v/>
      </c>
      <c r="R2736">
        <f>IF(ISNUMBER(SEARCH("HDD",$F2736)),"HDD",IF(ISNUMBER(SEARCH("VCA",$F2736)),"VCA","MND"))</f>
        <v/>
      </c>
      <c r="T2736">
        <f>TEXT($A2736,"yyyy-mm")&amp;"|"&amp;$C2736&amp;"|"&amp;$I2736</f>
        <v/>
      </c>
    </row>
    <row r="2737">
      <c r="A2737" s="36" t="n">
        <v>46182</v>
      </c>
      <c r="B2737" t="inlineStr">
        <is>
          <t>Terça</t>
        </is>
      </c>
      <c r="C2737" t="inlineStr">
        <is>
          <t>CT João Canzi</t>
        </is>
      </c>
      <c r="D2737" t="inlineStr">
        <is>
          <t>Valmir</t>
        </is>
      </c>
      <c r="E2737" t="inlineStr">
        <is>
          <t>Márcio</t>
        </is>
      </c>
      <c r="F2737" t="inlineStr">
        <is>
          <t>Transformação PV 10</t>
        </is>
      </c>
      <c r="G2737" t="inlineStr">
        <is>
          <t>10</t>
        </is>
      </c>
      <c r="I2737" t="inlineStr">
        <is>
          <t>10</t>
        </is>
      </c>
      <c r="J2737" t="inlineStr">
        <is>
          <t>Transformação</t>
        </is>
      </c>
      <c r="K2737" t="inlineStr">
        <is>
          <t>Planejamento</t>
        </is>
      </c>
      <c r="L2737" t="inlineStr">
        <is>
          <t>PDS-Junho.docx</t>
        </is>
      </c>
      <c r="M2737">
        <f>IF($A2737="","",TEXT($A2737,"mmmm/yyyy"))</f>
        <v/>
      </c>
      <c r="P2737">
        <f>IFERROR(XLOOKUP($N2737,Base_Enderecos!$A:$A,Base_Enderecos!$B:$B,""),"")</f>
        <v/>
      </c>
      <c r="Q2737">
        <f>IFERROR(XLOOKUP($N2737,Base_Enderecos!$A:$A,Base_Enderecos!$C:$C,""),"")</f>
        <v/>
      </c>
      <c r="R2737">
        <f>IF(ISNUMBER(SEARCH("HDD",$F2737)),"HDD",IF(ISNUMBER(SEARCH("VCA",$F2737)),"VCA","MND"))</f>
        <v/>
      </c>
      <c r="T2737">
        <f>TEXT($A2737,"yyyy-mm")&amp;"|"&amp;$C2737&amp;"|"&amp;$I2737</f>
        <v/>
      </c>
    </row>
    <row r="2738">
      <c r="A2738" s="36" t="n">
        <v>46182</v>
      </c>
      <c r="B2738" t="inlineStr">
        <is>
          <t>Terça</t>
        </is>
      </c>
      <c r="C2738" t="inlineStr">
        <is>
          <t>RCE Elvira</t>
        </is>
      </c>
      <c r="D2738" t="inlineStr">
        <is>
          <t>Silvestre</t>
        </is>
      </c>
      <c r="E2738" t="inlineStr">
        <is>
          <t>Valter</t>
        </is>
      </c>
      <c r="F2738" t="inlineStr">
        <is>
          <t>VCA, PVs e Ligações</t>
        </is>
      </c>
      <c r="J2738" t="inlineStr">
        <is>
          <t>VCA</t>
        </is>
      </c>
      <c r="K2738" t="inlineStr">
        <is>
          <t>Planejamento</t>
        </is>
      </c>
      <c r="L2738" t="inlineStr">
        <is>
          <t>PDS-Junho.docx</t>
        </is>
      </c>
      <c r="M2738">
        <f>IF($A2738="","",TEXT($A2738,"mmmm/yyyy"))</f>
        <v/>
      </c>
      <c r="P2738">
        <f>IFERROR(XLOOKUP($N2738,Base_Enderecos!$A:$A,Base_Enderecos!$B:$B,""),"")</f>
        <v/>
      </c>
      <c r="Q2738">
        <f>IFERROR(XLOOKUP($N2738,Base_Enderecos!$A:$A,Base_Enderecos!$C:$C,""),"")</f>
        <v/>
      </c>
      <c r="R2738">
        <f>IF(ISNUMBER(SEARCH("HDD",$F2738)),"HDD",IF(ISNUMBER(SEARCH("VCA",$F2738)),"VCA","MND"))</f>
        <v/>
      </c>
      <c r="T2738">
        <f>TEXT($A2738,"yyyy-mm")&amp;"|"&amp;$C2738&amp;"|"&amp;$I2738</f>
        <v/>
      </c>
    </row>
    <row r="2739">
      <c r="A2739" s="36" t="n">
        <v>46182</v>
      </c>
      <c r="B2739" t="inlineStr">
        <is>
          <t>Terça</t>
        </is>
      </c>
      <c r="C2739" t="inlineStr">
        <is>
          <t>RCE Elias Sleiman / CT João Canzi</t>
        </is>
      </c>
      <c r="D2739" t="inlineStr">
        <is>
          <t>Silvestre</t>
        </is>
      </c>
      <c r="E2739" t="inlineStr">
        <is>
          <t>Edvando</t>
        </is>
      </c>
      <c r="F2739" t="inlineStr">
        <is>
          <t>VCA PV 22 ao PV 23</t>
        </is>
      </c>
      <c r="G2739" t="inlineStr">
        <is>
          <t>22</t>
        </is>
      </c>
      <c r="H2739" t="inlineStr">
        <is>
          <t>23</t>
        </is>
      </c>
      <c r="I2739" t="inlineStr">
        <is>
          <t>22 ao 23</t>
        </is>
      </c>
      <c r="J2739" t="inlineStr">
        <is>
          <t>VCA</t>
        </is>
      </c>
      <c r="K2739" t="inlineStr">
        <is>
          <t>Planejamento</t>
        </is>
      </c>
      <c r="L2739" t="inlineStr">
        <is>
          <t>PDS-Junho.docx</t>
        </is>
      </c>
      <c r="M2739">
        <f>IF($A2739="","",TEXT($A2739,"mmmm/yyyy"))</f>
        <v/>
      </c>
      <c r="P2739">
        <f>IFERROR(XLOOKUP($N2739,Base_Enderecos!$A:$A,Base_Enderecos!$B:$B,""),"")</f>
        <v/>
      </c>
      <c r="Q2739">
        <f>IFERROR(XLOOKUP($N2739,Base_Enderecos!$A:$A,Base_Enderecos!$C:$C,""),"")</f>
        <v/>
      </c>
      <c r="R2739">
        <f>IF(ISNUMBER(SEARCH("HDD",$F2739)),"HDD",IF(ISNUMBER(SEARCH("VCA",$F2739)),"VCA","MND"))</f>
        <v/>
      </c>
      <c r="T2739">
        <f>TEXT($A2739,"yyyy-mm")&amp;"|"&amp;$C2739&amp;"|"&amp;$I2739</f>
        <v/>
      </c>
    </row>
    <row r="2740">
      <c r="A2740" s="36" t="n">
        <v>46182</v>
      </c>
      <c r="B2740" t="inlineStr">
        <is>
          <t>Terça</t>
        </is>
      </c>
      <c r="C2740" t="inlineStr">
        <is>
          <t>RCE Conj. União</t>
        </is>
      </c>
      <c r="D2740" t="inlineStr">
        <is>
          <t>Caroline</t>
        </is>
      </c>
      <c r="E2740" t="inlineStr">
        <is>
          <t>Jhonatan</t>
        </is>
      </c>
      <c r="F2740" t="inlineStr">
        <is>
          <t>Shaft PV 48</t>
        </is>
      </c>
      <c r="G2740" t="inlineStr">
        <is>
          <t>48</t>
        </is>
      </c>
      <c r="I2740" t="inlineStr">
        <is>
          <t>48</t>
        </is>
      </c>
      <c r="J2740" t="inlineStr">
        <is>
          <t>Shaft</t>
        </is>
      </c>
      <c r="K2740" t="inlineStr">
        <is>
          <t>Planejamento</t>
        </is>
      </c>
      <c r="L2740" t="inlineStr">
        <is>
          <t>PDS-Junho.docx</t>
        </is>
      </c>
      <c r="M2740">
        <f>IF($A2740="","",TEXT($A2740,"mmmm/yyyy"))</f>
        <v/>
      </c>
      <c r="P2740">
        <f>IFERROR(XLOOKUP($N2740,Base_Enderecos!$A:$A,Base_Enderecos!$B:$B,""),"")</f>
        <v/>
      </c>
      <c r="Q2740">
        <f>IFERROR(XLOOKUP($N2740,Base_Enderecos!$A:$A,Base_Enderecos!$C:$C,""),"")</f>
        <v/>
      </c>
      <c r="R2740">
        <f>IF(ISNUMBER(SEARCH("HDD",$F2740)),"HDD",IF(ISNUMBER(SEARCH("VCA",$F2740)),"VCA","MND"))</f>
        <v/>
      </c>
      <c r="T2740">
        <f>TEXT($A2740,"yyyy-mm")&amp;"|"&amp;$C2740&amp;"|"&amp;$I2740</f>
        <v/>
      </c>
    </row>
    <row r="2741">
      <c r="A2741" s="36" t="n">
        <v>46182</v>
      </c>
      <c r="B2741" t="inlineStr">
        <is>
          <t>Terça</t>
        </is>
      </c>
      <c r="C2741" t="inlineStr">
        <is>
          <t>RCE Américo Machado/elis Regina</t>
        </is>
      </c>
      <c r="D2741" t="inlineStr">
        <is>
          <t>Caroline</t>
        </is>
      </c>
      <c r="E2741" t="inlineStr">
        <is>
          <t>Cesar</t>
        </is>
      </c>
      <c r="F2741" t="inlineStr">
        <is>
          <t>Shaft PV 01</t>
        </is>
      </c>
      <c r="G2741" t="inlineStr">
        <is>
          <t>01</t>
        </is>
      </c>
      <c r="I2741" t="inlineStr">
        <is>
          <t>01</t>
        </is>
      </c>
      <c r="J2741" t="inlineStr">
        <is>
          <t>Shaft</t>
        </is>
      </c>
      <c r="K2741" t="inlineStr">
        <is>
          <t>Planejamento</t>
        </is>
      </c>
      <c r="L2741" t="inlineStr">
        <is>
          <t>PDS-Junho.docx</t>
        </is>
      </c>
      <c r="M2741">
        <f>IF($A2741="","",TEXT($A2741,"mmmm/yyyy"))</f>
        <v/>
      </c>
      <c r="P2741">
        <f>IFERROR(XLOOKUP($N2741,Base_Enderecos!$A:$A,Base_Enderecos!$B:$B,""),"")</f>
        <v/>
      </c>
      <c r="Q2741">
        <f>IFERROR(XLOOKUP($N2741,Base_Enderecos!$A:$A,Base_Enderecos!$C:$C,""),"")</f>
        <v/>
      </c>
      <c r="R2741">
        <f>IF(ISNUMBER(SEARCH("HDD",$F2741)),"HDD",IF(ISNUMBER(SEARCH("VCA",$F2741)),"VCA","MND"))</f>
        <v/>
      </c>
      <c r="T2741">
        <f>TEXT($A2741,"yyyy-mm")&amp;"|"&amp;$C2741&amp;"|"&amp;$I2741</f>
        <v/>
      </c>
    </row>
    <row r="2742">
      <c r="A2742" s="36" t="n">
        <v>46182</v>
      </c>
      <c r="B2742" t="inlineStr">
        <is>
          <t>Terça</t>
        </is>
      </c>
      <c r="C2742" t="inlineStr">
        <is>
          <t>CTS Lourdes Complementar</t>
        </is>
      </c>
      <c r="D2742" t="inlineStr">
        <is>
          <t>Robson</t>
        </is>
      </c>
      <c r="E2742" t="inlineStr">
        <is>
          <t>Marcelo</t>
        </is>
      </c>
      <c r="F2742" t="inlineStr">
        <is>
          <t>Transformação PV 05 + Interligação</t>
        </is>
      </c>
      <c r="G2742" t="inlineStr">
        <is>
          <t>05</t>
        </is>
      </c>
      <c r="I2742" t="inlineStr">
        <is>
          <t>05</t>
        </is>
      </c>
      <c r="J2742" t="inlineStr">
        <is>
          <t>Transformação</t>
        </is>
      </c>
      <c r="K2742" t="inlineStr">
        <is>
          <t>Planejamento</t>
        </is>
      </c>
      <c r="L2742" t="inlineStr">
        <is>
          <t>PDS-Junho.docx</t>
        </is>
      </c>
      <c r="M2742">
        <f>IF($A2742="","",TEXT($A2742,"mmmm/yyyy"))</f>
        <v/>
      </c>
      <c r="P2742">
        <f>IFERROR(XLOOKUP($N2742,Base_Enderecos!$A:$A,Base_Enderecos!$B:$B,""),"")</f>
        <v/>
      </c>
      <c r="Q2742">
        <f>IFERROR(XLOOKUP($N2742,Base_Enderecos!$A:$A,Base_Enderecos!$C:$C,""),"")</f>
        <v/>
      </c>
      <c r="R2742">
        <f>IF(ISNUMBER(SEARCH("HDD",$F2742)),"HDD",IF(ISNUMBER(SEARCH("VCA",$F2742)),"VCA","MND"))</f>
        <v/>
      </c>
      <c r="T2742">
        <f>TEXT($A2742,"yyyy-mm")&amp;"|"&amp;$C2742&amp;"|"&amp;$I2742</f>
        <v/>
      </c>
    </row>
    <row r="2743">
      <c r="A2743" s="36" t="n">
        <v>46182</v>
      </c>
      <c r="B2743" t="inlineStr">
        <is>
          <t>Terça</t>
        </is>
      </c>
      <c r="C2743" t="inlineStr">
        <is>
          <t>RCE São Lucas</t>
        </is>
      </c>
      <c r="D2743" t="inlineStr">
        <is>
          <t>Fábio</t>
        </is>
      </c>
      <c r="E2743" t="inlineStr">
        <is>
          <t>Ricardo (pi 08 Ao Pi 09)</t>
        </is>
      </c>
      <c r="F2743" t="inlineStr">
        <is>
          <t>VCA, PVs e Ligações</t>
        </is>
      </c>
      <c r="J2743" t="inlineStr">
        <is>
          <t>VCA</t>
        </is>
      </c>
      <c r="K2743" t="inlineStr">
        <is>
          <t>Planejamento</t>
        </is>
      </c>
      <c r="L2743" t="inlineStr">
        <is>
          <t>PDS-Junho.docx</t>
        </is>
      </c>
      <c r="M2743">
        <f>IF($A2743="","",TEXT($A2743,"mmmm/yyyy"))</f>
        <v/>
      </c>
      <c r="P2743">
        <f>IFERROR(XLOOKUP($N2743,Base_Enderecos!$A:$A,Base_Enderecos!$B:$B,""),"")</f>
        <v/>
      </c>
      <c r="Q2743">
        <f>IFERROR(XLOOKUP($N2743,Base_Enderecos!$A:$A,Base_Enderecos!$C:$C,""),"")</f>
        <v/>
      </c>
      <c r="R2743">
        <f>IF(ISNUMBER(SEARCH("HDD",$F2743)),"HDD",IF(ISNUMBER(SEARCH("VCA",$F2743)),"VCA","MND"))</f>
        <v/>
      </c>
      <c r="T2743">
        <f>TEXT($A2743,"yyyy-mm")&amp;"|"&amp;$C2743&amp;"|"&amp;$I2743</f>
        <v/>
      </c>
    </row>
    <row r="2744">
      <c r="A2744" s="36" t="n">
        <v>46182</v>
      </c>
      <c r="B2744" t="inlineStr">
        <is>
          <t>Terça</t>
        </is>
      </c>
      <c r="C2744" t="inlineStr">
        <is>
          <t>RCE São Lucas</t>
        </is>
      </c>
      <c r="D2744" t="inlineStr">
        <is>
          <t>Fábio</t>
        </is>
      </c>
      <c r="E2744" t="inlineStr">
        <is>
          <t>Claudinei (pi 38 Ao Pi 81)</t>
        </is>
      </c>
      <c r="F2744" t="inlineStr">
        <is>
          <t>VCA, PVs e Ligações</t>
        </is>
      </c>
      <c r="J2744" t="inlineStr">
        <is>
          <t>VCA</t>
        </is>
      </c>
      <c r="K2744" t="inlineStr">
        <is>
          <t>Planejamento</t>
        </is>
      </c>
      <c r="L2744" t="inlineStr">
        <is>
          <t>PDS-Junho.docx</t>
        </is>
      </c>
      <c r="M2744">
        <f>IF($A2744="","",TEXT($A2744,"mmmm/yyyy"))</f>
        <v/>
      </c>
      <c r="P2744">
        <f>IFERROR(XLOOKUP($N2744,Base_Enderecos!$A:$A,Base_Enderecos!$B:$B,""),"")</f>
        <v/>
      </c>
      <c r="Q2744">
        <f>IFERROR(XLOOKUP($N2744,Base_Enderecos!$A:$A,Base_Enderecos!$C:$C,""),"")</f>
        <v/>
      </c>
      <c r="R2744">
        <f>IF(ISNUMBER(SEARCH("HDD",$F2744)),"HDD",IF(ISNUMBER(SEARCH("VCA",$F2744)),"VCA","MND"))</f>
        <v/>
      </c>
      <c r="T2744">
        <f>TEXT($A2744,"yyyy-mm")&amp;"|"&amp;$C2744&amp;"|"&amp;$I2744</f>
        <v/>
      </c>
    </row>
    <row r="2745">
      <c r="A2745" s="36" t="n">
        <v>46182</v>
      </c>
      <c r="B2745" t="inlineStr">
        <is>
          <t>Terça</t>
        </is>
      </c>
      <c r="C2745" t="inlineStr">
        <is>
          <t>RCE São Lucas</t>
        </is>
      </c>
      <c r="D2745" t="inlineStr">
        <is>
          <t>Fábio</t>
        </is>
      </c>
      <c r="E2745" t="inlineStr">
        <is>
          <t>Miro (pi 60 Ao Pi 61)</t>
        </is>
      </c>
      <c r="F2745" t="inlineStr">
        <is>
          <t>VCA, PVs e Ligações</t>
        </is>
      </c>
      <c r="J2745" t="inlineStr">
        <is>
          <t>VCA</t>
        </is>
      </c>
      <c r="K2745" t="inlineStr">
        <is>
          <t>Planejamento</t>
        </is>
      </c>
      <c r="L2745" t="inlineStr">
        <is>
          <t>PDS-Junho.docx</t>
        </is>
      </c>
      <c r="M2745">
        <f>IF($A2745="","",TEXT($A2745,"mmmm/yyyy"))</f>
        <v/>
      </c>
      <c r="P2745">
        <f>IFERROR(XLOOKUP($N2745,Base_Enderecos!$A:$A,Base_Enderecos!$B:$B,""),"")</f>
        <v/>
      </c>
      <c r="Q2745">
        <f>IFERROR(XLOOKUP($N2745,Base_Enderecos!$A:$A,Base_Enderecos!$C:$C,""),"")</f>
        <v/>
      </c>
      <c r="R2745">
        <f>IF(ISNUMBER(SEARCH("HDD",$F2745)),"HDD",IF(ISNUMBER(SEARCH("VCA",$F2745)),"VCA","MND"))</f>
        <v/>
      </c>
      <c r="T2745">
        <f>TEXT($A2745,"yyyy-mm")&amp;"|"&amp;$C2745&amp;"|"&amp;$I2745</f>
        <v/>
      </c>
    </row>
    <row r="2746">
      <c r="A2746" s="36" t="n">
        <v>46182</v>
      </c>
      <c r="B2746" t="inlineStr">
        <is>
          <t>Terça</t>
        </is>
      </c>
      <c r="C2746" t="inlineStr">
        <is>
          <t>RCE São Lucas</t>
        </is>
      </c>
      <c r="D2746" t="inlineStr">
        <is>
          <t>Fábio</t>
        </is>
      </c>
      <c r="E2746" t="inlineStr">
        <is>
          <t>Emanuel (pi 25 Ao Pi 26)</t>
        </is>
      </c>
      <c r="F2746" t="inlineStr">
        <is>
          <t>VCA, PVs e Ligações</t>
        </is>
      </c>
      <c r="J2746" t="inlineStr">
        <is>
          <t>VCA</t>
        </is>
      </c>
      <c r="K2746" t="inlineStr">
        <is>
          <t>Planejamento</t>
        </is>
      </c>
      <c r="L2746" t="inlineStr">
        <is>
          <t>PDS-Junho.docx</t>
        </is>
      </c>
      <c r="M2746">
        <f>IF($A2746="","",TEXT($A2746,"mmmm/yyyy"))</f>
        <v/>
      </c>
      <c r="P2746">
        <f>IFERROR(XLOOKUP($N2746,Base_Enderecos!$A:$A,Base_Enderecos!$B:$B,""),"")</f>
        <v/>
      </c>
      <c r="Q2746">
        <f>IFERROR(XLOOKUP($N2746,Base_Enderecos!$A:$A,Base_Enderecos!$C:$C,""),"")</f>
        <v/>
      </c>
      <c r="R2746">
        <f>IF(ISNUMBER(SEARCH("HDD",$F2746)),"HDD",IF(ISNUMBER(SEARCH("VCA",$F2746)),"VCA","MND"))</f>
        <v/>
      </c>
      <c r="T2746">
        <f>TEXT($A2746,"yyyy-mm")&amp;"|"&amp;$C2746&amp;"|"&amp;$I2746</f>
        <v/>
      </c>
    </row>
    <row r="2747">
      <c r="A2747" s="36" t="n">
        <v>46182</v>
      </c>
      <c r="B2747" t="inlineStr">
        <is>
          <t>Terça</t>
        </is>
      </c>
      <c r="C2747" t="inlineStr">
        <is>
          <t>RCE São Lucas</t>
        </is>
      </c>
      <c r="D2747" t="inlineStr">
        <is>
          <t>Fábio</t>
        </is>
      </c>
      <c r="E2747" t="inlineStr">
        <is>
          <t>Antonio (pi 55 Ao Pi 56)</t>
        </is>
      </c>
      <c r="F2747" t="inlineStr">
        <is>
          <t>VCA, PVs e Ligações</t>
        </is>
      </c>
      <c r="J2747" t="inlineStr">
        <is>
          <t>VCA</t>
        </is>
      </c>
      <c r="K2747" t="inlineStr">
        <is>
          <t>Planejamento</t>
        </is>
      </c>
      <c r="L2747" t="inlineStr">
        <is>
          <t>PDS-Junho.docx</t>
        </is>
      </c>
      <c r="M2747">
        <f>IF($A2747="","",TEXT($A2747,"mmmm/yyyy"))</f>
        <v/>
      </c>
      <c r="P2747">
        <f>IFERROR(XLOOKUP($N2747,Base_Enderecos!$A:$A,Base_Enderecos!$B:$B,""),"")</f>
        <v/>
      </c>
      <c r="Q2747">
        <f>IFERROR(XLOOKUP($N2747,Base_Enderecos!$A:$A,Base_Enderecos!$C:$C,""),"")</f>
        <v/>
      </c>
      <c r="R2747">
        <f>IF(ISNUMBER(SEARCH("HDD",$F2747)),"HDD",IF(ISNUMBER(SEARCH("VCA",$F2747)),"VCA","MND"))</f>
        <v/>
      </c>
      <c r="T2747">
        <f>TEXT($A2747,"yyyy-mm")&amp;"|"&amp;$C2747&amp;"|"&amp;$I2747</f>
        <v/>
      </c>
    </row>
    <row r="2748">
      <c r="A2748" s="36" t="n">
        <v>46182</v>
      </c>
      <c r="B2748" t="inlineStr">
        <is>
          <t>Terça</t>
        </is>
      </c>
      <c r="C2748" t="inlineStr">
        <is>
          <t>RCE São Lucas</t>
        </is>
      </c>
      <c r="D2748" t="inlineStr">
        <is>
          <t>Fábio</t>
        </is>
      </c>
      <c r="E2748" t="inlineStr">
        <is>
          <t>Antonio (pi 55 Ao Pi 56)</t>
        </is>
      </c>
      <c r="F2748" t="inlineStr">
        <is>
          <t>SERVIÇOS REPOSIÇÃO – LEANDRO</t>
        </is>
      </c>
      <c r="J2748" t="inlineStr">
        <is>
          <t>Atividade</t>
        </is>
      </c>
      <c r="K2748" t="inlineStr">
        <is>
          <t>Planejamento</t>
        </is>
      </c>
      <c r="L2748" t="inlineStr">
        <is>
          <t>PDS-Junho.docx</t>
        </is>
      </c>
      <c r="M2748">
        <f>IF($A2748="","",TEXT($A2748,"mmmm/yyyy"))</f>
        <v/>
      </c>
      <c r="P2748">
        <f>IFERROR(XLOOKUP($N2748,Base_Enderecos!$A:$A,Base_Enderecos!$B:$B,""),"")</f>
        <v/>
      </c>
      <c r="Q2748">
        <f>IFERROR(XLOOKUP($N2748,Base_Enderecos!$A:$A,Base_Enderecos!$C:$C,""),"")</f>
        <v/>
      </c>
      <c r="R2748">
        <f>IF(ISNUMBER(SEARCH("HDD",$F2748)),"HDD",IF(ISNUMBER(SEARCH("VCA",$F2748)),"VCA","MND"))</f>
        <v/>
      </c>
      <c r="T2748">
        <f>TEXT($A2748,"yyyy-mm")&amp;"|"&amp;$C2748&amp;"|"&amp;$I2748</f>
        <v/>
      </c>
    </row>
    <row r="2749">
      <c r="A2749" s="36" t="n">
        <v>46182</v>
      </c>
      <c r="B2749" t="inlineStr">
        <is>
          <t>Terça</t>
        </is>
      </c>
      <c r="C2749" t="inlineStr">
        <is>
          <t>RCE São Lucas</t>
        </is>
      </c>
      <c r="D2749" t="inlineStr">
        <is>
          <t>Fábio</t>
        </is>
      </c>
      <c r="E2749" t="inlineStr">
        <is>
          <t>Antonio (pi 55 Ao Pi 56)</t>
        </is>
      </c>
      <c r="F2749" t="inlineStr">
        <is>
          <t>Reparos Gerais</t>
        </is>
      </c>
      <c r="J2749" t="inlineStr">
        <is>
          <t>Atividade</t>
        </is>
      </c>
      <c r="K2749" t="inlineStr">
        <is>
          <t>Planejamento</t>
        </is>
      </c>
      <c r="L2749" t="inlineStr">
        <is>
          <t>PDS-Junho.docx</t>
        </is>
      </c>
      <c r="M2749">
        <f>IF($A2749="","",TEXT($A2749,"mmmm/yyyy"))</f>
        <v/>
      </c>
      <c r="P2749">
        <f>IFERROR(XLOOKUP($N2749,Base_Enderecos!$A:$A,Base_Enderecos!$B:$B,""),"")</f>
        <v/>
      </c>
      <c r="Q2749">
        <f>IFERROR(XLOOKUP($N2749,Base_Enderecos!$A:$A,Base_Enderecos!$C:$C,""),"")</f>
        <v/>
      </c>
      <c r="R2749">
        <f>IF(ISNUMBER(SEARCH("HDD",$F2749)),"HDD",IF(ISNUMBER(SEARCH("VCA",$F2749)),"VCA","MND"))</f>
        <v/>
      </c>
      <c r="T2749">
        <f>TEXT($A2749,"yyyy-mm")&amp;"|"&amp;$C2749&amp;"|"&amp;$I2749</f>
        <v/>
      </c>
    </row>
    <row r="2750">
      <c r="A2750" s="36" t="n">
        <v>46182</v>
      </c>
      <c r="B2750" t="inlineStr">
        <is>
          <t>Terça</t>
        </is>
      </c>
      <c r="C2750" t="inlineStr">
        <is>
          <t>CTS Lageado</t>
        </is>
      </c>
      <c r="D2750" t="inlineStr">
        <is>
          <t>Gabriel</t>
        </is>
      </c>
      <c r="E2750" t="inlineStr">
        <is>
          <t>Cidão</t>
        </is>
      </c>
      <c r="F2750" t="inlineStr">
        <is>
          <t>Acabamentos gerais</t>
        </is>
      </c>
      <c r="J2750" t="inlineStr">
        <is>
          <t>Acabamento</t>
        </is>
      </c>
      <c r="K2750" t="inlineStr">
        <is>
          <t>Planejamento</t>
        </is>
      </c>
      <c r="L2750" t="inlineStr">
        <is>
          <t>PDS-Junho.docx</t>
        </is>
      </c>
      <c r="M2750">
        <f>IF($A2750="","",TEXT($A2750,"mmmm/yyyy"))</f>
        <v/>
      </c>
      <c r="P2750">
        <f>IFERROR(XLOOKUP($N2750,Base_Enderecos!$A:$A,Base_Enderecos!$B:$B,""),"")</f>
        <v/>
      </c>
      <c r="Q2750">
        <f>IFERROR(XLOOKUP($N2750,Base_Enderecos!$A:$A,Base_Enderecos!$C:$C,""),"")</f>
        <v/>
      </c>
      <c r="R2750">
        <f>IF(ISNUMBER(SEARCH("HDD",$F2750)),"HDD",IF(ISNUMBER(SEARCH("VCA",$F2750)),"VCA","MND"))</f>
        <v/>
      </c>
      <c r="T2750">
        <f>TEXT($A2750,"yyyy-mm")&amp;"|"&amp;$C2750&amp;"|"&amp;$I2750</f>
        <v/>
      </c>
    </row>
    <row r="2751">
      <c r="A2751" s="36" t="n">
        <v>46182</v>
      </c>
      <c r="B2751" t="inlineStr">
        <is>
          <t>Terça</t>
        </is>
      </c>
      <c r="C2751" t="inlineStr">
        <is>
          <t>João Canzi</t>
        </is>
      </c>
      <c r="E2751" t="inlineStr">
        <is>
          <t>Vacal</t>
        </is>
      </c>
      <c r="F2751" t="inlineStr">
        <is>
          <t>João Canzi - Renasce</t>
        </is>
      </c>
      <c r="J2751" t="inlineStr">
        <is>
          <t>Atividade</t>
        </is>
      </c>
      <c r="K2751" t="inlineStr">
        <is>
          <t>Apoio</t>
        </is>
      </c>
      <c r="L2751" t="inlineStr">
        <is>
          <t>PDS-Junho.docx</t>
        </is>
      </c>
      <c r="M2751">
        <f>IF($A2751="","",TEXT($A2751,"mmmm/yyyy"))</f>
        <v/>
      </c>
      <c r="P2751">
        <f>IFERROR(XLOOKUP($N2751,Base_Enderecos!$A:$A,Base_Enderecos!$B:$B,""),"")</f>
        <v/>
      </c>
      <c r="Q2751">
        <f>IFERROR(XLOOKUP($N2751,Base_Enderecos!$A:$A,Base_Enderecos!$C:$C,""),"")</f>
        <v/>
      </c>
      <c r="R2751">
        <f>IF(ISNUMBER(SEARCH("HDD",$F2751)),"HDD",IF(ISNUMBER(SEARCH("VCA",$F2751)),"VCA","MND"))</f>
        <v/>
      </c>
      <c r="T2751">
        <f>TEXT($A2751,"yyyy-mm")&amp;"|"&amp;$C2751&amp;"|"&amp;$I2751</f>
        <v/>
      </c>
    </row>
    <row r="2752">
      <c r="A2752" s="36" t="n">
        <v>46182</v>
      </c>
      <c r="B2752" t="inlineStr">
        <is>
          <t>Terça</t>
        </is>
      </c>
      <c r="C2752" t="inlineStr">
        <is>
          <t>João Canzi</t>
        </is>
      </c>
      <c r="E2752" t="inlineStr">
        <is>
          <t>Vacal</t>
        </is>
      </c>
      <c r="F2752" t="inlineStr">
        <is>
          <t>João Canzi – Renasce</t>
        </is>
      </c>
      <c r="J2752" t="inlineStr">
        <is>
          <t>Atividade</t>
        </is>
      </c>
      <c r="K2752" t="inlineStr">
        <is>
          <t>Apoio</t>
        </is>
      </c>
      <c r="L2752" t="inlineStr">
        <is>
          <t>PDS-Junho.docx</t>
        </is>
      </c>
      <c r="M2752">
        <f>IF($A2752="","",TEXT($A2752,"mmmm/yyyy"))</f>
        <v/>
      </c>
      <c r="P2752">
        <f>IFERROR(XLOOKUP($N2752,Base_Enderecos!$A:$A,Base_Enderecos!$B:$B,""),"")</f>
        <v/>
      </c>
      <c r="Q2752">
        <f>IFERROR(XLOOKUP($N2752,Base_Enderecos!$A:$A,Base_Enderecos!$C:$C,""),"")</f>
        <v/>
      </c>
      <c r="R2752">
        <f>IF(ISNUMBER(SEARCH("HDD",$F2752)),"HDD",IF(ISNUMBER(SEARCH("VCA",$F2752)),"VCA","MND"))</f>
        <v/>
      </c>
      <c r="T2752">
        <f>TEXT($A2752,"yyyy-mm")&amp;"|"&amp;$C2752&amp;"|"&amp;$I2752</f>
        <v/>
      </c>
    </row>
    <row r="2753">
      <c r="A2753" s="36" t="n">
        <v>46182</v>
      </c>
      <c r="B2753" t="inlineStr">
        <is>
          <t>Terça</t>
        </is>
      </c>
      <c r="C2753" t="inlineStr">
        <is>
          <t>Iti 15</t>
        </is>
      </c>
      <c r="E2753" t="inlineStr">
        <is>
          <t>Vacal</t>
        </is>
      </c>
      <c r="F2753" t="inlineStr">
        <is>
          <t>ITI 15 – Henko (Osmar)</t>
        </is>
      </c>
      <c r="J2753" t="inlineStr">
        <is>
          <t>Atividade</t>
        </is>
      </c>
      <c r="K2753" t="inlineStr">
        <is>
          <t>Apoio</t>
        </is>
      </c>
      <c r="L2753" t="inlineStr">
        <is>
          <t>PDS-Junho.docx</t>
        </is>
      </c>
      <c r="M2753">
        <f>IF($A2753="","",TEXT($A2753,"mmmm/yyyy"))</f>
        <v/>
      </c>
      <c r="P2753">
        <f>IFERROR(XLOOKUP($N2753,Base_Enderecos!$A:$A,Base_Enderecos!$B:$B,""),"")</f>
        <v/>
      </c>
      <c r="Q2753">
        <f>IFERROR(XLOOKUP($N2753,Base_Enderecos!$A:$A,Base_Enderecos!$C:$C,""),"")</f>
        <v/>
      </c>
      <c r="R2753">
        <f>IF(ISNUMBER(SEARCH("HDD",$F2753)),"HDD",IF(ISNUMBER(SEARCH("VCA",$F2753)),"VCA","MND"))</f>
        <v/>
      </c>
      <c r="T2753">
        <f>TEXT($A2753,"yyyy-mm")&amp;"|"&amp;$C2753&amp;"|"&amp;$I2753</f>
        <v/>
      </c>
    </row>
    <row r="2754">
      <c r="A2754" s="36" t="n">
        <v>46182</v>
      </c>
      <c r="B2754" t="inlineStr">
        <is>
          <t>Terça</t>
        </is>
      </c>
      <c r="C2754" t="inlineStr">
        <is>
          <t>Guindauto</t>
        </is>
      </c>
      <c r="E2754" t="inlineStr">
        <is>
          <t>Guindauto</t>
        </is>
      </c>
      <c r="F2754" t="inlineStr">
        <is>
          <t>Marcio - Apoio as equipes</t>
        </is>
      </c>
      <c r="J2754" t="inlineStr">
        <is>
          <t>Atividade</t>
        </is>
      </c>
      <c r="K2754" t="inlineStr">
        <is>
          <t>Apoio</t>
        </is>
      </c>
      <c r="L2754" t="inlineStr">
        <is>
          <t>PDS-Junho.docx</t>
        </is>
      </c>
      <c r="M2754">
        <f>IF($A2754="","",TEXT($A2754,"mmmm/yyyy"))</f>
        <v/>
      </c>
      <c r="P2754">
        <f>IFERROR(XLOOKUP($N2754,Base_Enderecos!$A:$A,Base_Enderecos!$B:$B,""),"")</f>
        <v/>
      </c>
      <c r="Q2754">
        <f>IFERROR(XLOOKUP($N2754,Base_Enderecos!$A:$A,Base_Enderecos!$C:$C,""),"")</f>
        <v/>
      </c>
      <c r="R2754">
        <f>IF(ISNUMBER(SEARCH("HDD",$F2754)),"HDD",IF(ISNUMBER(SEARCH("VCA",$F2754)),"VCA","MND"))</f>
        <v/>
      </c>
      <c r="T2754">
        <f>TEXT($A2754,"yyyy-mm")&amp;"|"&amp;$C2754&amp;"|"&amp;$I2754</f>
        <v/>
      </c>
    </row>
    <row r="2755">
      <c r="A2755" s="36" t="n">
        <v>46182</v>
      </c>
      <c r="B2755" t="inlineStr">
        <is>
          <t>Terça</t>
        </is>
      </c>
      <c r="C2755" t="inlineStr">
        <is>
          <t>Guindauto</t>
        </is>
      </c>
      <c r="E2755" t="inlineStr">
        <is>
          <t>Guindauto</t>
        </is>
      </c>
      <c r="F2755" t="inlineStr">
        <is>
          <t>Luiz - Apoio as equipes</t>
        </is>
      </c>
      <c r="J2755" t="inlineStr">
        <is>
          <t>Atividade</t>
        </is>
      </c>
      <c r="K2755" t="inlineStr">
        <is>
          <t>Apoio</t>
        </is>
      </c>
      <c r="L2755" t="inlineStr">
        <is>
          <t>PDS-Junho.docx</t>
        </is>
      </c>
      <c r="M2755">
        <f>IF($A2755="","",TEXT($A2755,"mmmm/yyyy"))</f>
        <v/>
      </c>
      <c r="P2755">
        <f>IFERROR(XLOOKUP($N2755,Base_Enderecos!$A:$A,Base_Enderecos!$B:$B,""),"")</f>
        <v/>
      </c>
      <c r="Q2755">
        <f>IFERROR(XLOOKUP($N2755,Base_Enderecos!$A:$A,Base_Enderecos!$C:$C,""),"")</f>
        <v/>
      </c>
      <c r="R2755">
        <f>IF(ISNUMBER(SEARCH("HDD",$F2755)),"HDD",IF(ISNUMBER(SEARCH("VCA",$F2755)),"VCA","MND"))</f>
        <v/>
      </c>
      <c r="T2755">
        <f>TEXT($A2755,"yyyy-mm")&amp;"|"&amp;$C2755&amp;"|"&amp;$I2755</f>
        <v/>
      </c>
    </row>
    <row r="2756">
      <c r="A2756" s="36" t="n">
        <v>46183</v>
      </c>
      <c r="B2756" t="inlineStr">
        <is>
          <t>Quarta</t>
        </is>
      </c>
      <c r="C2756" t="inlineStr">
        <is>
          <t>CT João Canzi</t>
        </is>
      </c>
      <c r="D2756" t="inlineStr">
        <is>
          <t>Valmir</t>
        </is>
      </c>
      <c r="E2756" t="inlineStr">
        <is>
          <t>Goiânia Drill</t>
        </is>
      </c>
      <c r="F2756" t="inlineStr">
        <is>
          <t>Piloto e Puxe do PV-19 ao PV-20</t>
        </is>
      </c>
      <c r="G2756" t="inlineStr">
        <is>
          <t>19</t>
        </is>
      </c>
      <c r="H2756" t="inlineStr">
        <is>
          <t>20</t>
        </is>
      </c>
      <c r="I2756" t="inlineStr">
        <is>
          <t>19 ao 20</t>
        </is>
      </c>
      <c r="J2756" t="inlineStr">
        <is>
          <t>HDD</t>
        </is>
      </c>
      <c r="K2756" t="inlineStr">
        <is>
          <t>Planejamento</t>
        </is>
      </c>
      <c r="L2756" t="inlineStr">
        <is>
          <t>PDS-Junho.docx</t>
        </is>
      </c>
      <c r="M2756">
        <f>IF($A2756="","",TEXT($A2756,"mmmm/yyyy"))</f>
        <v/>
      </c>
      <c r="P2756">
        <f>IFERROR(XLOOKUP($N2756,Base_Enderecos!$A:$A,Base_Enderecos!$B:$B,""),"")</f>
        <v/>
      </c>
      <c r="Q2756">
        <f>IFERROR(XLOOKUP($N2756,Base_Enderecos!$A:$A,Base_Enderecos!$C:$C,""),"")</f>
        <v/>
      </c>
      <c r="R2756">
        <f>IF(ISNUMBER(SEARCH("HDD",$F2756)),"HDD",IF(ISNUMBER(SEARCH("VCA",$F2756)),"VCA","MND"))</f>
        <v/>
      </c>
      <c r="T2756">
        <f>TEXT($A2756,"yyyy-mm")&amp;"|"&amp;$C2756&amp;"|"&amp;$I2756</f>
        <v/>
      </c>
    </row>
    <row r="2757">
      <c r="A2757" s="36" t="n">
        <v>46183</v>
      </c>
      <c r="B2757" t="inlineStr">
        <is>
          <t>Quarta</t>
        </is>
      </c>
      <c r="C2757" t="inlineStr">
        <is>
          <t>CT João Canzi</t>
        </is>
      </c>
      <c r="D2757" t="inlineStr">
        <is>
          <t>Valmir</t>
        </is>
      </c>
      <c r="E2757" t="inlineStr">
        <is>
          <t>Bruno</t>
        </is>
      </c>
      <c r="F2757" t="inlineStr">
        <is>
          <t>Apoio ao HDD</t>
        </is>
      </c>
      <c r="J2757" t="inlineStr">
        <is>
          <t>HDD</t>
        </is>
      </c>
      <c r="K2757" t="inlineStr">
        <is>
          <t>Planejamento</t>
        </is>
      </c>
      <c r="L2757" t="inlineStr">
        <is>
          <t>PDS-Junho.docx</t>
        </is>
      </c>
      <c r="M2757">
        <f>IF($A2757="","",TEXT($A2757,"mmmm/yyyy"))</f>
        <v/>
      </c>
      <c r="P2757">
        <f>IFERROR(XLOOKUP($N2757,Base_Enderecos!$A:$A,Base_Enderecos!$B:$B,""),"")</f>
        <v/>
      </c>
      <c r="Q2757">
        <f>IFERROR(XLOOKUP($N2757,Base_Enderecos!$A:$A,Base_Enderecos!$C:$C,""),"")</f>
        <v/>
      </c>
      <c r="R2757">
        <f>IF(ISNUMBER(SEARCH("HDD",$F2757)),"HDD",IF(ISNUMBER(SEARCH("VCA",$F2757)),"VCA","MND"))</f>
        <v/>
      </c>
      <c r="T2757">
        <f>TEXT($A2757,"yyyy-mm")&amp;"|"&amp;$C2757&amp;"|"&amp;$I2757</f>
        <v/>
      </c>
    </row>
    <row r="2758">
      <c r="A2758" s="36" t="n">
        <v>46183</v>
      </c>
      <c r="B2758" t="inlineStr">
        <is>
          <t>Quarta</t>
        </is>
      </c>
      <c r="C2758" t="inlineStr">
        <is>
          <t>CT João Canzi</t>
        </is>
      </c>
      <c r="D2758" t="inlineStr">
        <is>
          <t>Valmir</t>
        </is>
      </c>
      <c r="E2758" t="inlineStr">
        <is>
          <t>Medeiros</t>
        </is>
      </c>
      <c r="F2758" t="inlineStr">
        <is>
          <t>Reaterro Shaft PV 10.1</t>
        </is>
      </c>
      <c r="G2758" t="inlineStr">
        <is>
          <t>10.1</t>
        </is>
      </c>
      <c r="I2758" t="inlineStr">
        <is>
          <t>10.1</t>
        </is>
      </c>
      <c r="J2758" t="inlineStr">
        <is>
          <t>Shaft</t>
        </is>
      </c>
      <c r="K2758" t="inlineStr">
        <is>
          <t>Planejamento</t>
        </is>
      </c>
      <c r="L2758" t="inlineStr">
        <is>
          <t>PDS-Junho.docx</t>
        </is>
      </c>
      <c r="M2758">
        <f>IF($A2758="","",TEXT($A2758,"mmmm/yyyy"))</f>
        <v/>
      </c>
      <c r="P2758">
        <f>IFERROR(XLOOKUP($N2758,Base_Enderecos!$A:$A,Base_Enderecos!$B:$B,""),"")</f>
        <v/>
      </c>
      <c r="Q2758">
        <f>IFERROR(XLOOKUP($N2758,Base_Enderecos!$A:$A,Base_Enderecos!$C:$C,""),"")</f>
        <v/>
      </c>
      <c r="R2758">
        <f>IF(ISNUMBER(SEARCH("HDD",$F2758)),"HDD",IF(ISNUMBER(SEARCH("VCA",$F2758)),"VCA","MND"))</f>
        <v/>
      </c>
      <c r="T2758">
        <f>TEXT($A2758,"yyyy-mm")&amp;"|"&amp;$C2758&amp;"|"&amp;$I2758</f>
        <v/>
      </c>
    </row>
    <row r="2759">
      <c r="A2759" s="36" t="n">
        <v>46183</v>
      </c>
      <c r="B2759" t="inlineStr">
        <is>
          <t>Quarta</t>
        </is>
      </c>
      <c r="C2759" t="inlineStr">
        <is>
          <t>CT João Canzi</t>
        </is>
      </c>
      <c r="D2759" t="inlineStr">
        <is>
          <t>Valmir</t>
        </is>
      </c>
      <c r="E2759" t="inlineStr">
        <is>
          <t>Márcio</t>
        </is>
      </c>
      <c r="F2759" t="inlineStr">
        <is>
          <t>Transformação PV 10</t>
        </is>
      </c>
      <c r="G2759" t="inlineStr">
        <is>
          <t>10</t>
        </is>
      </c>
      <c r="I2759" t="inlineStr">
        <is>
          <t>10</t>
        </is>
      </c>
      <c r="J2759" t="inlineStr">
        <is>
          <t>Transformação</t>
        </is>
      </c>
      <c r="K2759" t="inlineStr">
        <is>
          <t>Planejamento</t>
        </is>
      </c>
      <c r="L2759" t="inlineStr">
        <is>
          <t>PDS-Junho.docx</t>
        </is>
      </c>
      <c r="M2759">
        <f>IF($A2759="","",TEXT($A2759,"mmmm/yyyy"))</f>
        <v/>
      </c>
      <c r="P2759">
        <f>IFERROR(XLOOKUP($N2759,Base_Enderecos!$A:$A,Base_Enderecos!$B:$B,""),"")</f>
        <v/>
      </c>
      <c r="Q2759">
        <f>IFERROR(XLOOKUP($N2759,Base_Enderecos!$A:$A,Base_Enderecos!$C:$C,""),"")</f>
        <v/>
      </c>
      <c r="R2759">
        <f>IF(ISNUMBER(SEARCH("HDD",$F2759)),"HDD",IF(ISNUMBER(SEARCH("VCA",$F2759)),"VCA","MND"))</f>
        <v/>
      </c>
      <c r="T2759">
        <f>TEXT($A2759,"yyyy-mm")&amp;"|"&amp;$C2759&amp;"|"&amp;$I2759</f>
        <v/>
      </c>
    </row>
    <row r="2760">
      <c r="A2760" s="36" t="n">
        <v>46183</v>
      </c>
      <c r="B2760" t="inlineStr">
        <is>
          <t>Quarta</t>
        </is>
      </c>
      <c r="C2760" t="inlineStr">
        <is>
          <t>CT João Canzi</t>
        </is>
      </c>
      <c r="D2760" t="inlineStr">
        <is>
          <t>Valmir</t>
        </is>
      </c>
      <c r="E2760" t="inlineStr">
        <is>
          <t>Cidão</t>
        </is>
      </c>
      <c r="F2760" t="inlineStr">
        <is>
          <t>Transformação PV 18</t>
        </is>
      </c>
      <c r="G2760" t="inlineStr">
        <is>
          <t>18</t>
        </is>
      </c>
      <c r="I2760" t="inlineStr">
        <is>
          <t>18</t>
        </is>
      </c>
      <c r="J2760" t="inlineStr">
        <is>
          <t>Transformação</t>
        </is>
      </c>
      <c r="K2760" t="inlineStr">
        <is>
          <t>Planejamento</t>
        </is>
      </c>
      <c r="L2760" t="inlineStr">
        <is>
          <t>PDS-Junho.docx</t>
        </is>
      </c>
      <c r="M2760">
        <f>IF($A2760="","",TEXT($A2760,"mmmm/yyyy"))</f>
        <v/>
      </c>
      <c r="P2760">
        <f>IFERROR(XLOOKUP($N2760,Base_Enderecos!$A:$A,Base_Enderecos!$B:$B,""),"")</f>
        <v/>
      </c>
      <c r="Q2760">
        <f>IFERROR(XLOOKUP($N2760,Base_Enderecos!$A:$A,Base_Enderecos!$C:$C,""),"")</f>
        <v/>
      </c>
      <c r="R2760">
        <f>IF(ISNUMBER(SEARCH("HDD",$F2760)),"HDD",IF(ISNUMBER(SEARCH("VCA",$F2760)),"VCA","MND"))</f>
        <v/>
      </c>
      <c r="T2760">
        <f>TEXT($A2760,"yyyy-mm")&amp;"|"&amp;$C2760&amp;"|"&amp;$I2760</f>
        <v/>
      </c>
    </row>
    <row r="2761">
      <c r="A2761" s="36" t="n">
        <v>46183</v>
      </c>
      <c r="B2761" t="inlineStr">
        <is>
          <t>Quarta</t>
        </is>
      </c>
      <c r="C2761" t="inlineStr">
        <is>
          <t>RCE Elvira</t>
        </is>
      </c>
      <c r="D2761" t="inlineStr">
        <is>
          <t>Silvestre</t>
        </is>
      </c>
      <c r="E2761" t="inlineStr">
        <is>
          <t>Valter</t>
        </is>
      </c>
      <c r="F2761" t="inlineStr">
        <is>
          <t>VCA, PVs e Ligações</t>
        </is>
      </c>
      <c r="J2761" t="inlineStr">
        <is>
          <t>VCA</t>
        </is>
      </c>
      <c r="K2761" t="inlineStr">
        <is>
          <t>Planejamento</t>
        </is>
      </c>
      <c r="L2761" t="inlineStr">
        <is>
          <t>PDS-Junho.docx</t>
        </is>
      </c>
      <c r="M2761">
        <f>IF($A2761="","",TEXT($A2761,"mmmm/yyyy"))</f>
        <v/>
      </c>
      <c r="P2761">
        <f>IFERROR(XLOOKUP($N2761,Base_Enderecos!$A:$A,Base_Enderecos!$B:$B,""),"")</f>
        <v/>
      </c>
      <c r="Q2761">
        <f>IFERROR(XLOOKUP($N2761,Base_Enderecos!$A:$A,Base_Enderecos!$C:$C,""),"")</f>
        <v/>
      </c>
      <c r="R2761">
        <f>IF(ISNUMBER(SEARCH("HDD",$F2761)),"HDD",IF(ISNUMBER(SEARCH("VCA",$F2761)),"VCA","MND"))</f>
        <v/>
      </c>
      <c r="T2761">
        <f>TEXT($A2761,"yyyy-mm")&amp;"|"&amp;$C2761&amp;"|"&amp;$I2761</f>
        <v/>
      </c>
    </row>
    <row r="2762">
      <c r="A2762" s="36" t="n">
        <v>46183</v>
      </c>
      <c r="B2762" t="inlineStr">
        <is>
          <t>Quarta</t>
        </is>
      </c>
      <c r="C2762" t="inlineStr">
        <is>
          <t>RCE Conj. União</t>
        </is>
      </c>
      <c r="D2762" t="inlineStr">
        <is>
          <t>Caroline</t>
        </is>
      </c>
      <c r="E2762" t="inlineStr">
        <is>
          <t>Jhonatan</t>
        </is>
      </c>
      <c r="F2762" t="inlineStr">
        <is>
          <t>Shaft PV 48</t>
        </is>
      </c>
      <c r="G2762" t="inlineStr">
        <is>
          <t>48</t>
        </is>
      </c>
      <c r="I2762" t="inlineStr">
        <is>
          <t>48</t>
        </is>
      </c>
      <c r="J2762" t="inlineStr">
        <is>
          <t>Shaft</t>
        </is>
      </c>
      <c r="K2762" t="inlineStr">
        <is>
          <t>Planejamento</t>
        </is>
      </c>
      <c r="L2762" t="inlineStr">
        <is>
          <t>PDS-Junho.docx</t>
        </is>
      </c>
      <c r="M2762">
        <f>IF($A2762="","",TEXT($A2762,"mmmm/yyyy"))</f>
        <v/>
      </c>
      <c r="P2762">
        <f>IFERROR(XLOOKUP($N2762,Base_Enderecos!$A:$A,Base_Enderecos!$B:$B,""),"")</f>
        <v/>
      </c>
      <c r="Q2762">
        <f>IFERROR(XLOOKUP($N2762,Base_Enderecos!$A:$A,Base_Enderecos!$C:$C,""),"")</f>
        <v/>
      </c>
      <c r="R2762">
        <f>IF(ISNUMBER(SEARCH("HDD",$F2762)),"HDD",IF(ISNUMBER(SEARCH("VCA",$F2762)),"VCA","MND"))</f>
        <v/>
      </c>
      <c r="T2762">
        <f>TEXT($A2762,"yyyy-mm")&amp;"|"&amp;$C2762&amp;"|"&amp;$I2762</f>
        <v/>
      </c>
    </row>
    <row r="2763">
      <c r="A2763" s="36" t="n">
        <v>46183</v>
      </c>
      <c r="B2763" t="inlineStr">
        <is>
          <t>Quarta</t>
        </is>
      </c>
      <c r="C2763" t="inlineStr">
        <is>
          <t>RCE Américo Machado/elis Regina</t>
        </is>
      </c>
      <c r="D2763" t="inlineStr">
        <is>
          <t>Caroline</t>
        </is>
      </c>
      <c r="E2763" t="inlineStr">
        <is>
          <t>Cesar</t>
        </is>
      </c>
      <c r="F2763" t="inlineStr">
        <is>
          <t>Transformação PV 01</t>
        </is>
      </c>
      <c r="G2763" t="inlineStr">
        <is>
          <t>01</t>
        </is>
      </c>
      <c r="I2763" t="inlineStr">
        <is>
          <t>01</t>
        </is>
      </c>
      <c r="J2763" t="inlineStr">
        <is>
          <t>Transformação</t>
        </is>
      </c>
      <c r="K2763" t="inlineStr">
        <is>
          <t>Planejamento</t>
        </is>
      </c>
      <c r="L2763" t="inlineStr">
        <is>
          <t>PDS-Junho.docx</t>
        </is>
      </c>
      <c r="M2763">
        <f>IF($A2763="","",TEXT($A2763,"mmmm/yyyy"))</f>
        <v/>
      </c>
      <c r="P2763">
        <f>IFERROR(XLOOKUP($N2763,Base_Enderecos!$A:$A,Base_Enderecos!$B:$B,""),"")</f>
        <v/>
      </c>
      <c r="Q2763">
        <f>IFERROR(XLOOKUP($N2763,Base_Enderecos!$A:$A,Base_Enderecos!$C:$C,""),"")</f>
        <v/>
      </c>
      <c r="R2763">
        <f>IF(ISNUMBER(SEARCH("HDD",$F2763)),"HDD",IF(ISNUMBER(SEARCH("VCA",$F2763)),"VCA","MND"))</f>
        <v/>
      </c>
      <c r="T2763">
        <f>TEXT($A2763,"yyyy-mm")&amp;"|"&amp;$C2763&amp;"|"&amp;$I2763</f>
        <v/>
      </c>
    </row>
    <row r="2764">
      <c r="A2764" s="36" t="n">
        <v>46183</v>
      </c>
      <c r="B2764" t="inlineStr">
        <is>
          <t>Quarta</t>
        </is>
      </c>
      <c r="C2764" t="inlineStr">
        <is>
          <t>CTS Lourdes Complementar</t>
        </is>
      </c>
      <c r="D2764" t="inlineStr">
        <is>
          <t>Robson</t>
        </is>
      </c>
      <c r="E2764" t="inlineStr">
        <is>
          <t>Marcelo</t>
        </is>
      </c>
      <c r="F2764" t="inlineStr">
        <is>
          <t>Transformação PV 05 + Interligação</t>
        </is>
      </c>
      <c r="G2764" t="inlineStr">
        <is>
          <t>05</t>
        </is>
      </c>
      <c r="I2764" t="inlineStr">
        <is>
          <t>05</t>
        </is>
      </c>
      <c r="J2764" t="inlineStr">
        <is>
          <t>Transformação</t>
        </is>
      </c>
      <c r="K2764" t="inlineStr">
        <is>
          <t>Planejamento</t>
        </is>
      </c>
      <c r="L2764" t="inlineStr">
        <is>
          <t>PDS-Junho.docx</t>
        </is>
      </c>
      <c r="M2764">
        <f>IF($A2764="","",TEXT($A2764,"mmmm/yyyy"))</f>
        <v/>
      </c>
      <c r="P2764">
        <f>IFERROR(XLOOKUP($N2764,Base_Enderecos!$A:$A,Base_Enderecos!$B:$B,""),"")</f>
        <v/>
      </c>
      <c r="Q2764">
        <f>IFERROR(XLOOKUP($N2764,Base_Enderecos!$A:$A,Base_Enderecos!$C:$C,""),"")</f>
        <v/>
      </c>
      <c r="R2764">
        <f>IF(ISNUMBER(SEARCH("HDD",$F2764)),"HDD",IF(ISNUMBER(SEARCH("VCA",$F2764)),"VCA","MND"))</f>
        <v/>
      </c>
      <c r="T2764">
        <f>TEXT($A2764,"yyyy-mm")&amp;"|"&amp;$C2764&amp;"|"&amp;$I2764</f>
        <v/>
      </c>
    </row>
    <row r="2765">
      <c r="A2765" s="36" t="n">
        <v>46183</v>
      </c>
      <c r="B2765" t="inlineStr">
        <is>
          <t>Quarta</t>
        </is>
      </c>
      <c r="C2765" t="inlineStr">
        <is>
          <t>RCE São Lucas</t>
        </is>
      </c>
      <c r="D2765" t="inlineStr">
        <is>
          <t>Fábio</t>
        </is>
      </c>
      <c r="E2765" t="inlineStr">
        <is>
          <t>Ricardo (pi 10 Ao Pi 11)</t>
        </is>
      </c>
      <c r="F2765" t="inlineStr">
        <is>
          <t>VCA, PVs e Ligações</t>
        </is>
      </c>
      <c r="J2765" t="inlineStr">
        <is>
          <t>VCA</t>
        </is>
      </c>
      <c r="K2765" t="inlineStr">
        <is>
          <t>Planejamento</t>
        </is>
      </c>
      <c r="L2765" t="inlineStr">
        <is>
          <t>PDS-Junho.docx</t>
        </is>
      </c>
      <c r="M2765">
        <f>IF($A2765="","",TEXT($A2765,"mmmm/yyyy"))</f>
        <v/>
      </c>
      <c r="P2765">
        <f>IFERROR(XLOOKUP($N2765,Base_Enderecos!$A:$A,Base_Enderecos!$B:$B,""),"")</f>
        <v/>
      </c>
      <c r="Q2765">
        <f>IFERROR(XLOOKUP($N2765,Base_Enderecos!$A:$A,Base_Enderecos!$C:$C,""),"")</f>
        <v/>
      </c>
      <c r="R2765">
        <f>IF(ISNUMBER(SEARCH("HDD",$F2765)),"HDD",IF(ISNUMBER(SEARCH("VCA",$F2765)),"VCA","MND"))</f>
        <v/>
      </c>
      <c r="T2765">
        <f>TEXT($A2765,"yyyy-mm")&amp;"|"&amp;$C2765&amp;"|"&amp;$I2765</f>
        <v/>
      </c>
    </row>
    <row r="2766">
      <c r="A2766" s="36" t="n">
        <v>46183</v>
      </c>
      <c r="B2766" t="inlineStr">
        <is>
          <t>Quarta</t>
        </is>
      </c>
      <c r="C2766" t="inlineStr">
        <is>
          <t>RCE São Lucas</t>
        </is>
      </c>
      <c r="D2766" t="inlineStr">
        <is>
          <t>Fábio</t>
        </is>
      </c>
      <c r="E2766" t="inlineStr">
        <is>
          <t>Claudinei (pi 38 Ao Pi 81)</t>
        </is>
      </c>
      <c r="F2766" t="inlineStr">
        <is>
          <t>VCA, PVs e Ligações</t>
        </is>
      </c>
      <c r="J2766" t="inlineStr">
        <is>
          <t>VCA</t>
        </is>
      </c>
      <c r="K2766" t="inlineStr">
        <is>
          <t>Planejamento</t>
        </is>
      </c>
      <c r="L2766" t="inlineStr">
        <is>
          <t>PDS-Junho.docx</t>
        </is>
      </c>
      <c r="M2766">
        <f>IF($A2766="","",TEXT($A2766,"mmmm/yyyy"))</f>
        <v/>
      </c>
      <c r="P2766">
        <f>IFERROR(XLOOKUP($N2766,Base_Enderecos!$A:$A,Base_Enderecos!$B:$B,""),"")</f>
        <v/>
      </c>
      <c r="Q2766">
        <f>IFERROR(XLOOKUP($N2766,Base_Enderecos!$A:$A,Base_Enderecos!$C:$C,""),"")</f>
        <v/>
      </c>
      <c r="R2766">
        <f>IF(ISNUMBER(SEARCH("HDD",$F2766)),"HDD",IF(ISNUMBER(SEARCH("VCA",$F2766)),"VCA","MND"))</f>
        <v/>
      </c>
      <c r="T2766">
        <f>TEXT($A2766,"yyyy-mm")&amp;"|"&amp;$C2766&amp;"|"&amp;$I2766</f>
        <v/>
      </c>
    </row>
    <row r="2767">
      <c r="A2767" s="36" t="n">
        <v>46183</v>
      </c>
      <c r="B2767" t="inlineStr">
        <is>
          <t>Quarta</t>
        </is>
      </c>
      <c r="C2767" t="inlineStr">
        <is>
          <t>RCE São Lucas</t>
        </is>
      </c>
      <c r="D2767" t="inlineStr">
        <is>
          <t>Fábio</t>
        </is>
      </c>
      <c r="E2767" t="inlineStr">
        <is>
          <t>Miro (pi 61 Ao Pi 62)</t>
        </is>
      </c>
      <c r="F2767" t="inlineStr">
        <is>
          <t>VCA, PVs e Ligações</t>
        </is>
      </c>
      <c r="J2767" t="inlineStr">
        <is>
          <t>VCA</t>
        </is>
      </c>
      <c r="K2767" t="inlineStr">
        <is>
          <t>Planejamento</t>
        </is>
      </c>
      <c r="L2767" t="inlineStr">
        <is>
          <t>PDS-Junho.docx</t>
        </is>
      </c>
      <c r="M2767">
        <f>IF($A2767="","",TEXT($A2767,"mmmm/yyyy"))</f>
        <v/>
      </c>
      <c r="P2767">
        <f>IFERROR(XLOOKUP($N2767,Base_Enderecos!$A:$A,Base_Enderecos!$B:$B,""),"")</f>
        <v/>
      </c>
      <c r="Q2767">
        <f>IFERROR(XLOOKUP($N2767,Base_Enderecos!$A:$A,Base_Enderecos!$C:$C,""),"")</f>
        <v/>
      </c>
      <c r="R2767">
        <f>IF(ISNUMBER(SEARCH("HDD",$F2767)),"HDD",IF(ISNUMBER(SEARCH("VCA",$F2767)),"VCA","MND"))</f>
        <v/>
      </c>
      <c r="T2767">
        <f>TEXT($A2767,"yyyy-mm")&amp;"|"&amp;$C2767&amp;"|"&amp;$I2767</f>
        <v/>
      </c>
    </row>
    <row r="2768">
      <c r="A2768" s="36" t="n">
        <v>46183</v>
      </c>
      <c r="B2768" t="inlineStr">
        <is>
          <t>Quarta</t>
        </is>
      </c>
      <c r="C2768" t="inlineStr">
        <is>
          <t>RCE São Lucas</t>
        </is>
      </c>
      <c r="D2768" t="inlineStr">
        <is>
          <t>Fábio</t>
        </is>
      </c>
      <c r="E2768" t="inlineStr">
        <is>
          <t>Emanuel (pi 25 Ao Pi 26)</t>
        </is>
      </c>
      <c r="F2768" t="inlineStr">
        <is>
          <t>VCA, PVs e Ligações</t>
        </is>
      </c>
      <c r="J2768" t="inlineStr">
        <is>
          <t>VCA</t>
        </is>
      </c>
      <c r="K2768" t="inlineStr">
        <is>
          <t>Planejamento</t>
        </is>
      </c>
      <c r="L2768" t="inlineStr">
        <is>
          <t>PDS-Junho.docx</t>
        </is>
      </c>
      <c r="M2768">
        <f>IF($A2768="","",TEXT($A2768,"mmmm/yyyy"))</f>
        <v/>
      </c>
      <c r="P2768">
        <f>IFERROR(XLOOKUP($N2768,Base_Enderecos!$A:$A,Base_Enderecos!$B:$B,""),"")</f>
        <v/>
      </c>
      <c r="Q2768">
        <f>IFERROR(XLOOKUP($N2768,Base_Enderecos!$A:$A,Base_Enderecos!$C:$C,""),"")</f>
        <v/>
      </c>
      <c r="R2768">
        <f>IF(ISNUMBER(SEARCH("HDD",$F2768)),"HDD",IF(ISNUMBER(SEARCH("VCA",$F2768)),"VCA","MND"))</f>
        <v/>
      </c>
      <c r="T2768">
        <f>TEXT($A2768,"yyyy-mm")&amp;"|"&amp;$C2768&amp;"|"&amp;$I2768</f>
        <v/>
      </c>
    </row>
    <row r="2769">
      <c r="A2769" s="36" t="n">
        <v>46183</v>
      </c>
      <c r="B2769" t="inlineStr">
        <is>
          <t>Quarta</t>
        </is>
      </c>
      <c r="C2769" t="inlineStr">
        <is>
          <t>RCE São Lucas</t>
        </is>
      </c>
      <c r="D2769" t="inlineStr">
        <is>
          <t>Fábio</t>
        </is>
      </c>
      <c r="E2769" t="inlineStr">
        <is>
          <t>Antonio (pi 55 Ao Pi 56)</t>
        </is>
      </c>
      <c r="F2769" t="inlineStr">
        <is>
          <t>VCA, PVs e Ligações</t>
        </is>
      </c>
      <c r="J2769" t="inlineStr">
        <is>
          <t>VCA</t>
        </is>
      </c>
      <c r="K2769" t="inlineStr">
        <is>
          <t>Planejamento</t>
        </is>
      </c>
      <c r="L2769" t="inlineStr">
        <is>
          <t>PDS-Junho.docx</t>
        </is>
      </c>
      <c r="M2769">
        <f>IF($A2769="","",TEXT($A2769,"mmmm/yyyy"))</f>
        <v/>
      </c>
      <c r="P2769">
        <f>IFERROR(XLOOKUP($N2769,Base_Enderecos!$A:$A,Base_Enderecos!$B:$B,""),"")</f>
        <v/>
      </c>
      <c r="Q2769">
        <f>IFERROR(XLOOKUP($N2769,Base_Enderecos!$A:$A,Base_Enderecos!$C:$C,""),"")</f>
        <v/>
      </c>
      <c r="R2769">
        <f>IF(ISNUMBER(SEARCH("HDD",$F2769)),"HDD",IF(ISNUMBER(SEARCH("VCA",$F2769)),"VCA","MND"))</f>
        <v/>
      </c>
      <c r="T2769">
        <f>TEXT($A2769,"yyyy-mm")&amp;"|"&amp;$C2769&amp;"|"&amp;$I2769</f>
        <v/>
      </c>
    </row>
    <row r="2770">
      <c r="A2770" s="36" t="n">
        <v>46183</v>
      </c>
      <c r="B2770" t="inlineStr">
        <is>
          <t>Quarta</t>
        </is>
      </c>
      <c r="C2770" t="inlineStr">
        <is>
          <t>RCE São Lucas</t>
        </is>
      </c>
      <c r="D2770" t="inlineStr">
        <is>
          <t>Fábio</t>
        </is>
      </c>
      <c r="E2770" t="inlineStr">
        <is>
          <t>Antonio (pi 55 Ao Pi 56)</t>
        </is>
      </c>
      <c r="F2770" t="inlineStr">
        <is>
          <t>SERVIÇOS REPOSIÇÃO – LEANDRO</t>
        </is>
      </c>
      <c r="J2770" t="inlineStr">
        <is>
          <t>Atividade</t>
        </is>
      </c>
      <c r="K2770" t="inlineStr">
        <is>
          <t>Planejamento</t>
        </is>
      </c>
      <c r="L2770" t="inlineStr">
        <is>
          <t>PDS-Junho.docx</t>
        </is>
      </c>
      <c r="M2770">
        <f>IF($A2770="","",TEXT($A2770,"mmmm/yyyy"))</f>
        <v/>
      </c>
      <c r="P2770">
        <f>IFERROR(XLOOKUP($N2770,Base_Enderecos!$A:$A,Base_Enderecos!$B:$B,""),"")</f>
        <v/>
      </c>
      <c r="Q2770">
        <f>IFERROR(XLOOKUP($N2770,Base_Enderecos!$A:$A,Base_Enderecos!$C:$C,""),"")</f>
        <v/>
      </c>
      <c r="R2770">
        <f>IF(ISNUMBER(SEARCH("HDD",$F2770)),"HDD",IF(ISNUMBER(SEARCH("VCA",$F2770)),"VCA","MND"))</f>
        <v/>
      </c>
      <c r="T2770">
        <f>TEXT($A2770,"yyyy-mm")&amp;"|"&amp;$C2770&amp;"|"&amp;$I2770</f>
        <v/>
      </c>
    </row>
    <row r="2771">
      <c r="A2771" s="36" t="n">
        <v>46183</v>
      </c>
      <c r="B2771" t="inlineStr">
        <is>
          <t>Quarta</t>
        </is>
      </c>
      <c r="C2771" t="inlineStr">
        <is>
          <t>RCE São Lucas</t>
        </is>
      </c>
      <c r="D2771" t="inlineStr">
        <is>
          <t>Fábio</t>
        </is>
      </c>
      <c r="E2771" t="inlineStr">
        <is>
          <t>Antonio (pi 55 Ao Pi 56)</t>
        </is>
      </c>
      <c r="F2771" t="inlineStr">
        <is>
          <t>Reparos Gerais</t>
        </is>
      </c>
      <c r="J2771" t="inlineStr">
        <is>
          <t>Atividade</t>
        </is>
      </c>
      <c r="K2771" t="inlineStr">
        <is>
          <t>Planejamento</t>
        </is>
      </c>
      <c r="L2771" t="inlineStr">
        <is>
          <t>PDS-Junho.docx</t>
        </is>
      </c>
      <c r="M2771">
        <f>IF($A2771="","",TEXT($A2771,"mmmm/yyyy"))</f>
        <v/>
      </c>
      <c r="P2771">
        <f>IFERROR(XLOOKUP($N2771,Base_Enderecos!$A:$A,Base_Enderecos!$B:$B,""),"")</f>
        <v/>
      </c>
      <c r="Q2771">
        <f>IFERROR(XLOOKUP($N2771,Base_Enderecos!$A:$A,Base_Enderecos!$C:$C,""),"")</f>
        <v/>
      </c>
      <c r="R2771">
        <f>IF(ISNUMBER(SEARCH("HDD",$F2771)),"HDD",IF(ISNUMBER(SEARCH("VCA",$F2771)),"VCA","MND"))</f>
        <v/>
      </c>
      <c r="T2771">
        <f>TEXT($A2771,"yyyy-mm")&amp;"|"&amp;$C2771&amp;"|"&amp;$I2771</f>
        <v/>
      </c>
    </row>
    <row r="2772">
      <c r="A2772" s="36" t="n">
        <v>46183</v>
      </c>
      <c r="B2772" t="inlineStr">
        <is>
          <t>Quarta</t>
        </is>
      </c>
      <c r="C2772" t="inlineStr">
        <is>
          <t>João Canzi</t>
        </is>
      </c>
      <c r="E2772" t="inlineStr">
        <is>
          <t>Vacal</t>
        </is>
      </c>
      <c r="F2772" t="inlineStr">
        <is>
          <t>João Canzi - Henko</t>
        </is>
      </c>
      <c r="J2772" t="inlineStr">
        <is>
          <t>Atividade</t>
        </is>
      </c>
      <c r="K2772" t="inlineStr">
        <is>
          <t>Apoio</t>
        </is>
      </c>
      <c r="L2772" t="inlineStr">
        <is>
          <t>PDS-Junho.docx</t>
        </is>
      </c>
      <c r="M2772">
        <f>IF($A2772="","",TEXT($A2772,"mmmm/yyyy"))</f>
        <v/>
      </c>
      <c r="P2772">
        <f>IFERROR(XLOOKUP($N2772,Base_Enderecos!$A:$A,Base_Enderecos!$B:$B,""),"")</f>
        <v/>
      </c>
      <c r="Q2772">
        <f>IFERROR(XLOOKUP($N2772,Base_Enderecos!$A:$A,Base_Enderecos!$C:$C,""),"")</f>
        <v/>
      </c>
      <c r="R2772">
        <f>IF(ISNUMBER(SEARCH("HDD",$F2772)),"HDD",IF(ISNUMBER(SEARCH("VCA",$F2772)),"VCA","MND"))</f>
        <v/>
      </c>
      <c r="T2772">
        <f>TEXT($A2772,"yyyy-mm")&amp;"|"&amp;$C2772&amp;"|"&amp;$I2772</f>
        <v/>
      </c>
    </row>
    <row r="2773">
      <c r="A2773" s="36" t="n">
        <v>46183</v>
      </c>
      <c r="B2773" t="inlineStr">
        <is>
          <t>Quarta</t>
        </is>
      </c>
      <c r="C2773" t="inlineStr">
        <is>
          <t>João Canzi</t>
        </is>
      </c>
      <c r="E2773" t="inlineStr">
        <is>
          <t>Vacal</t>
        </is>
      </c>
      <c r="F2773" t="inlineStr">
        <is>
          <t>João Canzi – Henko</t>
        </is>
      </c>
      <c r="J2773" t="inlineStr">
        <is>
          <t>Atividade</t>
        </is>
      </c>
      <c r="K2773" t="inlineStr">
        <is>
          <t>Apoio</t>
        </is>
      </c>
      <c r="L2773" t="inlineStr">
        <is>
          <t>PDS-Junho.docx</t>
        </is>
      </c>
      <c r="M2773">
        <f>IF($A2773="","",TEXT($A2773,"mmmm/yyyy"))</f>
        <v/>
      </c>
      <c r="P2773">
        <f>IFERROR(XLOOKUP($N2773,Base_Enderecos!$A:$A,Base_Enderecos!$B:$B,""),"")</f>
        <v/>
      </c>
      <c r="Q2773">
        <f>IFERROR(XLOOKUP($N2773,Base_Enderecos!$A:$A,Base_Enderecos!$C:$C,""),"")</f>
        <v/>
      </c>
      <c r="R2773">
        <f>IF(ISNUMBER(SEARCH("HDD",$F2773)),"HDD",IF(ISNUMBER(SEARCH("VCA",$F2773)),"VCA","MND"))</f>
        <v/>
      </c>
      <c r="T2773">
        <f>TEXT($A2773,"yyyy-mm")&amp;"|"&amp;$C2773&amp;"|"&amp;$I2773</f>
        <v/>
      </c>
    </row>
    <row r="2774">
      <c r="A2774" s="36" t="n">
        <v>46183</v>
      </c>
      <c r="B2774" t="inlineStr">
        <is>
          <t>Quarta</t>
        </is>
      </c>
      <c r="C2774" t="inlineStr">
        <is>
          <t>Iti 15</t>
        </is>
      </c>
      <c r="E2774" t="inlineStr">
        <is>
          <t>Vacal</t>
        </is>
      </c>
      <c r="F2774" t="inlineStr">
        <is>
          <t>ITI 15 – Henko (Osmar)</t>
        </is>
      </c>
      <c r="J2774" t="inlineStr">
        <is>
          <t>Atividade</t>
        </is>
      </c>
      <c r="K2774" t="inlineStr">
        <is>
          <t>Apoio</t>
        </is>
      </c>
      <c r="L2774" t="inlineStr">
        <is>
          <t>PDS-Junho.docx</t>
        </is>
      </c>
      <c r="M2774">
        <f>IF($A2774="","",TEXT($A2774,"mmmm/yyyy"))</f>
        <v/>
      </c>
      <c r="P2774">
        <f>IFERROR(XLOOKUP($N2774,Base_Enderecos!$A:$A,Base_Enderecos!$B:$B,""),"")</f>
        <v/>
      </c>
      <c r="Q2774">
        <f>IFERROR(XLOOKUP($N2774,Base_Enderecos!$A:$A,Base_Enderecos!$C:$C,""),"")</f>
        <v/>
      </c>
      <c r="R2774">
        <f>IF(ISNUMBER(SEARCH("HDD",$F2774)),"HDD",IF(ISNUMBER(SEARCH("VCA",$F2774)),"VCA","MND"))</f>
        <v/>
      </c>
      <c r="T2774">
        <f>TEXT($A2774,"yyyy-mm")&amp;"|"&amp;$C2774&amp;"|"&amp;$I2774</f>
        <v/>
      </c>
    </row>
    <row r="2775">
      <c r="A2775" s="36" t="n">
        <v>46183</v>
      </c>
      <c r="B2775" t="inlineStr">
        <is>
          <t>Quarta</t>
        </is>
      </c>
      <c r="C2775" t="inlineStr">
        <is>
          <t>Guindauto</t>
        </is>
      </c>
      <c r="E2775" t="inlineStr">
        <is>
          <t>Guindauto</t>
        </is>
      </c>
      <c r="F2775" t="inlineStr">
        <is>
          <t>Marcio - Apoio as equipes</t>
        </is>
      </c>
      <c r="J2775" t="inlineStr">
        <is>
          <t>Atividade</t>
        </is>
      </c>
      <c r="K2775" t="inlineStr">
        <is>
          <t>Apoio</t>
        </is>
      </c>
      <c r="L2775" t="inlineStr">
        <is>
          <t>PDS-Junho.docx</t>
        </is>
      </c>
      <c r="M2775">
        <f>IF($A2775="","",TEXT($A2775,"mmmm/yyyy"))</f>
        <v/>
      </c>
      <c r="P2775">
        <f>IFERROR(XLOOKUP($N2775,Base_Enderecos!$A:$A,Base_Enderecos!$B:$B,""),"")</f>
        <v/>
      </c>
      <c r="Q2775">
        <f>IFERROR(XLOOKUP($N2775,Base_Enderecos!$A:$A,Base_Enderecos!$C:$C,""),"")</f>
        <v/>
      </c>
      <c r="R2775">
        <f>IF(ISNUMBER(SEARCH("HDD",$F2775)),"HDD",IF(ISNUMBER(SEARCH("VCA",$F2775)),"VCA","MND"))</f>
        <v/>
      </c>
      <c r="T2775">
        <f>TEXT($A2775,"yyyy-mm")&amp;"|"&amp;$C2775&amp;"|"&amp;$I2775</f>
        <v/>
      </c>
    </row>
    <row r="2776">
      <c r="A2776" s="36" t="n">
        <v>46183</v>
      </c>
      <c r="B2776" t="inlineStr">
        <is>
          <t>Quarta</t>
        </is>
      </c>
      <c r="C2776" t="inlineStr">
        <is>
          <t>Guindauto</t>
        </is>
      </c>
      <c r="E2776" t="inlineStr">
        <is>
          <t>Guindauto</t>
        </is>
      </c>
      <c r="F2776" t="inlineStr">
        <is>
          <t>Luiz - Apoio as equipes</t>
        </is>
      </c>
      <c r="J2776" t="inlineStr">
        <is>
          <t>Atividade</t>
        </is>
      </c>
      <c r="K2776" t="inlineStr">
        <is>
          <t>Apoio</t>
        </is>
      </c>
      <c r="L2776" t="inlineStr">
        <is>
          <t>PDS-Junho.docx</t>
        </is>
      </c>
      <c r="M2776">
        <f>IF($A2776="","",TEXT($A2776,"mmmm/yyyy"))</f>
        <v/>
      </c>
      <c r="P2776">
        <f>IFERROR(XLOOKUP($N2776,Base_Enderecos!$A:$A,Base_Enderecos!$B:$B,""),"")</f>
        <v/>
      </c>
      <c r="Q2776">
        <f>IFERROR(XLOOKUP($N2776,Base_Enderecos!$A:$A,Base_Enderecos!$C:$C,""),"")</f>
        <v/>
      </c>
      <c r="R2776">
        <f>IF(ISNUMBER(SEARCH("HDD",$F2776)),"HDD",IF(ISNUMBER(SEARCH("VCA",$F2776)),"VCA","MND"))</f>
        <v/>
      </c>
      <c r="T2776">
        <f>TEXT($A2776,"yyyy-mm")&amp;"|"&amp;$C2776&amp;"|"&amp;$I2776</f>
        <v/>
      </c>
    </row>
    <row r="2777">
      <c r="A2777" t="inlineStr">
        <is>
          <t>2026-06-12</t>
        </is>
      </c>
      <c r="C2777" t="inlineStr">
        <is>
          <t>CT JOÃO CANZI</t>
        </is>
      </c>
      <c r="E2777" t="inlineStr">
        <is>
          <t>Márcio</t>
        </is>
      </c>
      <c r="F2777" t="inlineStr">
        <is>
          <t>Transformação PV 19</t>
        </is>
      </c>
      <c r="G2777" t="inlineStr">
        <is>
          <t>19</t>
        </is>
      </c>
      <c r="I2777" t="inlineStr">
        <is>
          <t>19</t>
        </is>
      </c>
    </row>
    <row r="2778">
      <c r="A2778" t="inlineStr">
        <is>
          <t>2026-06-12</t>
        </is>
      </c>
      <c r="C2778" t="inlineStr">
        <is>
          <t>CT JOÃO CANZI</t>
        </is>
      </c>
      <c r="E2778" t="inlineStr">
        <is>
          <t>Bruno</t>
        </is>
      </c>
      <c r="F2778" t="inlineStr">
        <is>
          <t>Transformação PV 11</t>
        </is>
      </c>
      <c r="G2778" t="inlineStr">
        <is>
          <t>11</t>
        </is>
      </c>
      <c r="I2778" t="inlineStr">
        <is>
          <t>11</t>
        </is>
      </c>
    </row>
    <row r="2779">
      <c r="A2779" t="inlineStr">
        <is>
          <t>2026-06-12</t>
        </is>
      </c>
      <c r="C2779" t="inlineStr">
        <is>
          <t>RCE ELVIRA</t>
        </is>
      </c>
      <c r="E2779" t="inlineStr">
        <is>
          <t>Valter</t>
        </is>
      </c>
      <c r="F2779" t="inlineStr">
        <is>
          <t>VCA, PVs e Ligações</t>
        </is>
      </c>
    </row>
    <row r="2780">
      <c r="A2780" t="inlineStr">
        <is>
          <t>2026-06-12</t>
        </is>
      </c>
      <c r="C2780" t="inlineStr">
        <is>
          <t>INTERL. AYRTON SENNA</t>
        </is>
      </c>
      <c r="E2780" t="inlineStr">
        <is>
          <t>Cidão</t>
        </is>
      </c>
      <c r="F2780" t="inlineStr">
        <is>
          <t>VCA, PVs e Ligações</t>
        </is>
      </c>
    </row>
    <row r="2781">
      <c r="A2781" t="inlineStr">
        <is>
          <t>2026-06-12</t>
        </is>
      </c>
      <c r="C2781" t="inlineStr">
        <is>
          <t>RCE CONJ. UNIÃO</t>
        </is>
      </c>
      <c r="E2781" t="inlineStr">
        <is>
          <t>Jhonatan</t>
        </is>
      </c>
      <c r="F2781" t="inlineStr">
        <is>
          <t>Transformação PV 48</t>
        </is>
      </c>
      <c r="G2781" t="inlineStr">
        <is>
          <t>48</t>
        </is>
      </c>
      <c r="I2781" t="inlineStr">
        <is>
          <t>48</t>
        </is>
      </c>
    </row>
    <row r="2782">
      <c r="A2782" t="inlineStr">
        <is>
          <t>2026-06-12</t>
        </is>
      </c>
      <c r="C2782" t="inlineStr">
        <is>
          <t>RCE ELIAS SLEIMAN</t>
        </is>
      </c>
      <c r="E2782" t="inlineStr">
        <is>
          <t>Edvando</t>
        </is>
      </c>
      <c r="F2782" t="inlineStr">
        <is>
          <t>VCA PV 23 ao PV 24</t>
        </is>
      </c>
      <c r="G2782" t="inlineStr">
        <is>
          <t>23</t>
        </is>
      </c>
      <c r="I2782" t="inlineStr">
        <is>
          <t>23</t>
        </is>
      </c>
    </row>
    <row r="2783">
      <c r="A2783" t="inlineStr">
        <is>
          <t>2026-06-12</t>
        </is>
      </c>
      <c r="C2783" t="inlineStr">
        <is>
          <t>RCE AMÉRICO MACHADO/ELIS REGINA</t>
        </is>
      </c>
      <c r="E2783" t="inlineStr">
        <is>
          <t>Cesar</t>
        </is>
      </c>
      <c r="F2783" t="inlineStr">
        <is>
          <t>VCA PV 01 ao PV 02</t>
        </is>
      </c>
      <c r="G2783" t="inlineStr">
        <is>
          <t>01</t>
        </is>
      </c>
      <c r="I2783" t="inlineStr">
        <is>
          <t>01</t>
        </is>
      </c>
    </row>
    <row r="2784">
      <c r="A2784" t="inlineStr">
        <is>
          <t>2026-06-12</t>
        </is>
      </c>
      <c r="C2784" t="inlineStr">
        <is>
          <t>CTS LOURDES Complementar</t>
        </is>
      </c>
      <c r="E2784" t="inlineStr">
        <is>
          <t>Marcelo</t>
        </is>
      </c>
      <c r="F2784" t="inlineStr">
        <is>
          <t>Interligação entre PV-05 e PV-E</t>
        </is>
      </c>
      <c r="G2784" t="inlineStr">
        <is>
          <t>05</t>
        </is>
      </c>
      <c r="I2784" t="inlineStr">
        <is>
          <t>05</t>
        </is>
      </c>
    </row>
    <row r="2785">
      <c r="A2785" t="inlineStr">
        <is>
          <t>2026-06-12</t>
        </is>
      </c>
      <c r="C2785" t="inlineStr">
        <is>
          <t>RCE SÃO LUCAS</t>
        </is>
      </c>
      <c r="E2785" t="inlineStr">
        <is>
          <t>Ricardo (PI 10 ao PI 11)</t>
        </is>
      </c>
      <c r="F2785" t="inlineStr">
        <is>
          <t>VCA, PVs e Ligações</t>
        </is>
      </c>
    </row>
    <row r="2786">
      <c r="A2786" t="inlineStr">
        <is>
          <t>2026-06-12</t>
        </is>
      </c>
      <c r="C2786" t="inlineStr">
        <is>
          <t>RCE SÃO LUCAS</t>
        </is>
      </c>
      <c r="E2786" t="inlineStr">
        <is>
          <t>Claudinei (PI 38 ao PI 81)</t>
        </is>
      </c>
      <c r="F2786" t="inlineStr">
        <is>
          <t>VCA, PVs e Ligações</t>
        </is>
      </c>
    </row>
    <row r="2787">
      <c r="A2787" t="inlineStr">
        <is>
          <t>2026-06-12</t>
        </is>
      </c>
      <c r="C2787" t="inlineStr">
        <is>
          <t>RCE SÃO LUCAS</t>
        </is>
      </c>
      <c r="E2787" t="inlineStr">
        <is>
          <t>Miro (PI 61 ao PI 62)</t>
        </is>
      </c>
      <c r="F2787" t="inlineStr">
        <is>
          <t>VCA, PVs e Ligações</t>
        </is>
      </c>
    </row>
    <row r="2788">
      <c r="A2788" t="inlineStr">
        <is>
          <t>2026-06-12</t>
        </is>
      </c>
      <c r="C2788" t="inlineStr">
        <is>
          <t>RCE SÃO LUCAS</t>
        </is>
      </c>
      <c r="E2788" t="inlineStr">
        <is>
          <t>Emanuel (PI 25 ao PI 26)</t>
        </is>
      </c>
      <c r="F2788" t="inlineStr">
        <is>
          <t>VCA, PVs e Ligações</t>
        </is>
      </c>
    </row>
    <row r="2789">
      <c r="A2789" t="inlineStr">
        <is>
          <t>2026-06-12</t>
        </is>
      </c>
      <c r="C2789" t="inlineStr">
        <is>
          <t>RCE SÃO LUCAS</t>
        </is>
      </c>
      <c r="E2789" t="inlineStr">
        <is>
          <t>Antonio (PI 55 ao PI 56)</t>
        </is>
      </c>
      <c r="F2789" t="inlineStr">
        <is>
          <t>VCA, PVs e Ligações</t>
        </is>
      </c>
    </row>
    <row r="2790">
      <c r="A2790" t="inlineStr">
        <is>
          <t>2026-06-12</t>
        </is>
      </c>
      <c r="C2790" t="inlineStr">
        <is>
          <t>SERVIÇOS REPOSIÇÃO</t>
        </is>
      </c>
      <c r="E2790" t="inlineStr">
        <is>
          <t>Leandro</t>
        </is>
      </c>
      <c r="F2790" t="inlineStr">
        <is>
          <t>Reparos Gerais</t>
        </is>
      </c>
    </row>
    <row r="2791">
      <c r="A2791" t="inlineStr">
        <is>
          <t>2026-06-12</t>
        </is>
      </c>
      <c r="C2791" t="inlineStr">
        <is>
          <t>Vacal: João Canzi</t>
        </is>
      </c>
      <c r="E2791" t="inlineStr">
        <is>
          <t>Henko</t>
        </is>
      </c>
      <c r="F2791" t="inlineStr">
        <is>
          <t>Apoio às equipes</t>
        </is>
      </c>
    </row>
    <row r="2792">
      <c r="A2792" t="inlineStr">
        <is>
          <t>2026-06-12</t>
        </is>
      </c>
      <c r="C2792" t="inlineStr">
        <is>
          <t>Vacal: João Canzi</t>
        </is>
      </c>
      <c r="E2792" t="inlineStr">
        <is>
          <t>Henko</t>
        </is>
      </c>
      <c r="F2792" t="inlineStr">
        <is>
          <t>Apoio às equipes</t>
        </is>
      </c>
    </row>
    <row r="2793">
      <c r="A2793" t="inlineStr">
        <is>
          <t>2026-06-12</t>
        </is>
      </c>
      <c r="C2793" t="inlineStr">
        <is>
          <t>Vacal: ITI 15</t>
        </is>
      </c>
      <c r="E2793" t="inlineStr">
        <is>
          <t>Renasce</t>
        </is>
      </c>
      <c r="F2793" t="inlineStr">
        <is>
          <t>Apoio às equipes</t>
        </is>
      </c>
    </row>
    <row r="2794">
      <c r="A2794" t="inlineStr">
        <is>
          <t>2026-06-12</t>
        </is>
      </c>
      <c r="C2794" t="inlineStr">
        <is>
          <t>Guindauto</t>
        </is>
      </c>
      <c r="E2794" t="inlineStr">
        <is>
          <t>Marcio</t>
        </is>
      </c>
      <c r="F2794" t="inlineStr">
        <is>
          <t>Apoio as equipes</t>
        </is>
      </c>
    </row>
    <row r="2795">
      <c r="A2795" t="inlineStr">
        <is>
          <t>2026-06-12</t>
        </is>
      </c>
      <c r="C2795" t="inlineStr">
        <is>
          <t>Guindauto</t>
        </is>
      </c>
      <c r="E2795" t="inlineStr">
        <is>
          <t>Luiz</t>
        </is>
      </c>
      <c r="F2795" t="inlineStr">
        <is>
          <t>Apoio as equipes</t>
        </is>
      </c>
    </row>
    <row r="2796">
      <c r="A2796" t="inlineStr">
        <is>
          <t>2026-06-13</t>
        </is>
      </c>
      <c r="C2796" t="inlineStr">
        <is>
          <t>CT JOÃO CANZI</t>
        </is>
      </c>
      <c r="E2796" t="inlineStr">
        <is>
          <t>Cesar</t>
        </is>
      </c>
      <c r="F2796" t="inlineStr">
        <is>
          <t>Transformação PV 11</t>
        </is>
      </c>
      <c r="G2796" t="inlineStr">
        <is>
          <t>11</t>
        </is>
      </c>
      <c r="I2796" t="inlineStr">
        <is>
          <t>11</t>
        </is>
      </c>
    </row>
    <row r="2797">
      <c r="A2797" t="inlineStr">
        <is>
          <t>2026-06-13</t>
        </is>
      </c>
      <c r="C2797" t="inlineStr">
        <is>
          <t>RCE ELVIRA</t>
        </is>
      </c>
      <c r="E2797" t="inlineStr">
        <is>
          <t>Valter</t>
        </is>
      </c>
      <c r="F2797" t="inlineStr">
        <is>
          <t>VCA, PVs e Ligações</t>
        </is>
      </c>
    </row>
    <row r="2798">
      <c r="A2798" t="inlineStr">
        <is>
          <t>2026-06-13</t>
        </is>
      </c>
      <c r="C2798" t="inlineStr">
        <is>
          <t>INTERL. AYRTON SENNA</t>
        </is>
      </c>
      <c r="E2798" t="inlineStr">
        <is>
          <t>Cidão</t>
        </is>
      </c>
      <c r="F2798" t="inlineStr">
        <is>
          <t>VCA, PVs e Ligações</t>
        </is>
      </c>
    </row>
    <row r="2799">
      <c r="A2799" t="inlineStr">
        <is>
          <t>2026-06-13</t>
        </is>
      </c>
      <c r="C2799" t="inlineStr">
        <is>
          <t>RCE CONJ. UNIÃO</t>
        </is>
      </c>
      <c r="E2799" t="inlineStr">
        <is>
          <t>Jhonatan</t>
        </is>
      </c>
      <c r="F2799" t="inlineStr">
        <is>
          <t>Transformação PV 48</t>
        </is>
      </c>
      <c r="G2799" t="inlineStr">
        <is>
          <t>48</t>
        </is>
      </c>
      <c r="I2799" t="inlineStr">
        <is>
          <t>48</t>
        </is>
      </c>
    </row>
    <row r="2800">
      <c r="A2800" t="inlineStr">
        <is>
          <t>2026-06-13</t>
        </is>
      </c>
      <c r="C2800" t="inlineStr">
        <is>
          <t>RCE ELIAS SLEIMAN</t>
        </is>
      </c>
      <c r="E2800" t="inlineStr">
        <is>
          <t>Edvando</t>
        </is>
      </c>
      <c r="F2800" t="inlineStr">
        <is>
          <t>VCA PV 23 ao PV 24</t>
        </is>
      </c>
      <c r="G2800" t="inlineStr">
        <is>
          <t>23</t>
        </is>
      </c>
      <c r="I2800" t="inlineStr">
        <is>
          <t>23</t>
        </is>
      </c>
    </row>
    <row r="2801">
      <c r="A2801" t="inlineStr">
        <is>
          <t>2026-06-13</t>
        </is>
      </c>
      <c r="C2801" t="inlineStr">
        <is>
          <t>CTS LOURDES Complementar</t>
        </is>
      </c>
      <c r="E2801" t="inlineStr">
        <is>
          <t>Marcelo</t>
        </is>
      </c>
      <c r="F2801" t="inlineStr">
        <is>
          <t>Interligação entre PV-05 e PV-E</t>
        </is>
      </c>
      <c r="G2801" t="inlineStr">
        <is>
          <t>05</t>
        </is>
      </c>
      <c r="I2801" t="inlineStr">
        <is>
          <t>05</t>
        </is>
      </c>
    </row>
    <row r="2802">
      <c r="A2802" t="inlineStr">
        <is>
          <t>2026-06-13</t>
        </is>
      </c>
      <c r="C2802" t="inlineStr">
        <is>
          <t>RCE SÃO LUCAS</t>
        </is>
      </c>
      <c r="E2802" t="inlineStr">
        <is>
          <t>Ricardo (PI 10 ao PI 11)</t>
        </is>
      </c>
      <c r="F2802" t="inlineStr">
        <is>
          <t>VCA, PVs e Ligações</t>
        </is>
      </c>
    </row>
    <row r="2803">
      <c r="A2803" t="inlineStr">
        <is>
          <t>2026-06-13</t>
        </is>
      </c>
      <c r="C2803" t="inlineStr">
        <is>
          <t>RCE SÃO LUCAS</t>
        </is>
      </c>
      <c r="E2803" t="inlineStr">
        <is>
          <t>Claudinei (PI 38 ao PI 81)</t>
        </is>
      </c>
      <c r="F2803" t="inlineStr">
        <is>
          <t>VCA, PVs e Ligações</t>
        </is>
      </c>
    </row>
    <row r="2804">
      <c r="A2804" t="inlineStr">
        <is>
          <t>2026-06-13</t>
        </is>
      </c>
      <c r="C2804" t="inlineStr">
        <is>
          <t>RCE SÃO LUCAS</t>
        </is>
      </c>
      <c r="E2804" t="inlineStr">
        <is>
          <t>Miro (PI 61 ao PI 62)</t>
        </is>
      </c>
      <c r="F2804" t="inlineStr">
        <is>
          <t>VCA, PVs e Ligações</t>
        </is>
      </c>
    </row>
    <row r="2805">
      <c r="A2805" t="inlineStr">
        <is>
          <t>2026-06-13</t>
        </is>
      </c>
      <c r="C2805" t="inlineStr">
        <is>
          <t>RCE SÃO LUCAS</t>
        </is>
      </c>
      <c r="E2805" t="inlineStr">
        <is>
          <t>Emanuel (PI 25 ao PI 26)</t>
        </is>
      </c>
      <c r="F2805" t="inlineStr">
        <is>
          <t>VCA, PVs e Ligações</t>
        </is>
      </c>
    </row>
    <row r="2806">
      <c r="A2806" t="inlineStr">
        <is>
          <t>2026-06-13</t>
        </is>
      </c>
      <c r="C2806" t="inlineStr">
        <is>
          <t>RCE SÃO LUCAS</t>
        </is>
      </c>
      <c r="E2806" t="inlineStr">
        <is>
          <t>Antonio (PI 55 ao PI 56)</t>
        </is>
      </c>
      <c r="F2806" t="inlineStr">
        <is>
          <t>VCA, PVs e Ligações</t>
        </is>
      </c>
    </row>
    <row r="2807">
      <c r="A2807" t="inlineStr">
        <is>
          <t>2026-06-13</t>
        </is>
      </c>
      <c r="C2807" t="inlineStr">
        <is>
          <t>SERVIÇOS REPOSIÇÃO</t>
        </is>
      </c>
      <c r="E2807" t="inlineStr">
        <is>
          <t>Leandro</t>
        </is>
      </c>
      <c r="F2807" t="inlineStr">
        <is>
          <t>Reparos Gerais</t>
        </is>
      </c>
    </row>
    <row r="2808">
      <c r="A2808" t="inlineStr">
        <is>
          <t>2026-06-13</t>
        </is>
      </c>
      <c r="C2808" t="inlineStr">
        <is>
          <t>Vacal: ITI-15</t>
        </is>
      </c>
      <c r="E2808" t="inlineStr">
        <is>
          <t>Henko</t>
        </is>
      </c>
      <c r="F2808" t="inlineStr">
        <is>
          <t>Apoio às equipes</t>
        </is>
      </c>
    </row>
    <row r="2809">
      <c r="A2809" t="inlineStr">
        <is>
          <t>2026-06-13</t>
        </is>
      </c>
      <c r="C2809" t="inlineStr">
        <is>
          <t>Vacal: João Canzi</t>
        </is>
      </c>
      <c r="E2809" t="inlineStr">
        <is>
          <t>Henko</t>
        </is>
      </c>
      <c r="F2809" t="inlineStr">
        <is>
          <t>Apoio às equipes</t>
        </is>
      </c>
    </row>
    <row r="2810">
      <c r="A2810" t="inlineStr">
        <is>
          <t>2026-06-13</t>
        </is>
      </c>
      <c r="C2810" t="inlineStr">
        <is>
          <t>Vacal: João Canzi</t>
        </is>
      </c>
      <c r="E2810" t="inlineStr">
        <is>
          <t>Henko</t>
        </is>
      </c>
      <c r="F2810" t="inlineStr">
        <is>
          <t>Apoio às equipes</t>
        </is>
      </c>
    </row>
    <row r="2811">
      <c r="A2811" t="inlineStr">
        <is>
          <t>2026-06-13</t>
        </is>
      </c>
      <c r="C2811" t="inlineStr">
        <is>
          <t>Guindauto</t>
        </is>
      </c>
      <c r="E2811" t="inlineStr">
        <is>
          <t>Marcio</t>
        </is>
      </c>
      <c r="F2811" t="inlineStr">
        <is>
          <t>Apoio as equipes</t>
        </is>
      </c>
    </row>
    <row r="2812">
      <c r="A2812" t="inlineStr">
        <is>
          <t>2026-06-13</t>
        </is>
      </c>
      <c r="C2812" t="inlineStr">
        <is>
          <t>Guindauto</t>
        </is>
      </c>
      <c r="E2812" t="inlineStr">
        <is>
          <t>Luiz</t>
        </is>
      </c>
      <c r="F2812" t="inlineStr">
        <is>
          <t>Apoio as equipes</t>
        </is>
      </c>
    </row>
    <row r="2813">
      <c r="A2813" t="inlineStr">
        <is>
          <t>2026-06-15</t>
        </is>
      </c>
      <c r="C2813" t="inlineStr">
        <is>
          <t>CT JOÃO CANZI</t>
        </is>
      </c>
      <c r="E2813" t="inlineStr">
        <is>
          <t>Cesar</t>
        </is>
      </c>
      <c r="F2813" t="inlineStr">
        <is>
          <t>Transformação PV 11</t>
        </is>
      </c>
      <c r="G2813" t="inlineStr">
        <is>
          <t>11</t>
        </is>
      </c>
      <c r="I2813" t="inlineStr">
        <is>
          <t>11</t>
        </is>
      </c>
    </row>
    <row r="2814">
      <c r="A2814" t="inlineStr">
        <is>
          <t>2026-06-15</t>
        </is>
      </c>
      <c r="C2814" t="inlineStr">
        <is>
          <t>RCE ELVIRA</t>
        </is>
      </c>
      <c r="E2814" t="inlineStr">
        <is>
          <t>Valter</t>
        </is>
      </c>
      <c r="F2814" t="inlineStr">
        <is>
          <t>VCA, PVs e Ligações</t>
        </is>
      </c>
    </row>
    <row r="2815">
      <c r="A2815" t="inlineStr">
        <is>
          <t>2026-06-15</t>
        </is>
      </c>
      <c r="C2815" t="inlineStr">
        <is>
          <t>INTERL. AYRTON SENNA</t>
        </is>
      </c>
      <c r="E2815" t="inlineStr">
        <is>
          <t>Cidão</t>
        </is>
      </c>
      <c r="F2815" t="inlineStr">
        <is>
          <t>VCA, PVs e Ligações</t>
        </is>
      </c>
    </row>
    <row r="2816">
      <c r="A2816" t="inlineStr">
        <is>
          <t>2026-06-15</t>
        </is>
      </c>
      <c r="C2816" t="inlineStr">
        <is>
          <t>RCE CONJ. UNIÃO</t>
        </is>
      </c>
      <c r="E2816" t="inlineStr">
        <is>
          <t>Jhonatan</t>
        </is>
      </c>
      <c r="F2816" t="inlineStr">
        <is>
          <t>Transformação PV 48</t>
        </is>
      </c>
      <c r="G2816" t="inlineStr">
        <is>
          <t>48</t>
        </is>
      </c>
      <c r="I2816" t="inlineStr">
        <is>
          <t>48</t>
        </is>
      </c>
    </row>
    <row r="2817">
      <c r="A2817" t="inlineStr">
        <is>
          <t>2026-06-15</t>
        </is>
      </c>
      <c r="C2817" t="inlineStr">
        <is>
          <t>RCE ELIAS SLEIMAN</t>
        </is>
      </c>
      <c r="E2817" t="inlineStr">
        <is>
          <t>Edvando</t>
        </is>
      </c>
      <c r="F2817" t="inlineStr">
        <is>
          <t>VCA PV 24 ao PV 25</t>
        </is>
      </c>
      <c r="G2817" t="inlineStr">
        <is>
          <t>24</t>
        </is>
      </c>
      <c r="I2817" t="inlineStr">
        <is>
          <t>24</t>
        </is>
      </c>
    </row>
    <row r="2818">
      <c r="A2818" t="inlineStr">
        <is>
          <t>2026-06-15</t>
        </is>
      </c>
      <c r="C2818" t="inlineStr">
        <is>
          <t>CTS LOURDES Complementar</t>
        </is>
      </c>
      <c r="E2818" t="inlineStr">
        <is>
          <t>Marcelo</t>
        </is>
      </c>
      <c r="F2818" t="inlineStr">
        <is>
          <t>Interligação entre PV-05 e PV-E</t>
        </is>
      </c>
      <c r="G2818" t="inlineStr">
        <is>
          <t>05</t>
        </is>
      </c>
      <c r="I2818" t="inlineStr">
        <is>
          <t>05</t>
        </is>
      </c>
    </row>
    <row r="2819">
      <c r="A2819" t="inlineStr">
        <is>
          <t>2026-06-15</t>
        </is>
      </c>
      <c r="C2819" t="inlineStr">
        <is>
          <t>RCE RAULZITO</t>
        </is>
      </c>
      <c r="E2819" t="inlineStr">
        <is>
          <t>Bruno</t>
        </is>
      </c>
      <c r="F2819" t="inlineStr">
        <is>
          <t>VCA, PVs e Ligações</t>
        </is>
      </c>
    </row>
    <row r="2820">
      <c r="A2820" t="inlineStr">
        <is>
          <t>2026-06-15</t>
        </is>
      </c>
      <c r="C2820" t="inlineStr">
        <is>
          <t>RCE RAULZITO</t>
        </is>
      </c>
      <c r="E2820" t="inlineStr">
        <is>
          <t>Medeiros</t>
        </is>
      </c>
      <c r="F2820" t="inlineStr">
        <is>
          <t>VCA, PVs e Ligações</t>
        </is>
      </c>
    </row>
    <row r="2821">
      <c r="A2821" t="inlineStr">
        <is>
          <t>2026-06-15</t>
        </is>
      </c>
      <c r="C2821" t="inlineStr">
        <is>
          <t>RCE SÃO LUCAS</t>
        </is>
      </c>
      <c r="E2821" t="inlineStr">
        <is>
          <t>Ricardo (PI 10 ao PI 11)</t>
        </is>
      </c>
      <c r="F2821" t="inlineStr">
        <is>
          <t>VCA, PVs e Ligações</t>
        </is>
      </c>
    </row>
    <row r="2822">
      <c r="A2822" t="inlineStr">
        <is>
          <t>2026-06-15</t>
        </is>
      </c>
      <c r="C2822" t="inlineStr">
        <is>
          <t>RCE SÃO LUCAS</t>
        </is>
      </c>
      <c r="E2822" t="inlineStr">
        <is>
          <t>Claudinei (PI 38 ao PI 81)</t>
        </is>
      </c>
      <c r="F2822" t="inlineStr">
        <is>
          <t>VCA, PVs e Ligações</t>
        </is>
      </c>
    </row>
    <row r="2823">
      <c r="A2823" t="inlineStr">
        <is>
          <t>2026-06-15</t>
        </is>
      </c>
      <c r="C2823" t="inlineStr">
        <is>
          <t>RCE SÃO LUCAS</t>
        </is>
      </c>
      <c r="E2823" t="inlineStr">
        <is>
          <t>Miro (PI 61 ao PI 62)</t>
        </is>
      </c>
      <c r="F2823" t="inlineStr">
        <is>
          <t>VCA, PVs e Ligações</t>
        </is>
      </c>
    </row>
    <row r="2824">
      <c r="A2824" t="inlineStr">
        <is>
          <t>2026-06-15</t>
        </is>
      </c>
      <c r="C2824" t="inlineStr">
        <is>
          <t>RCE SÃO LUCAS</t>
        </is>
      </c>
      <c r="E2824" t="inlineStr">
        <is>
          <t>Emanuel (PI 25 ao PI 26)</t>
        </is>
      </c>
      <c r="F2824" t="inlineStr">
        <is>
          <t>VCA, PVs e Ligações</t>
        </is>
      </c>
    </row>
    <row r="2825">
      <c r="A2825" t="inlineStr">
        <is>
          <t>2026-06-15</t>
        </is>
      </c>
      <c r="C2825" t="inlineStr">
        <is>
          <t>RCE SÃO LUCAS</t>
        </is>
      </c>
      <c r="E2825" t="inlineStr">
        <is>
          <t>Antonio (PI 55 ao PI 56)</t>
        </is>
      </c>
      <c r="F2825" t="inlineStr">
        <is>
          <t>VCA, PVs e Ligações</t>
        </is>
      </c>
    </row>
    <row r="2826">
      <c r="A2826" t="inlineStr">
        <is>
          <t>2026-06-15</t>
        </is>
      </c>
      <c r="C2826" t="inlineStr">
        <is>
          <t>SERVIÇOS REPOSIÇÃO</t>
        </is>
      </c>
      <c r="E2826" t="inlineStr">
        <is>
          <t>Leandro</t>
        </is>
      </c>
      <c r="F2826" t="inlineStr">
        <is>
          <t>Reparos Gerais</t>
        </is>
      </c>
    </row>
    <row r="2827">
      <c r="A2827" t="inlineStr">
        <is>
          <t>2026-06-15</t>
        </is>
      </c>
      <c r="C2827" t="inlineStr">
        <is>
          <t>Vacal: João Canzi</t>
        </is>
      </c>
      <c r="E2827" t="inlineStr">
        <is>
          <t>Henko</t>
        </is>
      </c>
      <c r="F2827" t="inlineStr">
        <is>
          <t>Apoio às equipes</t>
        </is>
      </c>
    </row>
    <row r="2828">
      <c r="A2828" t="inlineStr">
        <is>
          <t>2026-06-15</t>
        </is>
      </c>
      <c r="C2828" t="inlineStr">
        <is>
          <t>Vacal: João Canzi</t>
        </is>
      </c>
      <c r="E2828" t="inlineStr">
        <is>
          <t>Henko</t>
        </is>
      </c>
      <c r="F2828" t="inlineStr">
        <is>
          <t>Apoio às equipes</t>
        </is>
      </c>
    </row>
    <row r="2829">
      <c r="A2829" t="inlineStr">
        <is>
          <t>2026-06-15</t>
        </is>
      </c>
      <c r="C2829" t="inlineStr">
        <is>
          <t>Vacal: ITI 15</t>
        </is>
      </c>
      <c r="E2829" t="inlineStr">
        <is>
          <t>Henko</t>
        </is>
      </c>
      <c r="F2829" t="inlineStr">
        <is>
          <t>Apoio às equipes</t>
        </is>
      </c>
    </row>
    <row r="2830">
      <c r="A2830" t="inlineStr">
        <is>
          <t>2026-06-15</t>
        </is>
      </c>
      <c r="C2830" t="inlineStr">
        <is>
          <t>Guindauto</t>
        </is>
      </c>
      <c r="E2830" t="inlineStr">
        <is>
          <t>Marcio</t>
        </is>
      </c>
      <c r="F2830" t="inlineStr">
        <is>
          <t>Apoio as equipes</t>
        </is>
      </c>
    </row>
    <row r="2831">
      <c r="A2831" t="inlineStr">
        <is>
          <t>2026-06-15</t>
        </is>
      </c>
      <c r="C2831" t="inlineStr">
        <is>
          <t>Guindauto</t>
        </is>
      </c>
      <c r="E2831" t="inlineStr">
        <is>
          <t>Luiz</t>
        </is>
      </c>
      <c r="F2831" t="inlineStr">
        <is>
          <t>Apoio as equipes</t>
        </is>
      </c>
    </row>
    <row r="2832">
      <c r="A2832" t="inlineStr">
        <is>
          <t>2026-06-16</t>
        </is>
      </c>
      <c r="C2832" t="inlineStr">
        <is>
          <t>CTS JOÃO CANZI</t>
        </is>
      </c>
      <c r="E2832" t="inlineStr">
        <is>
          <t>Cesar</t>
        </is>
      </c>
      <c r="F2832" t="inlineStr">
        <is>
          <t>Transformação PV 11</t>
        </is>
      </c>
      <c r="G2832" t="inlineStr">
        <is>
          <t>11</t>
        </is>
      </c>
      <c r="H2832" t="inlineStr"/>
      <c r="I2832" t="inlineStr">
        <is>
          <t>11</t>
        </is>
      </c>
    </row>
    <row r="2833">
      <c r="A2833" t="inlineStr">
        <is>
          <t>2026-06-16</t>
        </is>
      </c>
      <c r="C2833" t="inlineStr">
        <is>
          <t>RCE ELVIRA</t>
        </is>
      </c>
      <c r="E2833" t="inlineStr">
        <is>
          <t>Valter</t>
        </is>
      </c>
      <c r="F2833" t="inlineStr">
        <is>
          <t>VCA, PVs e Ligações</t>
        </is>
      </c>
      <c r="G2833" t="inlineStr"/>
      <c r="H2833" t="inlineStr"/>
      <c r="I2833" t="inlineStr"/>
    </row>
    <row r="2834">
      <c r="A2834" t="inlineStr">
        <is>
          <t>2026-06-16</t>
        </is>
      </c>
      <c r="C2834" t="inlineStr">
        <is>
          <t>INTERL. AYRTON SENNA</t>
        </is>
      </c>
      <c r="E2834" t="inlineStr">
        <is>
          <t>Cidão</t>
        </is>
      </c>
      <c r="F2834" t="inlineStr">
        <is>
          <t>VCA, PVs e Ligações</t>
        </is>
      </c>
      <c r="G2834" t="inlineStr"/>
      <c r="H2834" t="inlineStr"/>
      <c r="I2834" t="inlineStr"/>
    </row>
    <row r="2835">
      <c r="A2835" t="inlineStr">
        <is>
          <t>2026-06-16</t>
        </is>
      </c>
      <c r="C2835" t="inlineStr">
        <is>
          <t>RCE CONJ. UNIÃO</t>
        </is>
      </c>
      <c r="E2835" t="inlineStr">
        <is>
          <t>Jhonatan</t>
        </is>
      </c>
      <c r="F2835" t="inlineStr">
        <is>
          <t>VCA e PIs 49,50,52 e 53</t>
        </is>
      </c>
      <c r="G2835" t="inlineStr"/>
      <c r="H2835" t="inlineStr"/>
      <c r="I2835" t="inlineStr"/>
    </row>
    <row r="2836">
      <c r="A2836" t="inlineStr">
        <is>
          <t>2026-06-16</t>
        </is>
      </c>
      <c r="C2836" t="inlineStr">
        <is>
          <t>RCE ELIAS SLEIMAN</t>
        </is>
      </c>
      <c r="E2836" t="inlineStr">
        <is>
          <t>Edvando</t>
        </is>
      </c>
      <c r="F2836" t="inlineStr">
        <is>
          <t>VCA PV 26 ao PV 27</t>
        </is>
      </c>
      <c r="G2836" t="inlineStr">
        <is>
          <t>26</t>
        </is>
      </c>
      <c r="H2836" t="inlineStr"/>
      <c r="I2836" t="inlineStr">
        <is>
          <t>26</t>
        </is>
      </c>
    </row>
    <row r="2837">
      <c r="A2837" t="inlineStr">
        <is>
          <t>2026-06-16</t>
        </is>
      </c>
      <c r="C2837" t="inlineStr">
        <is>
          <t>RCE MARIA DOS SANTOS MACHADO</t>
        </is>
      </c>
      <c r="E2837" t="inlineStr">
        <is>
          <t>Marcelo</t>
        </is>
      </c>
      <c r="F2837" t="inlineStr">
        <is>
          <t>VCA PVP-0 ao PV-1</t>
        </is>
      </c>
      <c r="G2837" t="inlineStr">
        <is>
          <t>P</t>
        </is>
      </c>
      <c r="H2837" t="inlineStr"/>
      <c r="I2837" t="inlineStr">
        <is>
          <t>P</t>
        </is>
      </c>
    </row>
    <row r="2838">
      <c r="A2838" t="inlineStr">
        <is>
          <t>2026-06-16</t>
        </is>
      </c>
      <c r="C2838" t="inlineStr">
        <is>
          <t>CTS LOURDES Complementar</t>
        </is>
      </c>
      <c r="E2838" t="inlineStr">
        <is>
          <t>Marcelo</t>
        </is>
      </c>
      <c r="F2838" t="inlineStr">
        <is>
          <t>Interligação entre PV-05 e PV-E</t>
        </is>
      </c>
      <c r="G2838" t="inlineStr">
        <is>
          <t>05</t>
        </is>
      </c>
      <c r="H2838" t="inlineStr"/>
      <c r="I2838" t="inlineStr">
        <is>
          <t>05</t>
        </is>
      </c>
    </row>
    <row r="2839">
      <c r="A2839" t="inlineStr">
        <is>
          <t>2026-06-16</t>
        </is>
      </c>
      <c r="C2839" t="inlineStr">
        <is>
          <t>RCE RAULZITO</t>
        </is>
      </c>
      <c r="E2839" t="inlineStr">
        <is>
          <t>Bruno</t>
        </is>
      </c>
      <c r="F2839" t="inlineStr">
        <is>
          <t>VCA, PVs e Ligações</t>
        </is>
      </c>
      <c r="G2839" t="inlineStr"/>
      <c r="H2839" t="inlineStr"/>
      <c r="I2839" t="inlineStr"/>
    </row>
    <row r="2840">
      <c r="A2840" t="inlineStr">
        <is>
          <t>2026-06-16</t>
        </is>
      </c>
      <c r="C2840" t="inlineStr">
        <is>
          <t>RCE RAULZITO</t>
        </is>
      </c>
      <c r="E2840" t="inlineStr">
        <is>
          <t>Medeiros</t>
        </is>
      </c>
      <c r="F2840" t="inlineStr">
        <is>
          <t>VCA, PVs e Ligações</t>
        </is>
      </c>
      <c r="G2840" t="inlineStr"/>
      <c r="H2840" t="inlineStr"/>
      <c r="I2840" t="inlineStr"/>
    </row>
    <row r="2841">
      <c r="A2841" t="inlineStr">
        <is>
          <t>2026-06-16</t>
        </is>
      </c>
      <c r="C2841" t="inlineStr">
        <is>
          <t>RCE SÃO LUCAS</t>
        </is>
      </c>
      <c r="E2841" t="inlineStr">
        <is>
          <t>Ricardo (PI 12 ao PI 13)</t>
        </is>
      </c>
      <c r="F2841" t="inlineStr">
        <is>
          <t>VCA, PVs e Ligações</t>
        </is>
      </c>
      <c r="G2841" t="inlineStr"/>
      <c r="H2841" t="inlineStr"/>
      <c r="I2841" t="inlineStr"/>
    </row>
    <row r="2842">
      <c r="A2842" t="inlineStr">
        <is>
          <t>2026-06-16</t>
        </is>
      </c>
      <c r="C2842" t="inlineStr">
        <is>
          <t>RCE SÃO LUCAS</t>
        </is>
      </c>
      <c r="E2842" t="inlineStr">
        <is>
          <t>Claudinei (PI 81 ao PI 64)</t>
        </is>
      </c>
      <c r="F2842" t="inlineStr">
        <is>
          <t>VCA, PVs e Ligações</t>
        </is>
      </c>
      <c r="G2842" t="inlineStr"/>
      <c r="H2842" t="inlineStr"/>
      <c r="I2842" t="inlineStr"/>
    </row>
    <row r="2843">
      <c r="A2843" t="inlineStr">
        <is>
          <t>2026-06-16</t>
        </is>
      </c>
      <c r="C2843" t="inlineStr">
        <is>
          <t>RCE SÃO LUCAS</t>
        </is>
      </c>
      <c r="E2843" t="inlineStr">
        <is>
          <t>Miro (PI 61 ao PI 62)</t>
        </is>
      </c>
      <c r="F2843" t="inlineStr">
        <is>
          <t>VCA, PVs e Ligações</t>
        </is>
      </c>
      <c r="G2843" t="inlineStr"/>
      <c r="H2843" t="inlineStr"/>
      <c r="I2843" t="inlineStr"/>
    </row>
    <row r="2844">
      <c r="A2844" t="inlineStr">
        <is>
          <t>2026-06-16</t>
        </is>
      </c>
      <c r="C2844" t="inlineStr">
        <is>
          <t>RCE SÃO LUCAS</t>
        </is>
      </c>
      <c r="E2844" t="inlineStr">
        <is>
          <t>Emanuel (PI 11 ao PI 45)</t>
        </is>
      </c>
      <c r="F2844" t="inlineStr">
        <is>
          <t>VCA, PVs e Ligações</t>
        </is>
      </c>
      <c r="G2844" t="inlineStr"/>
      <c r="H2844" t="inlineStr"/>
      <c r="I2844" t="inlineStr"/>
    </row>
    <row r="2845">
      <c r="A2845" t="inlineStr">
        <is>
          <t>2026-06-16</t>
        </is>
      </c>
      <c r="C2845" t="inlineStr">
        <is>
          <t>RCE SÃO LUCAS</t>
        </is>
      </c>
      <c r="E2845" t="inlineStr">
        <is>
          <t>Antonio (PI 18 ao PI 17)</t>
        </is>
      </c>
      <c r="F2845" t="inlineStr">
        <is>
          <t>VCA, PVs e Ligações</t>
        </is>
      </c>
      <c r="G2845" t="inlineStr"/>
      <c r="H2845" t="inlineStr"/>
      <c r="I2845" t="inlineStr"/>
    </row>
    <row r="2846">
      <c r="A2846" t="inlineStr">
        <is>
          <t>2026-06-16</t>
        </is>
      </c>
      <c r="C2846" t="inlineStr">
        <is>
          <t>SERVIÇOS REPOSIÇÃO</t>
        </is>
      </c>
      <c r="E2846" t="inlineStr">
        <is>
          <t>Leandro</t>
        </is>
      </c>
      <c r="F2846" t="inlineStr">
        <is>
          <t>Reparos Gerais</t>
        </is>
      </c>
      <c r="G2846" t="inlineStr"/>
      <c r="H2846" t="inlineStr"/>
      <c r="I2846" t="inlineStr"/>
    </row>
    <row r="2847">
      <c r="A2847" t="inlineStr">
        <is>
          <t>2026-06-16</t>
        </is>
      </c>
      <c r="C2847" t="inlineStr">
        <is>
          <t>Vacal: João Canzi</t>
        </is>
      </c>
      <c r="E2847" t="inlineStr">
        <is>
          <t>Henko</t>
        </is>
      </c>
      <c r="F2847" t="inlineStr">
        <is>
          <t>Apoio às equipes</t>
        </is>
      </c>
      <c r="G2847" t="inlineStr"/>
      <c r="H2847" t="inlineStr"/>
      <c r="I2847" t="inlineStr"/>
    </row>
    <row r="2848">
      <c r="A2848" t="inlineStr">
        <is>
          <t>2026-06-16</t>
        </is>
      </c>
      <c r="C2848" t="inlineStr">
        <is>
          <t>Vacal: João Canzi</t>
        </is>
      </c>
      <c r="E2848" t="inlineStr">
        <is>
          <t>Henko</t>
        </is>
      </c>
      <c r="F2848" t="inlineStr">
        <is>
          <t>Apoio às equipes</t>
        </is>
      </c>
      <c r="G2848" t="inlineStr"/>
      <c r="H2848" t="inlineStr"/>
      <c r="I2848" t="inlineStr"/>
    </row>
    <row r="2849">
      <c r="A2849" t="inlineStr">
        <is>
          <t>2026-06-16</t>
        </is>
      </c>
      <c r="C2849" t="inlineStr">
        <is>
          <t>Vacal: ITI 15</t>
        </is>
      </c>
      <c r="E2849" t="inlineStr">
        <is>
          <t>Henko</t>
        </is>
      </c>
      <c r="F2849" t="inlineStr">
        <is>
          <t>Apoio às equipes</t>
        </is>
      </c>
      <c r="G2849" t="inlineStr"/>
      <c r="H2849" t="inlineStr"/>
      <c r="I2849" t="inlineStr"/>
    </row>
    <row r="2850">
      <c r="A2850" t="inlineStr">
        <is>
          <t>2026-06-16</t>
        </is>
      </c>
      <c r="C2850" t="inlineStr">
        <is>
          <t>Guindauto</t>
        </is>
      </c>
      <c r="E2850" t="inlineStr">
        <is>
          <t>Marcio</t>
        </is>
      </c>
      <c r="F2850" t="inlineStr">
        <is>
          <t>Apoio as equipes</t>
        </is>
      </c>
      <c r="G2850" t="inlineStr"/>
      <c r="H2850" t="inlineStr"/>
      <c r="I2850" t="inlineStr"/>
    </row>
    <row r="2851">
      <c r="A2851" t="inlineStr">
        <is>
          <t>2026-06-16</t>
        </is>
      </c>
      <c r="C2851" t="inlineStr">
        <is>
          <t>Guindauto</t>
        </is>
      </c>
      <c r="E2851" t="inlineStr">
        <is>
          <t>Luiz</t>
        </is>
      </c>
      <c r="F2851" t="inlineStr">
        <is>
          <t>Apoio as equipes</t>
        </is>
      </c>
      <c r="G2851" t="inlineStr"/>
      <c r="H2851" t="inlineStr"/>
      <c r="I2851" t="inlineStr"/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2026-05-04T14:30:36Z</dcterms:created>
  <dcterms:modified xsi:type="dcterms:W3CDTF">2026-06-16T10:09:23Z</dcterms:modified>
  <cp:lastModifiedBy>Cleulton Marcio Goncalves Freire</cp:lastModifiedBy>
</cp:coreProperties>
</file>